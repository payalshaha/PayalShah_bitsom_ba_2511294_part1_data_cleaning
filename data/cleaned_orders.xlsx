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AI Class\Assessment\Capstone Project\data\part1-20260616T123936Z-3-001\part1\"/>
    </mc:Choice>
  </mc:AlternateContent>
  <xr:revisionPtr revIDLastSave="0" documentId="13_ncr:1_{A063C07B-65A3-4A73-903F-547A7AAD30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yment_status_summary" sheetId="4" r:id="rId1"/>
    <sheet name="cleaned_orders" sheetId="1" r:id="rId2"/>
    <sheet name="business_rules" sheetId="2" r:id="rId3"/>
  </sheets>
  <definedNames>
    <definedName name="_xlnm._FilterDatabase" localSheetId="1" hidden="1">cleaned_orders!$A$1:$AX$913</definedName>
  </definedNames>
  <calcPr calcId="191029"/>
  <pivotCaches>
    <pivotCache cacheId="5" r:id="rId4"/>
  </pivotCaches>
</workbook>
</file>

<file path=xl/calcChain.xml><?xml version="1.0" encoding="utf-8"?>
<calcChain xmlns="http://schemas.openxmlformats.org/spreadsheetml/2006/main">
  <c r="AU3" i="1" l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2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425" i="1"/>
  <c r="C425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92" i="1"/>
  <c r="C92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902" i="1"/>
  <c r="C90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904" i="1"/>
  <c r="C904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26" i="1"/>
  <c r="C226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906" i="1"/>
  <c r="C90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16" i="1"/>
  <c r="C316" i="1" s="1"/>
  <c r="B334" i="1"/>
  <c r="C334" i="1" s="1"/>
  <c r="B335" i="1"/>
  <c r="C335" i="1" s="1"/>
  <c r="B336" i="1"/>
  <c r="C336" i="1" s="1"/>
  <c r="B908" i="1"/>
  <c r="C908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910" i="1"/>
  <c r="C910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337" i="1"/>
  <c r="C337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912" i="1"/>
  <c r="C912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C864" i="1" s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333" i="1"/>
  <c r="C333" i="1" s="1"/>
  <c r="B573" i="1"/>
  <c r="C573" i="1" s="1"/>
  <c r="B911" i="1"/>
  <c r="C911" i="1" s="1"/>
  <c r="B905" i="1"/>
  <c r="C905" i="1" s="1"/>
  <c r="B907" i="1"/>
  <c r="C907" i="1" s="1"/>
  <c r="B903" i="1"/>
  <c r="C903" i="1" s="1"/>
  <c r="B375" i="1"/>
  <c r="C375" i="1" s="1"/>
  <c r="B913" i="1"/>
  <c r="C913" i="1" s="1"/>
  <c r="B172" i="1"/>
  <c r="C172" i="1" s="1"/>
  <c r="B274" i="1"/>
  <c r="C274" i="1" s="1"/>
  <c r="B125" i="1"/>
  <c r="C125" i="1" s="1"/>
  <c r="B909" i="1"/>
  <c r="C909" i="1" s="1"/>
  <c r="B2" i="1"/>
  <c r="C2" i="1" s="1"/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425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92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90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904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26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90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16" i="1"/>
  <c r="AC334" i="1"/>
  <c r="AC335" i="1"/>
  <c r="AC336" i="1"/>
  <c r="AC908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910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337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912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333" i="1"/>
  <c r="AC573" i="1"/>
  <c r="AC911" i="1"/>
  <c r="AC905" i="1"/>
  <c r="AC907" i="1"/>
  <c r="AC903" i="1"/>
  <c r="AC375" i="1"/>
  <c r="AC913" i="1"/>
  <c r="AC172" i="1"/>
  <c r="AC274" i="1"/>
  <c r="AC125" i="1"/>
  <c r="AC909" i="1"/>
  <c r="AC2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912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333" i="1"/>
  <c r="J573" i="1"/>
  <c r="J911" i="1"/>
  <c r="J905" i="1"/>
  <c r="J907" i="1"/>
  <c r="J903" i="1"/>
  <c r="J375" i="1"/>
  <c r="J913" i="1"/>
  <c r="J172" i="1"/>
  <c r="J274" i="1"/>
  <c r="J125" i="1"/>
  <c r="J90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425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92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90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904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26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90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16" i="1"/>
  <c r="J334" i="1"/>
  <c r="J335" i="1"/>
  <c r="J336" i="1"/>
  <c r="J908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910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337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2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425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92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90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904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26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90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16" i="1"/>
  <c r="I334" i="1"/>
  <c r="I335" i="1"/>
  <c r="I336" i="1"/>
  <c r="I908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910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337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912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333" i="1"/>
  <c r="I573" i="1"/>
  <c r="I911" i="1"/>
  <c r="I905" i="1"/>
  <c r="I907" i="1"/>
  <c r="I903" i="1"/>
  <c r="I375" i="1"/>
  <c r="I913" i="1"/>
  <c r="I172" i="1"/>
  <c r="I274" i="1"/>
  <c r="I125" i="1"/>
  <c r="I909" i="1"/>
  <c r="I3" i="1"/>
  <c r="I4" i="1"/>
  <c r="I5" i="1"/>
  <c r="I6" i="1"/>
  <c r="I7" i="1"/>
  <c r="I8" i="1"/>
  <c r="I9" i="1"/>
  <c r="I10" i="1"/>
  <c r="I2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425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92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90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904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26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90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16" i="1"/>
  <c r="H334" i="1"/>
  <c r="H335" i="1"/>
  <c r="H336" i="1"/>
  <c r="H908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910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337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912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333" i="1"/>
  <c r="H573" i="1"/>
  <c r="H911" i="1"/>
  <c r="H905" i="1"/>
  <c r="H907" i="1"/>
  <c r="H903" i="1"/>
  <c r="H375" i="1"/>
  <c r="H913" i="1"/>
  <c r="H172" i="1"/>
  <c r="H274" i="1"/>
  <c r="H125" i="1"/>
  <c r="H909" i="1"/>
  <c r="H26" i="1"/>
  <c r="H27" i="1"/>
  <c r="H28" i="1"/>
  <c r="H29" i="1"/>
  <c r="H30" i="1"/>
  <c r="H31" i="1"/>
  <c r="H32" i="1"/>
  <c r="H33" i="1"/>
  <c r="H34" i="1"/>
  <c r="H35" i="1"/>
  <c r="H36" i="1"/>
  <c r="H3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  <c r="AL3" i="1"/>
  <c r="AV3" i="1" s="1"/>
  <c r="AL4" i="1"/>
  <c r="AV4" i="1" s="1"/>
  <c r="AL5" i="1"/>
  <c r="AV5" i="1" s="1"/>
  <c r="AL6" i="1"/>
  <c r="AV6" i="1" s="1"/>
  <c r="AL7" i="1"/>
  <c r="AV7" i="1" s="1"/>
  <c r="AL8" i="1"/>
  <c r="AV8" i="1" s="1"/>
  <c r="AL9" i="1"/>
  <c r="AV9" i="1" s="1"/>
  <c r="AL10" i="1"/>
  <c r="AV10" i="1" s="1"/>
  <c r="AL11" i="1"/>
  <c r="AV11" i="1" s="1"/>
  <c r="AL12" i="1"/>
  <c r="AV12" i="1" s="1"/>
  <c r="AL13" i="1"/>
  <c r="AV13" i="1" s="1"/>
  <c r="AL14" i="1"/>
  <c r="AV14" i="1" s="1"/>
  <c r="AL15" i="1"/>
  <c r="AV15" i="1" s="1"/>
  <c r="AL16" i="1"/>
  <c r="AV16" i="1" s="1"/>
  <c r="AL17" i="1"/>
  <c r="AV17" i="1" s="1"/>
  <c r="AL18" i="1"/>
  <c r="AV18" i="1" s="1"/>
  <c r="AL19" i="1"/>
  <c r="AV19" i="1" s="1"/>
  <c r="AL20" i="1"/>
  <c r="AV20" i="1" s="1"/>
  <c r="AL21" i="1"/>
  <c r="AV21" i="1" s="1"/>
  <c r="AL22" i="1"/>
  <c r="AV22" i="1" s="1"/>
  <c r="AL23" i="1"/>
  <c r="AV23" i="1" s="1"/>
  <c r="AL24" i="1"/>
  <c r="AV24" i="1" s="1"/>
  <c r="AL25" i="1"/>
  <c r="AV25" i="1" s="1"/>
  <c r="AL26" i="1"/>
  <c r="AV26" i="1" s="1"/>
  <c r="AL27" i="1"/>
  <c r="AV27" i="1" s="1"/>
  <c r="AL28" i="1"/>
  <c r="AV28" i="1" s="1"/>
  <c r="AL29" i="1"/>
  <c r="AV29" i="1" s="1"/>
  <c r="AL30" i="1"/>
  <c r="AV30" i="1" s="1"/>
  <c r="AL31" i="1"/>
  <c r="AV31" i="1" s="1"/>
  <c r="AL32" i="1"/>
  <c r="AV32" i="1" s="1"/>
  <c r="AL33" i="1"/>
  <c r="AV33" i="1" s="1"/>
  <c r="AL34" i="1"/>
  <c r="AV34" i="1" s="1"/>
  <c r="AL35" i="1"/>
  <c r="AV35" i="1" s="1"/>
  <c r="AL36" i="1"/>
  <c r="AV36" i="1" s="1"/>
  <c r="AL37" i="1"/>
  <c r="AV37" i="1" s="1"/>
  <c r="AL38" i="1"/>
  <c r="AV38" i="1" s="1"/>
  <c r="AL39" i="1"/>
  <c r="AV39" i="1" s="1"/>
  <c r="AL40" i="1"/>
  <c r="AV40" i="1" s="1"/>
  <c r="AL41" i="1"/>
  <c r="AV41" i="1" s="1"/>
  <c r="AL42" i="1"/>
  <c r="AV42" i="1" s="1"/>
  <c r="AL43" i="1"/>
  <c r="AV43" i="1" s="1"/>
  <c r="AL44" i="1"/>
  <c r="AV44" i="1" s="1"/>
  <c r="AL45" i="1"/>
  <c r="AV45" i="1" s="1"/>
  <c r="AL46" i="1"/>
  <c r="AV46" i="1" s="1"/>
  <c r="AL47" i="1"/>
  <c r="AV47" i="1" s="1"/>
  <c r="AL48" i="1"/>
  <c r="AV48" i="1" s="1"/>
  <c r="AL49" i="1"/>
  <c r="AV49" i="1" s="1"/>
  <c r="AL50" i="1"/>
  <c r="AV50" i="1" s="1"/>
  <c r="AL51" i="1"/>
  <c r="AV51" i="1" s="1"/>
  <c r="AL52" i="1"/>
  <c r="AV52" i="1" s="1"/>
  <c r="AL53" i="1"/>
  <c r="AV53" i="1" s="1"/>
  <c r="AL54" i="1"/>
  <c r="AV54" i="1" s="1"/>
  <c r="AL55" i="1"/>
  <c r="AV55" i="1" s="1"/>
  <c r="AL56" i="1"/>
  <c r="AV56" i="1" s="1"/>
  <c r="AL57" i="1"/>
  <c r="AV57" i="1" s="1"/>
  <c r="AL58" i="1"/>
  <c r="AV58" i="1" s="1"/>
  <c r="AL59" i="1"/>
  <c r="AV59" i="1" s="1"/>
  <c r="AL60" i="1"/>
  <c r="AV60" i="1" s="1"/>
  <c r="AL61" i="1"/>
  <c r="AV61" i="1" s="1"/>
  <c r="AL62" i="1"/>
  <c r="AV62" i="1" s="1"/>
  <c r="AL63" i="1"/>
  <c r="AV63" i="1" s="1"/>
  <c r="AL64" i="1"/>
  <c r="AV64" i="1" s="1"/>
  <c r="AL65" i="1"/>
  <c r="AV65" i="1" s="1"/>
  <c r="AL66" i="1"/>
  <c r="AV66" i="1" s="1"/>
  <c r="AL67" i="1"/>
  <c r="AV67" i="1" s="1"/>
  <c r="AL68" i="1"/>
  <c r="AV68" i="1" s="1"/>
  <c r="AL69" i="1"/>
  <c r="AV69" i="1" s="1"/>
  <c r="AL70" i="1"/>
  <c r="AV70" i="1" s="1"/>
  <c r="AL71" i="1"/>
  <c r="AV71" i="1" s="1"/>
  <c r="AL72" i="1"/>
  <c r="AV72" i="1" s="1"/>
  <c r="AL73" i="1"/>
  <c r="AV73" i="1" s="1"/>
  <c r="AL74" i="1"/>
  <c r="AV74" i="1" s="1"/>
  <c r="AL75" i="1"/>
  <c r="AV75" i="1" s="1"/>
  <c r="AL76" i="1"/>
  <c r="AV76" i="1" s="1"/>
  <c r="AL77" i="1"/>
  <c r="AV77" i="1" s="1"/>
  <c r="AL78" i="1"/>
  <c r="AV78" i="1" s="1"/>
  <c r="AL79" i="1"/>
  <c r="AV79" i="1" s="1"/>
  <c r="AL80" i="1"/>
  <c r="AV80" i="1" s="1"/>
  <c r="AL81" i="1"/>
  <c r="AV81" i="1" s="1"/>
  <c r="AL82" i="1"/>
  <c r="AV82" i="1" s="1"/>
  <c r="AL83" i="1"/>
  <c r="AV83" i="1" s="1"/>
  <c r="AL84" i="1"/>
  <c r="AV84" i="1" s="1"/>
  <c r="AL85" i="1"/>
  <c r="AV85" i="1" s="1"/>
  <c r="AL86" i="1"/>
  <c r="AV86" i="1" s="1"/>
  <c r="AL87" i="1"/>
  <c r="AV87" i="1" s="1"/>
  <c r="AL88" i="1"/>
  <c r="AV88" i="1" s="1"/>
  <c r="AL89" i="1"/>
  <c r="AV89" i="1" s="1"/>
  <c r="AL90" i="1"/>
  <c r="AV90" i="1" s="1"/>
  <c r="AL91" i="1"/>
  <c r="AV91" i="1" s="1"/>
  <c r="AL425" i="1"/>
  <c r="AV425" i="1" s="1"/>
  <c r="AL93" i="1"/>
  <c r="AV93" i="1" s="1"/>
  <c r="AL94" i="1"/>
  <c r="AV94" i="1" s="1"/>
  <c r="AL95" i="1"/>
  <c r="AV95" i="1" s="1"/>
  <c r="AL96" i="1"/>
  <c r="AV96" i="1" s="1"/>
  <c r="AL97" i="1"/>
  <c r="AV97" i="1" s="1"/>
  <c r="AL98" i="1"/>
  <c r="AV98" i="1" s="1"/>
  <c r="AL99" i="1"/>
  <c r="AV99" i="1" s="1"/>
  <c r="AL100" i="1"/>
  <c r="AV100" i="1" s="1"/>
  <c r="AL101" i="1"/>
  <c r="AV101" i="1" s="1"/>
  <c r="AL102" i="1"/>
  <c r="AV102" i="1" s="1"/>
  <c r="AL103" i="1"/>
  <c r="AV103" i="1" s="1"/>
  <c r="AL104" i="1"/>
  <c r="AV104" i="1" s="1"/>
  <c r="AL105" i="1"/>
  <c r="AV105" i="1" s="1"/>
  <c r="AL106" i="1"/>
  <c r="AV106" i="1" s="1"/>
  <c r="AL107" i="1"/>
  <c r="AV107" i="1" s="1"/>
  <c r="AL108" i="1"/>
  <c r="AV108" i="1" s="1"/>
  <c r="AL109" i="1"/>
  <c r="AV109" i="1" s="1"/>
  <c r="AL110" i="1"/>
  <c r="AV110" i="1" s="1"/>
  <c r="AL111" i="1"/>
  <c r="AV111" i="1" s="1"/>
  <c r="AL112" i="1"/>
  <c r="AV112" i="1" s="1"/>
  <c r="AL113" i="1"/>
  <c r="AV113" i="1" s="1"/>
  <c r="AL114" i="1"/>
  <c r="AV114" i="1" s="1"/>
  <c r="AL115" i="1"/>
  <c r="AV115" i="1" s="1"/>
  <c r="AL116" i="1"/>
  <c r="AV116" i="1" s="1"/>
  <c r="AL117" i="1"/>
  <c r="AV117" i="1" s="1"/>
  <c r="AL118" i="1"/>
  <c r="AV118" i="1" s="1"/>
  <c r="AL119" i="1"/>
  <c r="AV119" i="1" s="1"/>
  <c r="AL120" i="1"/>
  <c r="AV120" i="1" s="1"/>
  <c r="AL121" i="1"/>
  <c r="AV121" i="1" s="1"/>
  <c r="AL122" i="1"/>
  <c r="AV122" i="1" s="1"/>
  <c r="AL123" i="1"/>
  <c r="AV123" i="1" s="1"/>
  <c r="AL124" i="1"/>
  <c r="AV124" i="1" s="1"/>
  <c r="AL92" i="1"/>
  <c r="AV92" i="1" s="1"/>
  <c r="AL126" i="1"/>
  <c r="AV126" i="1" s="1"/>
  <c r="AL127" i="1"/>
  <c r="AV127" i="1" s="1"/>
  <c r="AL128" i="1"/>
  <c r="AV128" i="1" s="1"/>
  <c r="AL129" i="1"/>
  <c r="AV129" i="1" s="1"/>
  <c r="AL130" i="1"/>
  <c r="AV130" i="1" s="1"/>
  <c r="AL131" i="1"/>
  <c r="AV131" i="1" s="1"/>
  <c r="AL132" i="1"/>
  <c r="AV132" i="1" s="1"/>
  <c r="AL133" i="1"/>
  <c r="AV133" i="1" s="1"/>
  <c r="AL134" i="1"/>
  <c r="AV134" i="1" s="1"/>
  <c r="AL135" i="1"/>
  <c r="AV135" i="1" s="1"/>
  <c r="AL136" i="1"/>
  <c r="AV136" i="1" s="1"/>
  <c r="AL137" i="1"/>
  <c r="AV137" i="1" s="1"/>
  <c r="AL138" i="1"/>
  <c r="AV138" i="1" s="1"/>
  <c r="AL139" i="1"/>
  <c r="AV139" i="1" s="1"/>
  <c r="AL140" i="1"/>
  <c r="AV140" i="1" s="1"/>
  <c r="AL141" i="1"/>
  <c r="AV141" i="1" s="1"/>
  <c r="AL142" i="1"/>
  <c r="AV142" i="1" s="1"/>
  <c r="AL143" i="1"/>
  <c r="AV143" i="1" s="1"/>
  <c r="AL144" i="1"/>
  <c r="AV144" i="1" s="1"/>
  <c r="AL145" i="1"/>
  <c r="AV145" i="1" s="1"/>
  <c r="AL146" i="1"/>
  <c r="AV146" i="1" s="1"/>
  <c r="AL147" i="1"/>
  <c r="AV147" i="1" s="1"/>
  <c r="AL148" i="1"/>
  <c r="AV148" i="1" s="1"/>
  <c r="AL149" i="1"/>
  <c r="AV149" i="1" s="1"/>
  <c r="AL150" i="1"/>
  <c r="AV150" i="1" s="1"/>
  <c r="AL151" i="1"/>
  <c r="AV151" i="1" s="1"/>
  <c r="AL152" i="1"/>
  <c r="AV152" i="1" s="1"/>
  <c r="AL153" i="1"/>
  <c r="AV153" i="1" s="1"/>
  <c r="AL154" i="1"/>
  <c r="AV154" i="1" s="1"/>
  <c r="AL155" i="1"/>
  <c r="AV155" i="1" s="1"/>
  <c r="AL156" i="1"/>
  <c r="AV156" i="1" s="1"/>
  <c r="AL157" i="1"/>
  <c r="AV157" i="1" s="1"/>
  <c r="AL158" i="1"/>
  <c r="AV158" i="1" s="1"/>
  <c r="AL159" i="1"/>
  <c r="AV159" i="1" s="1"/>
  <c r="AL160" i="1"/>
  <c r="AV160" i="1" s="1"/>
  <c r="AL161" i="1"/>
  <c r="AV161" i="1" s="1"/>
  <c r="AL162" i="1"/>
  <c r="AV162" i="1" s="1"/>
  <c r="AL163" i="1"/>
  <c r="AV163" i="1" s="1"/>
  <c r="AL164" i="1"/>
  <c r="AV164" i="1" s="1"/>
  <c r="AL165" i="1"/>
  <c r="AV165" i="1" s="1"/>
  <c r="AL166" i="1"/>
  <c r="AV166" i="1" s="1"/>
  <c r="AL167" i="1"/>
  <c r="AV167" i="1" s="1"/>
  <c r="AL168" i="1"/>
  <c r="AV168" i="1" s="1"/>
  <c r="AL169" i="1"/>
  <c r="AV169" i="1" s="1"/>
  <c r="AL170" i="1"/>
  <c r="AV170" i="1" s="1"/>
  <c r="AL171" i="1"/>
  <c r="AV171" i="1" s="1"/>
  <c r="AL902" i="1"/>
  <c r="AV902" i="1" s="1"/>
  <c r="AL173" i="1"/>
  <c r="AV173" i="1" s="1"/>
  <c r="AL174" i="1"/>
  <c r="AV174" i="1" s="1"/>
  <c r="AL175" i="1"/>
  <c r="AV175" i="1" s="1"/>
  <c r="AL176" i="1"/>
  <c r="AV176" i="1" s="1"/>
  <c r="AL177" i="1"/>
  <c r="AV177" i="1" s="1"/>
  <c r="AL178" i="1"/>
  <c r="AV178" i="1" s="1"/>
  <c r="AL179" i="1"/>
  <c r="AV179" i="1" s="1"/>
  <c r="AL180" i="1"/>
  <c r="AV180" i="1" s="1"/>
  <c r="AL181" i="1"/>
  <c r="AV181" i="1" s="1"/>
  <c r="AL182" i="1"/>
  <c r="AV182" i="1" s="1"/>
  <c r="AL183" i="1"/>
  <c r="AV183" i="1" s="1"/>
  <c r="AL184" i="1"/>
  <c r="AV184" i="1" s="1"/>
  <c r="AL185" i="1"/>
  <c r="AV185" i="1" s="1"/>
  <c r="AL186" i="1"/>
  <c r="AV186" i="1" s="1"/>
  <c r="AL187" i="1"/>
  <c r="AV187" i="1" s="1"/>
  <c r="AL188" i="1"/>
  <c r="AV188" i="1" s="1"/>
  <c r="AL189" i="1"/>
  <c r="AV189" i="1" s="1"/>
  <c r="AL190" i="1"/>
  <c r="AV190" i="1" s="1"/>
  <c r="AL191" i="1"/>
  <c r="AV191" i="1" s="1"/>
  <c r="AL192" i="1"/>
  <c r="AV192" i="1" s="1"/>
  <c r="AL193" i="1"/>
  <c r="AV193" i="1" s="1"/>
  <c r="AL194" i="1"/>
  <c r="AV194" i="1" s="1"/>
  <c r="AL195" i="1"/>
  <c r="AV195" i="1" s="1"/>
  <c r="AL196" i="1"/>
  <c r="AV196" i="1" s="1"/>
  <c r="AL197" i="1"/>
  <c r="AV197" i="1" s="1"/>
  <c r="AL198" i="1"/>
  <c r="AV198" i="1" s="1"/>
  <c r="AL199" i="1"/>
  <c r="AV199" i="1" s="1"/>
  <c r="AL200" i="1"/>
  <c r="AV200" i="1" s="1"/>
  <c r="AL201" i="1"/>
  <c r="AV201" i="1" s="1"/>
  <c r="AL202" i="1"/>
  <c r="AV202" i="1" s="1"/>
  <c r="AL203" i="1"/>
  <c r="AV203" i="1" s="1"/>
  <c r="AL204" i="1"/>
  <c r="AV204" i="1" s="1"/>
  <c r="AL205" i="1"/>
  <c r="AV205" i="1" s="1"/>
  <c r="AL206" i="1"/>
  <c r="AV206" i="1" s="1"/>
  <c r="AL207" i="1"/>
  <c r="AV207" i="1" s="1"/>
  <c r="AL208" i="1"/>
  <c r="AV208" i="1" s="1"/>
  <c r="AL209" i="1"/>
  <c r="AV209" i="1" s="1"/>
  <c r="AL210" i="1"/>
  <c r="AV210" i="1" s="1"/>
  <c r="AL211" i="1"/>
  <c r="AV211" i="1" s="1"/>
  <c r="AL212" i="1"/>
  <c r="AV212" i="1" s="1"/>
  <c r="AL213" i="1"/>
  <c r="AV213" i="1" s="1"/>
  <c r="AL214" i="1"/>
  <c r="AV214" i="1" s="1"/>
  <c r="AL215" i="1"/>
  <c r="AV215" i="1" s="1"/>
  <c r="AL216" i="1"/>
  <c r="AV216" i="1" s="1"/>
  <c r="AL217" i="1"/>
  <c r="AV217" i="1" s="1"/>
  <c r="AL218" i="1"/>
  <c r="AV218" i="1" s="1"/>
  <c r="AL219" i="1"/>
  <c r="AV219" i="1" s="1"/>
  <c r="AL220" i="1"/>
  <c r="AV220" i="1" s="1"/>
  <c r="AL221" i="1"/>
  <c r="AV221" i="1" s="1"/>
  <c r="AL222" i="1"/>
  <c r="AV222" i="1" s="1"/>
  <c r="AL223" i="1"/>
  <c r="AV223" i="1" s="1"/>
  <c r="AL224" i="1"/>
  <c r="AV224" i="1" s="1"/>
  <c r="AL225" i="1"/>
  <c r="AV225" i="1" s="1"/>
  <c r="AL904" i="1"/>
  <c r="AV904" i="1" s="1"/>
  <c r="AL227" i="1"/>
  <c r="AV227" i="1" s="1"/>
  <c r="AL228" i="1"/>
  <c r="AV228" i="1" s="1"/>
  <c r="AL229" i="1"/>
  <c r="AV229" i="1" s="1"/>
  <c r="AL230" i="1"/>
  <c r="AV230" i="1" s="1"/>
  <c r="AL231" i="1"/>
  <c r="AV231" i="1" s="1"/>
  <c r="AL232" i="1"/>
  <c r="AV232" i="1" s="1"/>
  <c r="AL233" i="1"/>
  <c r="AV233" i="1" s="1"/>
  <c r="AL234" i="1"/>
  <c r="AV234" i="1" s="1"/>
  <c r="AL235" i="1"/>
  <c r="AV235" i="1" s="1"/>
  <c r="AL236" i="1"/>
  <c r="AV236" i="1" s="1"/>
  <c r="AL237" i="1"/>
  <c r="AV237" i="1" s="1"/>
  <c r="AL238" i="1"/>
  <c r="AV238" i="1" s="1"/>
  <c r="AL239" i="1"/>
  <c r="AV239" i="1" s="1"/>
  <c r="AL240" i="1"/>
  <c r="AV240" i="1" s="1"/>
  <c r="AL241" i="1"/>
  <c r="AV241" i="1" s="1"/>
  <c r="AL242" i="1"/>
  <c r="AV242" i="1" s="1"/>
  <c r="AL243" i="1"/>
  <c r="AV243" i="1" s="1"/>
  <c r="AL244" i="1"/>
  <c r="AV244" i="1" s="1"/>
  <c r="AL245" i="1"/>
  <c r="AV245" i="1" s="1"/>
  <c r="AL246" i="1"/>
  <c r="AV246" i="1" s="1"/>
  <c r="AL247" i="1"/>
  <c r="AV247" i="1" s="1"/>
  <c r="AL248" i="1"/>
  <c r="AV248" i="1" s="1"/>
  <c r="AL249" i="1"/>
  <c r="AV249" i="1" s="1"/>
  <c r="AL250" i="1"/>
  <c r="AV250" i="1" s="1"/>
  <c r="AL251" i="1"/>
  <c r="AV251" i="1" s="1"/>
  <c r="AL252" i="1"/>
  <c r="AV252" i="1" s="1"/>
  <c r="AL253" i="1"/>
  <c r="AV253" i="1" s="1"/>
  <c r="AL254" i="1"/>
  <c r="AV254" i="1" s="1"/>
  <c r="AL255" i="1"/>
  <c r="AV255" i="1" s="1"/>
  <c r="AL256" i="1"/>
  <c r="AV256" i="1" s="1"/>
  <c r="AL257" i="1"/>
  <c r="AV257" i="1" s="1"/>
  <c r="AL258" i="1"/>
  <c r="AV258" i="1" s="1"/>
  <c r="AL259" i="1"/>
  <c r="AV259" i="1" s="1"/>
  <c r="AL260" i="1"/>
  <c r="AV260" i="1" s="1"/>
  <c r="AL261" i="1"/>
  <c r="AV261" i="1" s="1"/>
  <c r="AL262" i="1"/>
  <c r="AV262" i="1" s="1"/>
  <c r="AL263" i="1"/>
  <c r="AV263" i="1" s="1"/>
  <c r="AL264" i="1"/>
  <c r="AV264" i="1" s="1"/>
  <c r="AL265" i="1"/>
  <c r="AV265" i="1" s="1"/>
  <c r="AL266" i="1"/>
  <c r="AV266" i="1" s="1"/>
  <c r="AL267" i="1"/>
  <c r="AV267" i="1" s="1"/>
  <c r="AL268" i="1"/>
  <c r="AV268" i="1" s="1"/>
  <c r="AL269" i="1"/>
  <c r="AV269" i="1" s="1"/>
  <c r="AL270" i="1"/>
  <c r="AV270" i="1" s="1"/>
  <c r="AL271" i="1"/>
  <c r="AV271" i="1" s="1"/>
  <c r="AL272" i="1"/>
  <c r="AV272" i="1" s="1"/>
  <c r="AL273" i="1"/>
  <c r="AV273" i="1" s="1"/>
  <c r="AL226" i="1"/>
  <c r="AV226" i="1" s="1"/>
  <c r="AL275" i="1"/>
  <c r="AV275" i="1" s="1"/>
  <c r="AL276" i="1"/>
  <c r="AV276" i="1" s="1"/>
  <c r="AL277" i="1"/>
  <c r="AV277" i="1" s="1"/>
  <c r="AL278" i="1"/>
  <c r="AV278" i="1" s="1"/>
  <c r="AL279" i="1"/>
  <c r="AV279" i="1" s="1"/>
  <c r="AL280" i="1"/>
  <c r="AV280" i="1" s="1"/>
  <c r="AL281" i="1"/>
  <c r="AV281" i="1" s="1"/>
  <c r="AL282" i="1"/>
  <c r="AV282" i="1" s="1"/>
  <c r="AL283" i="1"/>
  <c r="AV283" i="1" s="1"/>
  <c r="AL284" i="1"/>
  <c r="AV284" i="1" s="1"/>
  <c r="AL285" i="1"/>
  <c r="AV285" i="1" s="1"/>
  <c r="AL286" i="1"/>
  <c r="AV286" i="1" s="1"/>
  <c r="AL287" i="1"/>
  <c r="AV287" i="1" s="1"/>
  <c r="AL288" i="1"/>
  <c r="AV288" i="1" s="1"/>
  <c r="AL289" i="1"/>
  <c r="AV289" i="1" s="1"/>
  <c r="AL290" i="1"/>
  <c r="AV290" i="1" s="1"/>
  <c r="AL291" i="1"/>
  <c r="AV291" i="1" s="1"/>
  <c r="AL292" i="1"/>
  <c r="AV292" i="1" s="1"/>
  <c r="AL293" i="1"/>
  <c r="AV293" i="1" s="1"/>
  <c r="AL294" i="1"/>
  <c r="AV294" i="1" s="1"/>
  <c r="AL295" i="1"/>
  <c r="AV295" i="1" s="1"/>
  <c r="AL296" i="1"/>
  <c r="AV296" i="1" s="1"/>
  <c r="AL297" i="1"/>
  <c r="AV297" i="1" s="1"/>
  <c r="AL298" i="1"/>
  <c r="AV298" i="1" s="1"/>
  <c r="AL299" i="1"/>
  <c r="AV299" i="1" s="1"/>
  <c r="AL300" i="1"/>
  <c r="AV300" i="1" s="1"/>
  <c r="AL301" i="1"/>
  <c r="AV301" i="1" s="1"/>
  <c r="AL302" i="1"/>
  <c r="AV302" i="1" s="1"/>
  <c r="AL303" i="1"/>
  <c r="AV303" i="1" s="1"/>
  <c r="AL304" i="1"/>
  <c r="AV304" i="1" s="1"/>
  <c r="AL305" i="1"/>
  <c r="AV305" i="1" s="1"/>
  <c r="AL306" i="1"/>
  <c r="AV306" i="1" s="1"/>
  <c r="AL307" i="1"/>
  <c r="AV307" i="1" s="1"/>
  <c r="AL308" i="1"/>
  <c r="AV308" i="1" s="1"/>
  <c r="AL309" i="1"/>
  <c r="AV309" i="1" s="1"/>
  <c r="AL310" i="1"/>
  <c r="AV310" i="1" s="1"/>
  <c r="AL311" i="1"/>
  <c r="AV311" i="1" s="1"/>
  <c r="AL312" i="1"/>
  <c r="AV312" i="1" s="1"/>
  <c r="AL313" i="1"/>
  <c r="AV313" i="1" s="1"/>
  <c r="AL314" i="1"/>
  <c r="AV314" i="1" s="1"/>
  <c r="AL315" i="1"/>
  <c r="AV315" i="1" s="1"/>
  <c r="AL906" i="1"/>
  <c r="AV906" i="1" s="1"/>
  <c r="AL317" i="1"/>
  <c r="AV317" i="1" s="1"/>
  <c r="AL318" i="1"/>
  <c r="AV318" i="1" s="1"/>
  <c r="AL319" i="1"/>
  <c r="AV319" i="1" s="1"/>
  <c r="AL320" i="1"/>
  <c r="AV320" i="1" s="1"/>
  <c r="AL321" i="1"/>
  <c r="AV321" i="1" s="1"/>
  <c r="AL322" i="1"/>
  <c r="AV322" i="1" s="1"/>
  <c r="AL323" i="1"/>
  <c r="AV323" i="1" s="1"/>
  <c r="AL324" i="1"/>
  <c r="AV324" i="1" s="1"/>
  <c r="AL325" i="1"/>
  <c r="AV325" i="1" s="1"/>
  <c r="AL326" i="1"/>
  <c r="AV326" i="1" s="1"/>
  <c r="AL327" i="1"/>
  <c r="AV327" i="1" s="1"/>
  <c r="AL328" i="1"/>
  <c r="AV328" i="1" s="1"/>
  <c r="AL329" i="1"/>
  <c r="AV329" i="1" s="1"/>
  <c r="AL330" i="1"/>
  <c r="AV330" i="1" s="1"/>
  <c r="AL331" i="1"/>
  <c r="AV331" i="1" s="1"/>
  <c r="AL332" i="1"/>
  <c r="AV332" i="1" s="1"/>
  <c r="AL316" i="1"/>
  <c r="AV316" i="1" s="1"/>
  <c r="AL334" i="1"/>
  <c r="AV334" i="1" s="1"/>
  <c r="AL335" i="1"/>
  <c r="AV335" i="1" s="1"/>
  <c r="AL336" i="1"/>
  <c r="AV336" i="1" s="1"/>
  <c r="AL908" i="1"/>
  <c r="AV908" i="1" s="1"/>
  <c r="AL338" i="1"/>
  <c r="AV338" i="1" s="1"/>
  <c r="AL339" i="1"/>
  <c r="AV339" i="1" s="1"/>
  <c r="AL340" i="1"/>
  <c r="AV340" i="1" s="1"/>
  <c r="AL341" i="1"/>
  <c r="AV341" i="1" s="1"/>
  <c r="AL342" i="1"/>
  <c r="AV342" i="1" s="1"/>
  <c r="AL343" i="1"/>
  <c r="AV343" i="1" s="1"/>
  <c r="AL344" i="1"/>
  <c r="AV344" i="1" s="1"/>
  <c r="AL345" i="1"/>
  <c r="AV345" i="1" s="1"/>
  <c r="AL346" i="1"/>
  <c r="AV346" i="1" s="1"/>
  <c r="AL347" i="1"/>
  <c r="AV347" i="1" s="1"/>
  <c r="AL348" i="1"/>
  <c r="AV348" i="1" s="1"/>
  <c r="AL349" i="1"/>
  <c r="AV349" i="1" s="1"/>
  <c r="AL350" i="1"/>
  <c r="AV350" i="1" s="1"/>
  <c r="AL351" i="1"/>
  <c r="AV351" i="1" s="1"/>
  <c r="AL352" i="1"/>
  <c r="AV352" i="1" s="1"/>
  <c r="AL353" i="1"/>
  <c r="AV353" i="1" s="1"/>
  <c r="AL354" i="1"/>
  <c r="AV354" i="1" s="1"/>
  <c r="AL355" i="1"/>
  <c r="AV355" i="1" s="1"/>
  <c r="AL356" i="1"/>
  <c r="AV356" i="1" s="1"/>
  <c r="AL357" i="1"/>
  <c r="AV357" i="1" s="1"/>
  <c r="AL358" i="1"/>
  <c r="AV358" i="1" s="1"/>
  <c r="AL359" i="1"/>
  <c r="AV359" i="1" s="1"/>
  <c r="AL360" i="1"/>
  <c r="AV360" i="1" s="1"/>
  <c r="AL361" i="1"/>
  <c r="AV361" i="1" s="1"/>
  <c r="AL362" i="1"/>
  <c r="AV362" i="1" s="1"/>
  <c r="AL363" i="1"/>
  <c r="AV363" i="1" s="1"/>
  <c r="AL364" i="1"/>
  <c r="AV364" i="1" s="1"/>
  <c r="AL365" i="1"/>
  <c r="AV365" i="1" s="1"/>
  <c r="AL366" i="1"/>
  <c r="AV366" i="1" s="1"/>
  <c r="AL367" i="1"/>
  <c r="AV367" i="1" s="1"/>
  <c r="AL368" i="1"/>
  <c r="AV368" i="1" s="1"/>
  <c r="AL369" i="1"/>
  <c r="AV369" i="1" s="1"/>
  <c r="AL370" i="1"/>
  <c r="AV370" i="1" s="1"/>
  <c r="AL371" i="1"/>
  <c r="AV371" i="1" s="1"/>
  <c r="AL372" i="1"/>
  <c r="AV372" i="1" s="1"/>
  <c r="AL373" i="1"/>
  <c r="AV373" i="1" s="1"/>
  <c r="AL374" i="1"/>
  <c r="AV374" i="1" s="1"/>
  <c r="AL910" i="1"/>
  <c r="AV910" i="1" s="1"/>
  <c r="AL376" i="1"/>
  <c r="AV376" i="1" s="1"/>
  <c r="AL377" i="1"/>
  <c r="AV377" i="1" s="1"/>
  <c r="AL378" i="1"/>
  <c r="AV378" i="1" s="1"/>
  <c r="AL379" i="1"/>
  <c r="AV379" i="1" s="1"/>
  <c r="AL380" i="1"/>
  <c r="AV380" i="1" s="1"/>
  <c r="AL381" i="1"/>
  <c r="AV381" i="1" s="1"/>
  <c r="AL382" i="1"/>
  <c r="AV382" i="1" s="1"/>
  <c r="AL383" i="1"/>
  <c r="AV383" i="1" s="1"/>
  <c r="AL384" i="1"/>
  <c r="AV384" i="1" s="1"/>
  <c r="AL385" i="1"/>
  <c r="AV385" i="1" s="1"/>
  <c r="AL386" i="1"/>
  <c r="AV386" i="1" s="1"/>
  <c r="AL387" i="1"/>
  <c r="AV387" i="1" s="1"/>
  <c r="AL388" i="1"/>
  <c r="AV388" i="1" s="1"/>
  <c r="AL389" i="1"/>
  <c r="AV389" i="1" s="1"/>
  <c r="AL390" i="1"/>
  <c r="AV390" i="1" s="1"/>
  <c r="AL391" i="1"/>
  <c r="AV391" i="1" s="1"/>
  <c r="AL392" i="1"/>
  <c r="AV392" i="1" s="1"/>
  <c r="AL393" i="1"/>
  <c r="AV393" i="1" s="1"/>
  <c r="AL394" i="1"/>
  <c r="AV394" i="1" s="1"/>
  <c r="AL395" i="1"/>
  <c r="AV395" i="1" s="1"/>
  <c r="AL396" i="1"/>
  <c r="AV396" i="1" s="1"/>
  <c r="AL397" i="1"/>
  <c r="AV397" i="1" s="1"/>
  <c r="AL398" i="1"/>
  <c r="AV398" i="1" s="1"/>
  <c r="AL399" i="1"/>
  <c r="AV399" i="1" s="1"/>
  <c r="AL400" i="1"/>
  <c r="AV400" i="1" s="1"/>
  <c r="AL401" i="1"/>
  <c r="AV401" i="1" s="1"/>
  <c r="AL402" i="1"/>
  <c r="AV402" i="1" s="1"/>
  <c r="AL403" i="1"/>
  <c r="AV403" i="1" s="1"/>
  <c r="AL404" i="1"/>
  <c r="AV404" i="1" s="1"/>
  <c r="AL405" i="1"/>
  <c r="AV405" i="1" s="1"/>
  <c r="AL406" i="1"/>
  <c r="AV406" i="1" s="1"/>
  <c r="AL407" i="1"/>
  <c r="AV407" i="1" s="1"/>
  <c r="AL408" i="1"/>
  <c r="AV408" i="1" s="1"/>
  <c r="AL409" i="1"/>
  <c r="AV409" i="1" s="1"/>
  <c r="AL410" i="1"/>
  <c r="AV410" i="1" s="1"/>
  <c r="AL411" i="1"/>
  <c r="AV411" i="1" s="1"/>
  <c r="AL412" i="1"/>
  <c r="AV412" i="1" s="1"/>
  <c r="AL413" i="1"/>
  <c r="AV413" i="1" s="1"/>
  <c r="AL414" i="1"/>
  <c r="AV414" i="1" s="1"/>
  <c r="AL415" i="1"/>
  <c r="AV415" i="1" s="1"/>
  <c r="AL416" i="1"/>
  <c r="AV416" i="1" s="1"/>
  <c r="AL417" i="1"/>
  <c r="AV417" i="1" s="1"/>
  <c r="AL418" i="1"/>
  <c r="AV418" i="1" s="1"/>
  <c r="AL419" i="1"/>
  <c r="AV419" i="1" s="1"/>
  <c r="AL420" i="1"/>
  <c r="AV420" i="1" s="1"/>
  <c r="AL421" i="1"/>
  <c r="AV421" i="1" s="1"/>
  <c r="AL422" i="1"/>
  <c r="AV422" i="1" s="1"/>
  <c r="AL423" i="1"/>
  <c r="AV423" i="1" s="1"/>
  <c r="AL424" i="1"/>
  <c r="AV424" i="1" s="1"/>
  <c r="AL337" i="1"/>
  <c r="AV337" i="1" s="1"/>
  <c r="AL426" i="1"/>
  <c r="AV426" i="1" s="1"/>
  <c r="AL427" i="1"/>
  <c r="AV427" i="1" s="1"/>
  <c r="AL428" i="1"/>
  <c r="AV428" i="1" s="1"/>
  <c r="AL429" i="1"/>
  <c r="AV429" i="1" s="1"/>
  <c r="AL430" i="1"/>
  <c r="AV430" i="1" s="1"/>
  <c r="AL431" i="1"/>
  <c r="AV431" i="1" s="1"/>
  <c r="AL432" i="1"/>
  <c r="AV432" i="1" s="1"/>
  <c r="AL433" i="1"/>
  <c r="AV433" i="1" s="1"/>
  <c r="AL434" i="1"/>
  <c r="AV434" i="1" s="1"/>
  <c r="AL435" i="1"/>
  <c r="AV435" i="1" s="1"/>
  <c r="AL436" i="1"/>
  <c r="AV436" i="1" s="1"/>
  <c r="AL437" i="1"/>
  <c r="AV437" i="1" s="1"/>
  <c r="AL438" i="1"/>
  <c r="AV438" i="1" s="1"/>
  <c r="AL439" i="1"/>
  <c r="AV439" i="1" s="1"/>
  <c r="AL440" i="1"/>
  <c r="AV440" i="1" s="1"/>
  <c r="AL441" i="1"/>
  <c r="AV441" i="1" s="1"/>
  <c r="AL442" i="1"/>
  <c r="AV442" i="1" s="1"/>
  <c r="AL443" i="1"/>
  <c r="AV443" i="1" s="1"/>
  <c r="AL444" i="1"/>
  <c r="AV444" i="1" s="1"/>
  <c r="AL445" i="1"/>
  <c r="AV445" i="1" s="1"/>
  <c r="AL446" i="1"/>
  <c r="AV446" i="1" s="1"/>
  <c r="AL447" i="1"/>
  <c r="AV447" i="1" s="1"/>
  <c r="AL448" i="1"/>
  <c r="AV448" i="1" s="1"/>
  <c r="AL449" i="1"/>
  <c r="AV449" i="1" s="1"/>
  <c r="AL450" i="1"/>
  <c r="AV450" i="1" s="1"/>
  <c r="AL451" i="1"/>
  <c r="AV451" i="1" s="1"/>
  <c r="AL452" i="1"/>
  <c r="AV452" i="1" s="1"/>
  <c r="AL453" i="1"/>
  <c r="AV453" i="1" s="1"/>
  <c r="AL454" i="1"/>
  <c r="AV454" i="1" s="1"/>
  <c r="AL455" i="1"/>
  <c r="AV455" i="1" s="1"/>
  <c r="AL456" i="1"/>
  <c r="AV456" i="1" s="1"/>
  <c r="AL457" i="1"/>
  <c r="AV457" i="1" s="1"/>
  <c r="AL458" i="1"/>
  <c r="AV458" i="1" s="1"/>
  <c r="AL459" i="1"/>
  <c r="AV459" i="1" s="1"/>
  <c r="AL460" i="1"/>
  <c r="AV460" i="1" s="1"/>
  <c r="AL461" i="1"/>
  <c r="AV461" i="1" s="1"/>
  <c r="AL462" i="1"/>
  <c r="AV462" i="1" s="1"/>
  <c r="AL463" i="1"/>
  <c r="AV463" i="1" s="1"/>
  <c r="AL464" i="1"/>
  <c r="AV464" i="1" s="1"/>
  <c r="AL465" i="1"/>
  <c r="AV465" i="1" s="1"/>
  <c r="AL466" i="1"/>
  <c r="AV466" i="1" s="1"/>
  <c r="AL467" i="1"/>
  <c r="AV467" i="1" s="1"/>
  <c r="AL468" i="1"/>
  <c r="AV468" i="1" s="1"/>
  <c r="AL469" i="1"/>
  <c r="AV469" i="1" s="1"/>
  <c r="AL470" i="1"/>
  <c r="AV470" i="1" s="1"/>
  <c r="AL471" i="1"/>
  <c r="AV471" i="1" s="1"/>
  <c r="AL472" i="1"/>
  <c r="AV472" i="1" s="1"/>
  <c r="AL473" i="1"/>
  <c r="AV473" i="1" s="1"/>
  <c r="AL474" i="1"/>
  <c r="AV474" i="1" s="1"/>
  <c r="AL475" i="1"/>
  <c r="AV475" i="1" s="1"/>
  <c r="AL476" i="1"/>
  <c r="AV476" i="1" s="1"/>
  <c r="AL477" i="1"/>
  <c r="AV477" i="1" s="1"/>
  <c r="AL478" i="1"/>
  <c r="AV478" i="1" s="1"/>
  <c r="AL479" i="1"/>
  <c r="AV479" i="1" s="1"/>
  <c r="AL480" i="1"/>
  <c r="AV480" i="1" s="1"/>
  <c r="AL481" i="1"/>
  <c r="AV481" i="1" s="1"/>
  <c r="AL482" i="1"/>
  <c r="AV482" i="1" s="1"/>
  <c r="AL483" i="1"/>
  <c r="AV483" i="1" s="1"/>
  <c r="AL484" i="1"/>
  <c r="AV484" i="1" s="1"/>
  <c r="AL485" i="1"/>
  <c r="AV485" i="1" s="1"/>
  <c r="AL486" i="1"/>
  <c r="AV486" i="1" s="1"/>
  <c r="AL487" i="1"/>
  <c r="AV487" i="1" s="1"/>
  <c r="AL488" i="1"/>
  <c r="AV488" i="1" s="1"/>
  <c r="AL489" i="1"/>
  <c r="AV489" i="1" s="1"/>
  <c r="AL490" i="1"/>
  <c r="AV490" i="1" s="1"/>
  <c r="AL491" i="1"/>
  <c r="AV491" i="1" s="1"/>
  <c r="AL492" i="1"/>
  <c r="AV492" i="1" s="1"/>
  <c r="AL493" i="1"/>
  <c r="AV493" i="1" s="1"/>
  <c r="AL494" i="1"/>
  <c r="AV494" i="1" s="1"/>
  <c r="AL495" i="1"/>
  <c r="AV495" i="1" s="1"/>
  <c r="AL496" i="1"/>
  <c r="AV496" i="1" s="1"/>
  <c r="AL497" i="1"/>
  <c r="AV497" i="1" s="1"/>
  <c r="AL498" i="1"/>
  <c r="AV498" i="1" s="1"/>
  <c r="AL499" i="1"/>
  <c r="AV499" i="1" s="1"/>
  <c r="AL500" i="1"/>
  <c r="AV500" i="1" s="1"/>
  <c r="AL501" i="1"/>
  <c r="AV501" i="1" s="1"/>
  <c r="AL502" i="1"/>
  <c r="AV502" i="1" s="1"/>
  <c r="AL503" i="1"/>
  <c r="AV503" i="1" s="1"/>
  <c r="AL504" i="1"/>
  <c r="AV504" i="1" s="1"/>
  <c r="AL505" i="1"/>
  <c r="AV505" i="1" s="1"/>
  <c r="AL506" i="1"/>
  <c r="AV506" i="1" s="1"/>
  <c r="AL507" i="1"/>
  <c r="AV507" i="1" s="1"/>
  <c r="AL508" i="1"/>
  <c r="AV508" i="1" s="1"/>
  <c r="AL509" i="1"/>
  <c r="AV509" i="1" s="1"/>
  <c r="AL510" i="1"/>
  <c r="AV510" i="1" s="1"/>
  <c r="AL511" i="1"/>
  <c r="AV511" i="1" s="1"/>
  <c r="AL512" i="1"/>
  <c r="AV512" i="1" s="1"/>
  <c r="AL513" i="1"/>
  <c r="AV513" i="1" s="1"/>
  <c r="AL514" i="1"/>
  <c r="AV514" i="1" s="1"/>
  <c r="AL515" i="1"/>
  <c r="AV515" i="1" s="1"/>
  <c r="AL516" i="1"/>
  <c r="AV516" i="1" s="1"/>
  <c r="AL517" i="1"/>
  <c r="AV517" i="1" s="1"/>
  <c r="AL518" i="1"/>
  <c r="AV518" i="1" s="1"/>
  <c r="AL519" i="1"/>
  <c r="AV519" i="1" s="1"/>
  <c r="AL520" i="1"/>
  <c r="AV520" i="1" s="1"/>
  <c r="AL521" i="1"/>
  <c r="AV521" i="1" s="1"/>
  <c r="AL522" i="1"/>
  <c r="AV522" i="1" s="1"/>
  <c r="AL523" i="1"/>
  <c r="AV523" i="1" s="1"/>
  <c r="AL524" i="1"/>
  <c r="AV524" i="1" s="1"/>
  <c r="AL525" i="1"/>
  <c r="AV525" i="1" s="1"/>
  <c r="AL526" i="1"/>
  <c r="AV526" i="1" s="1"/>
  <c r="AL527" i="1"/>
  <c r="AV527" i="1" s="1"/>
  <c r="AL528" i="1"/>
  <c r="AV528" i="1" s="1"/>
  <c r="AL529" i="1"/>
  <c r="AV529" i="1" s="1"/>
  <c r="AL530" i="1"/>
  <c r="AV530" i="1" s="1"/>
  <c r="AL531" i="1"/>
  <c r="AV531" i="1" s="1"/>
  <c r="AL532" i="1"/>
  <c r="AV532" i="1" s="1"/>
  <c r="AL533" i="1"/>
  <c r="AV533" i="1" s="1"/>
  <c r="AL534" i="1"/>
  <c r="AV534" i="1" s="1"/>
  <c r="AL535" i="1"/>
  <c r="AV535" i="1" s="1"/>
  <c r="AL536" i="1"/>
  <c r="AV536" i="1" s="1"/>
  <c r="AL537" i="1"/>
  <c r="AV537" i="1" s="1"/>
  <c r="AL538" i="1"/>
  <c r="AV538" i="1" s="1"/>
  <c r="AL539" i="1"/>
  <c r="AV539" i="1" s="1"/>
  <c r="AL540" i="1"/>
  <c r="AV540" i="1" s="1"/>
  <c r="AL541" i="1"/>
  <c r="AV541" i="1" s="1"/>
  <c r="AL542" i="1"/>
  <c r="AV542" i="1" s="1"/>
  <c r="AL543" i="1"/>
  <c r="AV543" i="1" s="1"/>
  <c r="AL544" i="1"/>
  <c r="AV544" i="1" s="1"/>
  <c r="AL545" i="1"/>
  <c r="AV545" i="1" s="1"/>
  <c r="AL546" i="1"/>
  <c r="AV546" i="1" s="1"/>
  <c r="AL547" i="1"/>
  <c r="AV547" i="1" s="1"/>
  <c r="AL548" i="1"/>
  <c r="AV548" i="1" s="1"/>
  <c r="AL549" i="1"/>
  <c r="AV549" i="1" s="1"/>
  <c r="AL550" i="1"/>
  <c r="AV550" i="1" s="1"/>
  <c r="AL551" i="1"/>
  <c r="AV551" i="1" s="1"/>
  <c r="AL552" i="1"/>
  <c r="AV552" i="1" s="1"/>
  <c r="AL553" i="1"/>
  <c r="AV553" i="1" s="1"/>
  <c r="AL554" i="1"/>
  <c r="AV554" i="1" s="1"/>
  <c r="AL555" i="1"/>
  <c r="AV555" i="1" s="1"/>
  <c r="AL556" i="1"/>
  <c r="AV556" i="1" s="1"/>
  <c r="AL557" i="1"/>
  <c r="AV557" i="1" s="1"/>
  <c r="AL558" i="1"/>
  <c r="AV558" i="1" s="1"/>
  <c r="AL559" i="1"/>
  <c r="AV559" i="1" s="1"/>
  <c r="AL560" i="1"/>
  <c r="AV560" i="1" s="1"/>
  <c r="AL561" i="1"/>
  <c r="AV561" i="1" s="1"/>
  <c r="AL562" i="1"/>
  <c r="AV562" i="1" s="1"/>
  <c r="AL563" i="1"/>
  <c r="AV563" i="1" s="1"/>
  <c r="AL564" i="1"/>
  <c r="AV564" i="1" s="1"/>
  <c r="AL565" i="1"/>
  <c r="AV565" i="1" s="1"/>
  <c r="AL566" i="1"/>
  <c r="AV566" i="1" s="1"/>
  <c r="AL567" i="1"/>
  <c r="AV567" i="1" s="1"/>
  <c r="AL568" i="1"/>
  <c r="AV568" i="1" s="1"/>
  <c r="AL569" i="1"/>
  <c r="AV569" i="1" s="1"/>
  <c r="AL570" i="1"/>
  <c r="AV570" i="1" s="1"/>
  <c r="AL571" i="1"/>
  <c r="AV571" i="1" s="1"/>
  <c r="AL572" i="1"/>
  <c r="AV572" i="1" s="1"/>
  <c r="AL912" i="1"/>
  <c r="AV912" i="1" s="1"/>
  <c r="AL574" i="1"/>
  <c r="AV574" i="1" s="1"/>
  <c r="AL575" i="1"/>
  <c r="AV575" i="1" s="1"/>
  <c r="AL576" i="1"/>
  <c r="AV576" i="1" s="1"/>
  <c r="AL577" i="1"/>
  <c r="AV577" i="1" s="1"/>
  <c r="AL578" i="1"/>
  <c r="AV578" i="1" s="1"/>
  <c r="AL579" i="1"/>
  <c r="AV579" i="1" s="1"/>
  <c r="AL580" i="1"/>
  <c r="AV580" i="1" s="1"/>
  <c r="AL581" i="1"/>
  <c r="AV581" i="1" s="1"/>
  <c r="AL582" i="1"/>
  <c r="AV582" i="1" s="1"/>
  <c r="AL583" i="1"/>
  <c r="AV583" i="1" s="1"/>
  <c r="AL584" i="1"/>
  <c r="AV584" i="1" s="1"/>
  <c r="AL585" i="1"/>
  <c r="AV585" i="1" s="1"/>
  <c r="AL586" i="1"/>
  <c r="AV586" i="1" s="1"/>
  <c r="AL587" i="1"/>
  <c r="AV587" i="1" s="1"/>
  <c r="AL588" i="1"/>
  <c r="AV588" i="1" s="1"/>
  <c r="AL589" i="1"/>
  <c r="AV589" i="1" s="1"/>
  <c r="AL590" i="1"/>
  <c r="AV590" i="1" s="1"/>
  <c r="AL591" i="1"/>
  <c r="AV591" i="1" s="1"/>
  <c r="AL592" i="1"/>
  <c r="AV592" i="1" s="1"/>
  <c r="AL593" i="1"/>
  <c r="AV593" i="1" s="1"/>
  <c r="AL594" i="1"/>
  <c r="AV594" i="1" s="1"/>
  <c r="AL595" i="1"/>
  <c r="AV595" i="1" s="1"/>
  <c r="AL596" i="1"/>
  <c r="AV596" i="1" s="1"/>
  <c r="AL597" i="1"/>
  <c r="AV597" i="1" s="1"/>
  <c r="AL598" i="1"/>
  <c r="AV598" i="1" s="1"/>
  <c r="AL599" i="1"/>
  <c r="AV599" i="1" s="1"/>
  <c r="AL600" i="1"/>
  <c r="AV600" i="1" s="1"/>
  <c r="AL601" i="1"/>
  <c r="AV601" i="1" s="1"/>
  <c r="AL602" i="1"/>
  <c r="AV602" i="1" s="1"/>
  <c r="AL603" i="1"/>
  <c r="AV603" i="1" s="1"/>
  <c r="AL604" i="1"/>
  <c r="AV604" i="1" s="1"/>
  <c r="AL605" i="1"/>
  <c r="AV605" i="1" s="1"/>
  <c r="AL606" i="1"/>
  <c r="AV606" i="1" s="1"/>
  <c r="AL607" i="1"/>
  <c r="AV607" i="1" s="1"/>
  <c r="AL608" i="1"/>
  <c r="AV608" i="1" s="1"/>
  <c r="AL609" i="1"/>
  <c r="AV609" i="1" s="1"/>
  <c r="AL610" i="1"/>
  <c r="AV610" i="1" s="1"/>
  <c r="AL611" i="1"/>
  <c r="AV611" i="1" s="1"/>
  <c r="AL612" i="1"/>
  <c r="AV612" i="1" s="1"/>
  <c r="AL613" i="1"/>
  <c r="AV613" i="1" s="1"/>
  <c r="AL614" i="1"/>
  <c r="AV614" i="1" s="1"/>
  <c r="AL615" i="1"/>
  <c r="AV615" i="1" s="1"/>
  <c r="AL616" i="1"/>
  <c r="AV616" i="1" s="1"/>
  <c r="AL617" i="1"/>
  <c r="AV617" i="1" s="1"/>
  <c r="AL618" i="1"/>
  <c r="AV618" i="1" s="1"/>
  <c r="AL619" i="1"/>
  <c r="AV619" i="1" s="1"/>
  <c r="AL620" i="1"/>
  <c r="AV620" i="1" s="1"/>
  <c r="AL621" i="1"/>
  <c r="AV621" i="1" s="1"/>
  <c r="AL622" i="1"/>
  <c r="AV622" i="1" s="1"/>
  <c r="AL623" i="1"/>
  <c r="AV623" i="1" s="1"/>
  <c r="AL624" i="1"/>
  <c r="AV624" i="1" s="1"/>
  <c r="AL625" i="1"/>
  <c r="AV625" i="1" s="1"/>
  <c r="AL626" i="1"/>
  <c r="AV626" i="1" s="1"/>
  <c r="AL627" i="1"/>
  <c r="AV627" i="1" s="1"/>
  <c r="AL628" i="1"/>
  <c r="AV628" i="1" s="1"/>
  <c r="AL629" i="1"/>
  <c r="AV629" i="1" s="1"/>
  <c r="AL630" i="1"/>
  <c r="AV630" i="1" s="1"/>
  <c r="AL631" i="1"/>
  <c r="AV631" i="1" s="1"/>
  <c r="AL632" i="1"/>
  <c r="AV632" i="1" s="1"/>
  <c r="AL633" i="1"/>
  <c r="AV633" i="1" s="1"/>
  <c r="AL634" i="1"/>
  <c r="AV634" i="1" s="1"/>
  <c r="AL635" i="1"/>
  <c r="AV635" i="1" s="1"/>
  <c r="AL636" i="1"/>
  <c r="AV636" i="1" s="1"/>
  <c r="AL637" i="1"/>
  <c r="AV637" i="1" s="1"/>
  <c r="AL638" i="1"/>
  <c r="AV638" i="1" s="1"/>
  <c r="AL639" i="1"/>
  <c r="AV639" i="1" s="1"/>
  <c r="AL640" i="1"/>
  <c r="AV640" i="1" s="1"/>
  <c r="AL641" i="1"/>
  <c r="AV641" i="1" s="1"/>
  <c r="AL642" i="1"/>
  <c r="AV642" i="1" s="1"/>
  <c r="AL643" i="1"/>
  <c r="AV643" i="1" s="1"/>
  <c r="AL644" i="1"/>
  <c r="AV644" i="1" s="1"/>
  <c r="AL645" i="1"/>
  <c r="AV645" i="1" s="1"/>
  <c r="AL646" i="1"/>
  <c r="AV646" i="1" s="1"/>
  <c r="AL647" i="1"/>
  <c r="AV647" i="1" s="1"/>
  <c r="AL648" i="1"/>
  <c r="AV648" i="1" s="1"/>
  <c r="AL649" i="1"/>
  <c r="AV649" i="1" s="1"/>
  <c r="AL650" i="1"/>
  <c r="AV650" i="1" s="1"/>
  <c r="AL651" i="1"/>
  <c r="AV651" i="1" s="1"/>
  <c r="AL652" i="1"/>
  <c r="AV652" i="1" s="1"/>
  <c r="AL653" i="1"/>
  <c r="AV653" i="1" s="1"/>
  <c r="AL654" i="1"/>
  <c r="AV654" i="1" s="1"/>
  <c r="AL655" i="1"/>
  <c r="AV655" i="1" s="1"/>
  <c r="AL656" i="1"/>
  <c r="AV656" i="1" s="1"/>
  <c r="AL657" i="1"/>
  <c r="AV657" i="1" s="1"/>
  <c r="AL658" i="1"/>
  <c r="AV658" i="1" s="1"/>
  <c r="AL659" i="1"/>
  <c r="AV659" i="1" s="1"/>
  <c r="AL660" i="1"/>
  <c r="AV660" i="1" s="1"/>
  <c r="AL661" i="1"/>
  <c r="AV661" i="1" s="1"/>
  <c r="AL662" i="1"/>
  <c r="AV662" i="1" s="1"/>
  <c r="AL663" i="1"/>
  <c r="AV663" i="1" s="1"/>
  <c r="AL664" i="1"/>
  <c r="AV664" i="1" s="1"/>
  <c r="AL665" i="1"/>
  <c r="AV665" i="1" s="1"/>
  <c r="AL666" i="1"/>
  <c r="AV666" i="1" s="1"/>
  <c r="AL667" i="1"/>
  <c r="AV667" i="1" s="1"/>
  <c r="AL668" i="1"/>
  <c r="AV668" i="1" s="1"/>
  <c r="AL669" i="1"/>
  <c r="AV669" i="1" s="1"/>
  <c r="AL670" i="1"/>
  <c r="AV670" i="1" s="1"/>
  <c r="AL671" i="1"/>
  <c r="AV671" i="1" s="1"/>
  <c r="AL672" i="1"/>
  <c r="AV672" i="1" s="1"/>
  <c r="AL673" i="1"/>
  <c r="AV673" i="1" s="1"/>
  <c r="AL674" i="1"/>
  <c r="AV674" i="1" s="1"/>
  <c r="AL675" i="1"/>
  <c r="AV675" i="1" s="1"/>
  <c r="AL676" i="1"/>
  <c r="AV676" i="1" s="1"/>
  <c r="AL677" i="1"/>
  <c r="AV677" i="1" s="1"/>
  <c r="AL678" i="1"/>
  <c r="AV678" i="1" s="1"/>
  <c r="AL679" i="1"/>
  <c r="AV679" i="1" s="1"/>
  <c r="AL680" i="1"/>
  <c r="AV680" i="1" s="1"/>
  <c r="AL681" i="1"/>
  <c r="AV681" i="1" s="1"/>
  <c r="AL682" i="1"/>
  <c r="AV682" i="1" s="1"/>
  <c r="AL683" i="1"/>
  <c r="AV683" i="1" s="1"/>
  <c r="AL684" i="1"/>
  <c r="AV684" i="1" s="1"/>
  <c r="AL685" i="1"/>
  <c r="AV685" i="1" s="1"/>
  <c r="AL686" i="1"/>
  <c r="AV686" i="1" s="1"/>
  <c r="AL687" i="1"/>
  <c r="AV687" i="1" s="1"/>
  <c r="AL688" i="1"/>
  <c r="AV688" i="1" s="1"/>
  <c r="AL689" i="1"/>
  <c r="AV689" i="1" s="1"/>
  <c r="AL690" i="1"/>
  <c r="AV690" i="1" s="1"/>
  <c r="AL691" i="1"/>
  <c r="AV691" i="1" s="1"/>
  <c r="AL692" i="1"/>
  <c r="AV692" i="1" s="1"/>
  <c r="AL693" i="1"/>
  <c r="AV693" i="1" s="1"/>
  <c r="AL694" i="1"/>
  <c r="AV694" i="1" s="1"/>
  <c r="AL695" i="1"/>
  <c r="AV695" i="1" s="1"/>
  <c r="AL696" i="1"/>
  <c r="AV696" i="1" s="1"/>
  <c r="AL697" i="1"/>
  <c r="AV697" i="1" s="1"/>
  <c r="AL698" i="1"/>
  <c r="AV698" i="1" s="1"/>
  <c r="AL699" i="1"/>
  <c r="AV699" i="1" s="1"/>
  <c r="AL700" i="1"/>
  <c r="AV700" i="1" s="1"/>
  <c r="AL701" i="1"/>
  <c r="AV701" i="1" s="1"/>
  <c r="AL702" i="1"/>
  <c r="AV702" i="1" s="1"/>
  <c r="AL703" i="1"/>
  <c r="AV703" i="1" s="1"/>
  <c r="AL704" i="1"/>
  <c r="AV704" i="1" s="1"/>
  <c r="AL705" i="1"/>
  <c r="AV705" i="1" s="1"/>
  <c r="AL706" i="1"/>
  <c r="AV706" i="1" s="1"/>
  <c r="AL707" i="1"/>
  <c r="AV707" i="1" s="1"/>
  <c r="AL708" i="1"/>
  <c r="AV708" i="1" s="1"/>
  <c r="AL709" i="1"/>
  <c r="AV709" i="1" s="1"/>
  <c r="AL710" i="1"/>
  <c r="AV710" i="1" s="1"/>
  <c r="AL711" i="1"/>
  <c r="AV711" i="1" s="1"/>
  <c r="AL712" i="1"/>
  <c r="AV712" i="1" s="1"/>
  <c r="AL713" i="1"/>
  <c r="AV713" i="1" s="1"/>
  <c r="AL714" i="1"/>
  <c r="AV714" i="1" s="1"/>
  <c r="AL715" i="1"/>
  <c r="AV715" i="1" s="1"/>
  <c r="AL716" i="1"/>
  <c r="AV716" i="1" s="1"/>
  <c r="AL717" i="1"/>
  <c r="AV717" i="1" s="1"/>
  <c r="AL718" i="1"/>
  <c r="AV718" i="1" s="1"/>
  <c r="AL719" i="1"/>
  <c r="AV719" i="1" s="1"/>
  <c r="AL720" i="1"/>
  <c r="AV720" i="1" s="1"/>
  <c r="AL721" i="1"/>
  <c r="AV721" i="1" s="1"/>
  <c r="AL722" i="1"/>
  <c r="AV722" i="1" s="1"/>
  <c r="AL723" i="1"/>
  <c r="AV723" i="1" s="1"/>
  <c r="AL724" i="1"/>
  <c r="AV724" i="1" s="1"/>
  <c r="AL725" i="1"/>
  <c r="AV725" i="1" s="1"/>
  <c r="AL726" i="1"/>
  <c r="AV726" i="1" s="1"/>
  <c r="AL727" i="1"/>
  <c r="AV727" i="1" s="1"/>
  <c r="AL728" i="1"/>
  <c r="AV728" i="1" s="1"/>
  <c r="AL729" i="1"/>
  <c r="AV729" i="1" s="1"/>
  <c r="AL730" i="1"/>
  <c r="AV730" i="1" s="1"/>
  <c r="AL731" i="1"/>
  <c r="AV731" i="1" s="1"/>
  <c r="AL732" i="1"/>
  <c r="AV732" i="1" s="1"/>
  <c r="AL733" i="1"/>
  <c r="AV733" i="1" s="1"/>
  <c r="AL734" i="1"/>
  <c r="AV734" i="1" s="1"/>
  <c r="AL735" i="1"/>
  <c r="AV735" i="1" s="1"/>
  <c r="AL736" i="1"/>
  <c r="AV736" i="1" s="1"/>
  <c r="AL737" i="1"/>
  <c r="AV737" i="1" s="1"/>
  <c r="AL738" i="1"/>
  <c r="AV738" i="1" s="1"/>
  <c r="AL739" i="1"/>
  <c r="AV739" i="1" s="1"/>
  <c r="AL740" i="1"/>
  <c r="AV740" i="1" s="1"/>
  <c r="AL741" i="1"/>
  <c r="AV741" i="1" s="1"/>
  <c r="AL742" i="1"/>
  <c r="AV742" i="1" s="1"/>
  <c r="AL743" i="1"/>
  <c r="AV743" i="1" s="1"/>
  <c r="AL744" i="1"/>
  <c r="AV744" i="1" s="1"/>
  <c r="AL745" i="1"/>
  <c r="AV745" i="1" s="1"/>
  <c r="AL746" i="1"/>
  <c r="AV746" i="1" s="1"/>
  <c r="AL747" i="1"/>
  <c r="AV747" i="1" s="1"/>
  <c r="AL748" i="1"/>
  <c r="AV748" i="1" s="1"/>
  <c r="AL749" i="1"/>
  <c r="AV749" i="1" s="1"/>
  <c r="AL750" i="1"/>
  <c r="AV750" i="1" s="1"/>
  <c r="AL751" i="1"/>
  <c r="AV751" i="1" s="1"/>
  <c r="AL752" i="1"/>
  <c r="AV752" i="1" s="1"/>
  <c r="AL753" i="1"/>
  <c r="AV753" i="1" s="1"/>
  <c r="AL754" i="1"/>
  <c r="AV754" i="1" s="1"/>
  <c r="AL755" i="1"/>
  <c r="AV755" i="1" s="1"/>
  <c r="AL756" i="1"/>
  <c r="AV756" i="1" s="1"/>
  <c r="AL757" i="1"/>
  <c r="AV757" i="1" s="1"/>
  <c r="AL758" i="1"/>
  <c r="AV758" i="1" s="1"/>
  <c r="AL759" i="1"/>
  <c r="AV759" i="1" s="1"/>
  <c r="AL760" i="1"/>
  <c r="AV760" i="1" s="1"/>
  <c r="AL761" i="1"/>
  <c r="AV761" i="1" s="1"/>
  <c r="AL762" i="1"/>
  <c r="AV762" i="1" s="1"/>
  <c r="AL763" i="1"/>
  <c r="AV763" i="1" s="1"/>
  <c r="AL764" i="1"/>
  <c r="AV764" i="1" s="1"/>
  <c r="AL765" i="1"/>
  <c r="AV765" i="1" s="1"/>
  <c r="AL766" i="1"/>
  <c r="AV766" i="1" s="1"/>
  <c r="AL767" i="1"/>
  <c r="AV767" i="1" s="1"/>
  <c r="AL768" i="1"/>
  <c r="AV768" i="1" s="1"/>
  <c r="AL769" i="1"/>
  <c r="AV769" i="1" s="1"/>
  <c r="AL770" i="1"/>
  <c r="AV770" i="1" s="1"/>
  <c r="AL771" i="1"/>
  <c r="AV771" i="1" s="1"/>
  <c r="AL772" i="1"/>
  <c r="AV772" i="1" s="1"/>
  <c r="AL773" i="1"/>
  <c r="AV773" i="1" s="1"/>
  <c r="AL774" i="1"/>
  <c r="AV774" i="1" s="1"/>
  <c r="AL775" i="1"/>
  <c r="AV775" i="1" s="1"/>
  <c r="AL776" i="1"/>
  <c r="AV776" i="1" s="1"/>
  <c r="AL777" i="1"/>
  <c r="AV777" i="1" s="1"/>
  <c r="AL778" i="1"/>
  <c r="AV778" i="1" s="1"/>
  <c r="AL779" i="1"/>
  <c r="AV779" i="1" s="1"/>
  <c r="AL780" i="1"/>
  <c r="AV780" i="1" s="1"/>
  <c r="AL781" i="1"/>
  <c r="AV781" i="1" s="1"/>
  <c r="AL782" i="1"/>
  <c r="AV782" i="1" s="1"/>
  <c r="AL783" i="1"/>
  <c r="AV783" i="1" s="1"/>
  <c r="AL784" i="1"/>
  <c r="AV784" i="1" s="1"/>
  <c r="AL785" i="1"/>
  <c r="AV785" i="1" s="1"/>
  <c r="AL786" i="1"/>
  <c r="AV786" i="1" s="1"/>
  <c r="AL787" i="1"/>
  <c r="AV787" i="1" s="1"/>
  <c r="AL788" i="1"/>
  <c r="AV788" i="1" s="1"/>
  <c r="AL789" i="1"/>
  <c r="AV789" i="1" s="1"/>
  <c r="AL790" i="1"/>
  <c r="AV790" i="1" s="1"/>
  <c r="AL791" i="1"/>
  <c r="AV791" i="1" s="1"/>
  <c r="AL792" i="1"/>
  <c r="AV792" i="1" s="1"/>
  <c r="AL793" i="1"/>
  <c r="AV793" i="1" s="1"/>
  <c r="AL794" i="1"/>
  <c r="AV794" i="1" s="1"/>
  <c r="AL795" i="1"/>
  <c r="AV795" i="1" s="1"/>
  <c r="AL796" i="1"/>
  <c r="AV796" i="1" s="1"/>
  <c r="AL797" i="1"/>
  <c r="AV797" i="1" s="1"/>
  <c r="AL798" i="1"/>
  <c r="AV798" i="1" s="1"/>
  <c r="AL799" i="1"/>
  <c r="AV799" i="1" s="1"/>
  <c r="AL800" i="1"/>
  <c r="AV800" i="1" s="1"/>
  <c r="AL801" i="1"/>
  <c r="AV801" i="1" s="1"/>
  <c r="AL802" i="1"/>
  <c r="AV802" i="1" s="1"/>
  <c r="AL803" i="1"/>
  <c r="AV803" i="1" s="1"/>
  <c r="AL804" i="1"/>
  <c r="AV804" i="1" s="1"/>
  <c r="AL805" i="1"/>
  <c r="AV805" i="1" s="1"/>
  <c r="AL806" i="1"/>
  <c r="AV806" i="1" s="1"/>
  <c r="AL807" i="1"/>
  <c r="AV807" i="1" s="1"/>
  <c r="AL808" i="1"/>
  <c r="AV808" i="1" s="1"/>
  <c r="AL809" i="1"/>
  <c r="AV809" i="1" s="1"/>
  <c r="AL810" i="1"/>
  <c r="AV810" i="1" s="1"/>
  <c r="AL811" i="1"/>
  <c r="AV811" i="1" s="1"/>
  <c r="AL812" i="1"/>
  <c r="AV812" i="1" s="1"/>
  <c r="AL813" i="1"/>
  <c r="AV813" i="1" s="1"/>
  <c r="AL814" i="1"/>
  <c r="AV814" i="1" s="1"/>
  <c r="AL815" i="1"/>
  <c r="AV815" i="1" s="1"/>
  <c r="AL816" i="1"/>
  <c r="AV816" i="1" s="1"/>
  <c r="AL817" i="1"/>
  <c r="AV817" i="1" s="1"/>
  <c r="AL818" i="1"/>
  <c r="AV818" i="1" s="1"/>
  <c r="AL819" i="1"/>
  <c r="AV819" i="1" s="1"/>
  <c r="AL820" i="1"/>
  <c r="AV820" i="1" s="1"/>
  <c r="AL821" i="1"/>
  <c r="AV821" i="1" s="1"/>
  <c r="AL822" i="1"/>
  <c r="AV822" i="1" s="1"/>
  <c r="AL823" i="1"/>
  <c r="AV823" i="1" s="1"/>
  <c r="AL824" i="1"/>
  <c r="AV824" i="1" s="1"/>
  <c r="AL825" i="1"/>
  <c r="AV825" i="1" s="1"/>
  <c r="AL826" i="1"/>
  <c r="AV826" i="1" s="1"/>
  <c r="AL827" i="1"/>
  <c r="AV827" i="1" s="1"/>
  <c r="AL828" i="1"/>
  <c r="AV828" i="1" s="1"/>
  <c r="AL829" i="1"/>
  <c r="AV829" i="1" s="1"/>
  <c r="AL830" i="1"/>
  <c r="AV830" i="1" s="1"/>
  <c r="AL831" i="1"/>
  <c r="AV831" i="1" s="1"/>
  <c r="AL832" i="1"/>
  <c r="AV832" i="1" s="1"/>
  <c r="AL833" i="1"/>
  <c r="AV833" i="1" s="1"/>
  <c r="AL834" i="1"/>
  <c r="AV834" i="1" s="1"/>
  <c r="AL835" i="1"/>
  <c r="AV835" i="1" s="1"/>
  <c r="AL836" i="1"/>
  <c r="AV836" i="1" s="1"/>
  <c r="AL837" i="1"/>
  <c r="AV837" i="1" s="1"/>
  <c r="AL838" i="1"/>
  <c r="AV838" i="1" s="1"/>
  <c r="AL839" i="1"/>
  <c r="AV839" i="1" s="1"/>
  <c r="AL840" i="1"/>
  <c r="AV840" i="1" s="1"/>
  <c r="AL841" i="1"/>
  <c r="AV841" i="1" s="1"/>
  <c r="AL842" i="1"/>
  <c r="AV842" i="1" s="1"/>
  <c r="AL843" i="1"/>
  <c r="AV843" i="1" s="1"/>
  <c r="AL844" i="1"/>
  <c r="AV844" i="1" s="1"/>
  <c r="AL845" i="1"/>
  <c r="AV845" i="1" s="1"/>
  <c r="AL846" i="1"/>
  <c r="AV846" i="1" s="1"/>
  <c r="AL847" i="1"/>
  <c r="AV847" i="1" s="1"/>
  <c r="AL848" i="1"/>
  <c r="AV848" i="1" s="1"/>
  <c r="AL849" i="1"/>
  <c r="AV849" i="1" s="1"/>
  <c r="AL850" i="1"/>
  <c r="AV850" i="1" s="1"/>
  <c r="AL851" i="1"/>
  <c r="AV851" i="1" s="1"/>
  <c r="AL852" i="1"/>
  <c r="AV852" i="1" s="1"/>
  <c r="AL853" i="1"/>
  <c r="AV853" i="1" s="1"/>
  <c r="AL854" i="1"/>
  <c r="AV854" i="1" s="1"/>
  <c r="AL855" i="1"/>
  <c r="AV855" i="1" s="1"/>
  <c r="AL856" i="1"/>
  <c r="AV856" i="1" s="1"/>
  <c r="AL857" i="1"/>
  <c r="AV857" i="1" s="1"/>
  <c r="AL858" i="1"/>
  <c r="AV858" i="1" s="1"/>
  <c r="AL859" i="1"/>
  <c r="AV859" i="1" s="1"/>
  <c r="AL860" i="1"/>
  <c r="AV860" i="1" s="1"/>
  <c r="AL861" i="1"/>
  <c r="AV861" i="1" s="1"/>
  <c r="AL862" i="1"/>
  <c r="AV862" i="1" s="1"/>
  <c r="AL863" i="1"/>
  <c r="AV863" i="1" s="1"/>
  <c r="AL864" i="1"/>
  <c r="AV864" i="1" s="1"/>
  <c r="AL865" i="1"/>
  <c r="AV865" i="1" s="1"/>
  <c r="AL866" i="1"/>
  <c r="AV866" i="1" s="1"/>
  <c r="AL867" i="1"/>
  <c r="AV867" i="1" s="1"/>
  <c r="AL868" i="1"/>
  <c r="AV868" i="1" s="1"/>
  <c r="AL869" i="1"/>
  <c r="AV869" i="1" s="1"/>
  <c r="AL870" i="1"/>
  <c r="AV870" i="1" s="1"/>
  <c r="AL871" i="1"/>
  <c r="AV871" i="1" s="1"/>
  <c r="AL872" i="1"/>
  <c r="AV872" i="1" s="1"/>
  <c r="AL873" i="1"/>
  <c r="AV873" i="1" s="1"/>
  <c r="AL874" i="1"/>
  <c r="AV874" i="1" s="1"/>
  <c r="AL875" i="1"/>
  <c r="AV875" i="1" s="1"/>
  <c r="AL876" i="1"/>
  <c r="AV876" i="1" s="1"/>
  <c r="AL877" i="1"/>
  <c r="AV877" i="1" s="1"/>
  <c r="AL878" i="1"/>
  <c r="AV878" i="1" s="1"/>
  <c r="AL879" i="1"/>
  <c r="AV879" i="1" s="1"/>
  <c r="AL880" i="1"/>
  <c r="AV880" i="1" s="1"/>
  <c r="AL881" i="1"/>
  <c r="AV881" i="1" s="1"/>
  <c r="AL882" i="1"/>
  <c r="AV882" i="1" s="1"/>
  <c r="AL883" i="1"/>
  <c r="AV883" i="1" s="1"/>
  <c r="AL884" i="1"/>
  <c r="AV884" i="1" s="1"/>
  <c r="AL885" i="1"/>
  <c r="AV885" i="1" s="1"/>
  <c r="AL886" i="1"/>
  <c r="AV886" i="1" s="1"/>
  <c r="AL887" i="1"/>
  <c r="AV887" i="1" s="1"/>
  <c r="AL888" i="1"/>
  <c r="AV888" i="1" s="1"/>
  <c r="AL889" i="1"/>
  <c r="AV889" i="1" s="1"/>
  <c r="AL890" i="1"/>
  <c r="AV890" i="1" s="1"/>
  <c r="AL891" i="1"/>
  <c r="AV891" i="1" s="1"/>
  <c r="AL892" i="1"/>
  <c r="AV892" i="1" s="1"/>
  <c r="AL893" i="1"/>
  <c r="AV893" i="1" s="1"/>
  <c r="AL894" i="1"/>
  <c r="AV894" i="1" s="1"/>
  <c r="AL895" i="1"/>
  <c r="AV895" i="1" s="1"/>
  <c r="AL896" i="1"/>
  <c r="AV896" i="1" s="1"/>
  <c r="AL897" i="1"/>
  <c r="AV897" i="1" s="1"/>
  <c r="AL898" i="1"/>
  <c r="AV898" i="1" s="1"/>
  <c r="AL899" i="1"/>
  <c r="AV899" i="1" s="1"/>
  <c r="AL900" i="1"/>
  <c r="AV900" i="1" s="1"/>
  <c r="AL901" i="1"/>
  <c r="AV901" i="1" s="1"/>
  <c r="AL333" i="1"/>
  <c r="AV333" i="1" s="1"/>
  <c r="AL573" i="1"/>
  <c r="AV573" i="1" s="1"/>
  <c r="AL911" i="1"/>
  <c r="AV911" i="1" s="1"/>
  <c r="AL905" i="1"/>
  <c r="AV905" i="1" s="1"/>
  <c r="AL907" i="1"/>
  <c r="AV907" i="1" s="1"/>
  <c r="AL903" i="1"/>
  <c r="AV903" i="1" s="1"/>
  <c r="AL375" i="1"/>
  <c r="AV375" i="1" s="1"/>
  <c r="AL913" i="1"/>
  <c r="AV913" i="1" s="1"/>
  <c r="AL172" i="1"/>
  <c r="AV172" i="1" s="1"/>
  <c r="AL274" i="1"/>
  <c r="AV274" i="1" s="1"/>
  <c r="AL125" i="1"/>
  <c r="AV125" i="1" s="1"/>
  <c r="AL909" i="1"/>
  <c r="AV909" i="1" s="1"/>
  <c r="AL2" i="1"/>
  <c r="AV2" i="1" s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425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92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90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904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26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90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16" i="1"/>
  <c r="Y334" i="1"/>
  <c r="Y335" i="1"/>
  <c r="Y336" i="1"/>
  <c r="Y908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910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337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912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333" i="1"/>
  <c r="Y573" i="1"/>
  <c r="Y911" i="1"/>
  <c r="Y905" i="1"/>
  <c r="Y907" i="1"/>
  <c r="Y903" i="1"/>
  <c r="Y375" i="1"/>
  <c r="Y913" i="1"/>
  <c r="Y172" i="1"/>
  <c r="Y274" i="1"/>
  <c r="Y125" i="1"/>
  <c r="Y909" i="1"/>
  <c r="Y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425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92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90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904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26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90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16" i="1"/>
  <c r="U334" i="1"/>
  <c r="U335" i="1"/>
  <c r="U336" i="1"/>
  <c r="U908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910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337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912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333" i="1"/>
  <c r="U573" i="1"/>
  <c r="U911" i="1"/>
  <c r="U905" i="1"/>
  <c r="U907" i="1"/>
  <c r="U903" i="1"/>
  <c r="U375" i="1"/>
  <c r="U913" i="1"/>
  <c r="U172" i="1"/>
  <c r="U274" i="1"/>
  <c r="U125" i="1"/>
  <c r="U909" i="1"/>
  <c r="U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425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92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90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904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26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90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16" i="1"/>
  <c r="Q334" i="1"/>
  <c r="Q335" i="1"/>
  <c r="Q336" i="1"/>
  <c r="Q908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910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337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912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333" i="1"/>
  <c r="Q573" i="1"/>
  <c r="Q911" i="1"/>
  <c r="Q905" i="1"/>
  <c r="Q907" i="1"/>
  <c r="Q903" i="1"/>
  <c r="Q375" i="1"/>
  <c r="Q913" i="1"/>
  <c r="Q172" i="1"/>
  <c r="Q274" i="1"/>
  <c r="Q125" i="1"/>
  <c r="Q909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425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92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90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904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26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90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16" i="1"/>
  <c r="O334" i="1"/>
  <c r="O335" i="1"/>
  <c r="O336" i="1"/>
  <c r="O908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910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337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912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333" i="1"/>
  <c r="O573" i="1"/>
  <c r="O911" i="1"/>
  <c r="O905" i="1"/>
  <c r="O907" i="1"/>
  <c r="O903" i="1"/>
  <c r="O375" i="1"/>
  <c r="O913" i="1"/>
  <c r="O172" i="1"/>
  <c r="O274" i="1"/>
  <c r="O125" i="1"/>
  <c r="O909" i="1"/>
  <c r="O2" i="1"/>
  <c r="AT909" i="1" l="1"/>
  <c r="AS909" i="1"/>
  <c r="AT905" i="1"/>
  <c r="AS905" i="1"/>
  <c r="AT897" i="1"/>
  <c r="AS897" i="1"/>
  <c r="AT889" i="1"/>
  <c r="AS889" i="1"/>
  <c r="AT881" i="1"/>
  <c r="AS881" i="1"/>
  <c r="AT873" i="1"/>
  <c r="AS873" i="1"/>
  <c r="AT865" i="1"/>
  <c r="AS865" i="1"/>
  <c r="AT857" i="1"/>
  <c r="AS857" i="1"/>
  <c r="AT849" i="1"/>
  <c r="AS849" i="1"/>
  <c r="AT841" i="1"/>
  <c r="AS841" i="1"/>
  <c r="AT833" i="1"/>
  <c r="AS833" i="1"/>
  <c r="AT825" i="1"/>
  <c r="AS825" i="1"/>
  <c r="AT817" i="1"/>
  <c r="AS817" i="1"/>
  <c r="AT809" i="1"/>
  <c r="AS809" i="1"/>
  <c r="AT801" i="1"/>
  <c r="AS801" i="1"/>
  <c r="AT793" i="1"/>
  <c r="AS793" i="1"/>
  <c r="AT785" i="1"/>
  <c r="AS785" i="1"/>
  <c r="AT777" i="1"/>
  <c r="AS777" i="1"/>
  <c r="AT769" i="1"/>
  <c r="AS769" i="1"/>
  <c r="AT761" i="1"/>
  <c r="AS761" i="1"/>
  <c r="AT753" i="1"/>
  <c r="AS753" i="1"/>
  <c r="AT745" i="1"/>
  <c r="AS745" i="1"/>
  <c r="AT737" i="1"/>
  <c r="AS737" i="1"/>
  <c r="AT729" i="1"/>
  <c r="AS729" i="1"/>
  <c r="AT721" i="1"/>
  <c r="AS721" i="1"/>
  <c r="AT713" i="1"/>
  <c r="AS713" i="1"/>
  <c r="AT705" i="1"/>
  <c r="AS705" i="1"/>
  <c r="AT697" i="1"/>
  <c r="AS697" i="1"/>
  <c r="AT689" i="1"/>
  <c r="AS689" i="1"/>
  <c r="AT681" i="1"/>
  <c r="AS681" i="1"/>
  <c r="AT673" i="1"/>
  <c r="AS673" i="1"/>
  <c r="AT665" i="1"/>
  <c r="AS665" i="1"/>
  <c r="AT657" i="1"/>
  <c r="AS657" i="1"/>
  <c r="AT649" i="1"/>
  <c r="AS649" i="1"/>
  <c r="AT641" i="1"/>
  <c r="AS641" i="1"/>
  <c r="AT633" i="1"/>
  <c r="AS633" i="1"/>
  <c r="AT625" i="1"/>
  <c r="AS625" i="1"/>
  <c r="AT617" i="1"/>
  <c r="AS617" i="1"/>
  <c r="AT609" i="1"/>
  <c r="AS609" i="1"/>
  <c r="AT601" i="1"/>
  <c r="AS601" i="1"/>
  <c r="AT593" i="1"/>
  <c r="AS593" i="1"/>
  <c r="AT585" i="1"/>
  <c r="AS585" i="1"/>
  <c r="AT577" i="1"/>
  <c r="AS577" i="1"/>
  <c r="AT569" i="1"/>
  <c r="AS569" i="1"/>
  <c r="AT561" i="1"/>
  <c r="AS561" i="1"/>
  <c r="AT553" i="1"/>
  <c r="AS553" i="1"/>
  <c r="AT545" i="1"/>
  <c r="AS545" i="1"/>
  <c r="AT537" i="1"/>
  <c r="AS537" i="1"/>
  <c r="AT529" i="1"/>
  <c r="AS529" i="1"/>
  <c r="AT521" i="1"/>
  <c r="AS521" i="1"/>
  <c r="AT513" i="1"/>
  <c r="AS513" i="1"/>
  <c r="AT505" i="1"/>
  <c r="AS505" i="1"/>
  <c r="AT497" i="1"/>
  <c r="AS497" i="1"/>
  <c r="AT489" i="1"/>
  <c r="AS489" i="1"/>
  <c r="AT481" i="1"/>
  <c r="AS481" i="1"/>
  <c r="AT473" i="1"/>
  <c r="AS473" i="1"/>
  <c r="AT465" i="1"/>
  <c r="AS465" i="1"/>
  <c r="AT457" i="1"/>
  <c r="AS457" i="1"/>
  <c r="AT449" i="1"/>
  <c r="AS449" i="1"/>
  <c r="AT441" i="1"/>
  <c r="AS441" i="1"/>
  <c r="AT433" i="1"/>
  <c r="AS433" i="1"/>
  <c r="AT337" i="1"/>
  <c r="AS337" i="1"/>
  <c r="AT417" i="1"/>
  <c r="AS417" i="1"/>
  <c r="AT409" i="1"/>
  <c r="AS409" i="1"/>
  <c r="AT401" i="1"/>
  <c r="AS401" i="1"/>
  <c r="AT393" i="1"/>
  <c r="AS393" i="1"/>
  <c r="AT385" i="1"/>
  <c r="AS385" i="1"/>
  <c r="AT377" i="1"/>
  <c r="AS377" i="1"/>
  <c r="AT369" i="1"/>
  <c r="AS369" i="1"/>
  <c r="AT361" i="1"/>
  <c r="AS361" i="1"/>
  <c r="AT353" i="1"/>
  <c r="AS353" i="1"/>
  <c r="AT345" i="1"/>
  <c r="AS345" i="1"/>
  <c r="AT908" i="1"/>
  <c r="AS908" i="1"/>
  <c r="AT329" i="1"/>
  <c r="AS329" i="1"/>
  <c r="AT321" i="1"/>
  <c r="AS321" i="1"/>
  <c r="AT313" i="1"/>
  <c r="AS313" i="1"/>
  <c r="AT305" i="1"/>
  <c r="AS305" i="1"/>
  <c r="AT297" i="1"/>
  <c r="AS297" i="1"/>
  <c r="AT289" i="1"/>
  <c r="AS289" i="1"/>
  <c r="AT281" i="1"/>
  <c r="AS281" i="1"/>
  <c r="AT273" i="1"/>
  <c r="AS273" i="1"/>
  <c r="AT265" i="1"/>
  <c r="AS265" i="1"/>
  <c r="AT257" i="1"/>
  <c r="AS257" i="1"/>
  <c r="AT249" i="1"/>
  <c r="AS249" i="1"/>
  <c r="AT241" i="1"/>
  <c r="AS241" i="1"/>
  <c r="AT233" i="1"/>
  <c r="AS233" i="1"/>
  <c r="AT225" i="1"/>
  <c r="AS225" i="1"/>
  <c r="AT217" i="1"/>
  <c r="AS217" i="1"/>
  <c r="AT209" i="1"/>
  <c r="AS209" i="1"/>
  <c r="AT201" i="1"/>
  <c r="AS201" i="1"/>
  <c r="AT193" i="1"/>
  <c r="AS193" i="1"/>
  <c r="AT185" i="1"/>
  <c r="AS185" i="1"/>
  <c r="AT177" i="1"/>
  <c r="AS177" i="1"/>
  <c r="AT169" i="1"/>
  <c r="AS169" i="1"/>
  <c r="AT161" i="1"/>
  <c r="AS161" i="1"/>
  <c r="AT153" i="1"/>
  <c r="AS153" i="1"/>
  <c r="AT145" i="1"/>
  <c r="AS145" i="1"/>
  <c r="AT137" i="1"/>
  <c r="AS137" i="1"/>
  <c r="AT129" i="1"/>
  <c r="AS129" i="1"/>
  <c r="AT121" i="1"/>
  <c r="AS121" i="1"/>
  <c r="AT113" i="1"/>
  <c r="AS113" i="1"/>
  <c r="AT105" i="1"/>
  <c r="AS105" i="1"/>
  <c r="AT97" i="1"/>
  <c r="AS97" i="1"/>
  <c r="AT89" i="1"/>
  <c r="AS89" i="1"/>
  <c r="AT81" i="1"/>
  <c r="AS81" i="1"/>
  <c r="AT73" i="1"/>
  <c r="AS73" i="1"/>
  <c r="AT65" i="1"/>
  <c r="AS65" i="1"/>
  <c r="AT57" i="1"/>
  <c r="AS57" i="1"/>
  <c r="AT49" i="1"/>
  <c r="AS49" i="1"/>
  <c r="AT41" i="1"/>
  <c r="AS41" i="1"/>
  <c r="AT33" i="1"/>
  <c r="AS33" i="1"/>
  <c r="AT25" i="1"/>
  <c r="AS25" i="1"/>
  <c r="AT17" i="1"/>
  <c r="AS17" i="1"/>
  <c r="AT9" i="1"/>
  <c r="AS9" i="1"/>
  <c r="AT125" i="1"/>
  <c r="AS125" i="1"/>
  <c r="AT911" i="1"/>
  <c r="AS911" i="1"/>
  <c r="AT896" i="1"/>
  <c r="AS896" i="1"/>
  <c r="AT888" i="1"/>
  <c r="AS888" i="1"/>
  <c r="AT880" i="1"/>
  <c r="AS880" i="1"/>
  <c r="AT872" i="1"/>
  <c r="AS872" i="1"/>
  <c r="AT864" i="1"/>
  <c r="AS864" i="1"/>
  <c r="AT856" i="1"/>
  <c r="AS856" i="1"/>
  <c r="AT848" i="1"/>
  <c r="AS848" i="1"/>
  <c r="AT840" i="1"/>
  <c r="AS840" i="1"/>
  <c r="AT832" i="1"/>
  <c r="AS832" i="1"/>
  <c r="AT824" i="1"/>
  <c r="AS824" i="1"/>
  <c r="AT816" i="1"/>
  <c r="AS816" i="1"/>
  <c r="AT808" i="1"/>
  <c r="AS808" i="1"/>
  <c r="AT800" i="1"/>
  <c r="AS800" i="1"/>
  <c r="AT792" i="1"/>
  <c r="AS792" i="1"/>
  <c r="AT784" i="1"/>
  <c r="AS784" i="1"/>
  <c r="AT776" i="1"/>
  <c r="AS776" i="1"/>
  <c r="AT768" i="1"/>
  <c r="AS768" i="1"/>
  <c r="AT760" i="1"/>
  <c r="AS760" i="1"/>
  <c r="AT752" i="1"/>
  <c r="AS752" i="1"/>
  <c r="AT744" i="1"/>
  <c r="AS744" i="1"/>
  <c r="AT736" i="1"/>
  <c r="AS736" i="1"/>
  <c r="AT728" i="1"/>
  <c r="AS728" i="1"/>
  <c r="AT720" i="1"/>
  <c r="AS720" i="1"/>
  <c r="AT712" i="1"/>
  <c r="AS712" i="1"/>
  <c r="AT704" i="1"/>
  <c r="AS704" i="1"/>
  <c r="AT696" i="1"/>
  <c r="AS696" i="1"/>
  <c r="AT688" i="1"/>
  <c r="AS688" i="1"/>
  <c r="AT680" i="1"/>
  <c r="AS680" i="1"/>
  <c r="AT672" i="1"/>
  <c r="AS672" i="1"/>
  <c r="AT664" i="1"/>
  <c r="AS664" i="1"/>
  <c r="AT656" i="1"/>
  <c r="AS656" i="1"/>
  <c r="AT648" i="1"/>
  <c r="AS648" i="1"/>
  <c r="AT640" i="1"/>
  <c r="AS640" i="1"/>
  <c r="AT632" i="1"/>
  <c r="AS632" i="1"/>
  <c r="AT624" i="1"/>
  <c r="AS624" i="1"/>
  <c r="AT616" i="1"/>
  <c r="AS616" i="1"/>
  <c r="AT608" i="1"/>
  <c r="AS608" i="1"/>
  <c r="AT600" i="1"/>
  <c r="AS600" i="1"/>
  <c r="AT592" i="1"/>
  <c r="AS592" i="1"/>
  <c r="AT584" i="1"/>
  <c r="AS584" i="1"/>
  <c r="AT576" i="1"/>
  <c r="AS576" i="1"/>
  <c r="AT568" i="1"/>
  <c r="AS568" i="1"/>
  <c r="AT560" i="1"/>
  <c r="AS560" i="1"/>
  <c r="AT552" i="1"/>
  <c r="AS552" i="1"/>
  <c r="AT544" i="1"/>
  <c r="AS544" i="1"/>
  <c r="AT536" i="1"/>
  <c r="AS536" i="1"/>
  <c r="AT528" i="1"/>
  <c r="AS528" i="1"/>
  <c r="AT520" i="1"/>
  <c r="AS520" i="1"/>
  <c r="AT512" i="1"/>
  <c r="AS512" i="1"/>
  <c r="AT504" i="1"/>
  <c r="AS504" i="1"/>
  <c r="AT496" i="1"/>
  <c r="AS496" i="1"/>
  <c r="AT488" i="1"/>
  <c r="AS488" i="1"/>
  <c r="AT480" i="1"/>
  <c r="AS480" i="1"/>
  <c r="AT472" i="1"/>
  <c r="AS472" i="1"/>
  <c r="AT464" i="1"/>
  <c r="AS464" i="1"/>
  <c r="AT456" i="1"/>
  <c r="AS456" i="1"/>
  <c r="AT448" i="1"/>
  <c r="AS448" i="1"/>
  <c r="AT440" i="1"/>
  <c r="AS440" i="1"/>
  <c r="AT432" i="1"/>
  <c r="AS432" i="1"/>
  <c r="AT424" i="1"/>
  <c r="AS424" i="1"/>
  <c r="AT416" i="1"/>
  <c r="AS416" i="1"/>
  <c r="AT408" i="1"/>
  <c r="AS408" i="1"/>
  <c r="AT400" i="1"/>
  <c r="AS400" i="1"/>
  <c r="AT392" i="1"/>
  <c r="AS392" i="1"/>
  <c r="AT384" i="1"/>
  <c r="AS384" i="1"/>
  <c r="AT376" i="1"/>
  <c r="AS376" i="1"/>
  <c r="AT368" i="1"/>
  <c r="AS368" i="1"/>
  <c r="AT360" i="1"/>
  <c r="AS360" i="1"/>
  <c r="AT352" i="1"/>
  <c r="AS352" i="1"/>
  <c r="AT344" i="1"/>
  <c r="AS344" i="1"/>
  <c r="AT336" i="1"/>
  <c r="AS336" i="1"/>
  <c r="AT328" i="1"/>
  <c r="AS328" i="1"/>
  <c r="AT320" i="1"/>
  <c r="AS320" i="1"/>
  <c r="AT312" i="1"/>
  <c r="AS312" i="1"/>
  <c r="AT304" i="1"/>
  <c r="AS304" i="1"/>
  <c r="AT296" i="1"/>
  <c r="AS296" i="1"/>
  <c r="AT288" i="1"/>
  <c r="AS288" i="1"/>
  <c r="AT280" i="1"/>
  <c r="AS280" i="1"/>
  <c r="AT272" i="1"/>
  <c r="AS272" i="1"/>
  <c r="AT264" i="1"/>
  <c r="AS264" i="1"/>
  <c r="AT256" i="1"/>
  <c r="AS256" i="1"/>
  <c r="AT248" i="1"/>
  <c r="AS248" i="1"/>
  <c r="AT240" i="1"/>
  <c r="AS240" i="1"/>
  <c r="AT232" i="1"/>
  <c r="AS232" i="1"/>
  <c r="AT224" i="1"/>
  <c r="AS224" i="1"/>
  <c r="AT216" i="1"/>
  <c r="AS216" i="1"/>
  <c r="AT208" i="1"/>
  <c r="AS208" i="1"/>
  <c r="AT200" i="1"/>
  <c r="AS200" i="1"/>
  <c r="AT192" i="1"/>
  <c r="AS192" i="1"/>
  <c r="AT184" i="1"/>
  <c r="AS184" i="1"/>
  <c r="AT176" i="1"/>
  <c r="AS176" i="1"/>
  <c r="AT168" i="1"/>
  <c r="AS168" i="1"/>
  <c r="AT160" i="1"/>
  <c r="AS160" i="1"/>
  <c r="AT152" i="1"/>
  <c r="AS152" i="1"/>
  <c r="AT144" i="1"/>
  <c r="AS144" i="1"/>
  <c r="AT136" i="1"/>
  <c r="AS136" i="1"/>
  <c r="AT128" i="1"/>
  <c r="AS128" i="1"/>
  <c r="AT120" i="1"/>
  <c r="AS120" i="1"/>
  <c r="AT112" i="1"/>
  <c r="AS112" i="1"/>
  <c r="AT104" i="1"/>
  <c r="AS104" i="1"/>
  <c r="AT96" i="1"/>
  <c r="AS96" i="1"/>
  <c r="AT88" i="1"/>
  <c r="AS88" i="1"/>
  <c r="AT80" i="1"/>
  <c r="AS80" i="1"/>
  <c r="AT72" i="1"/>
  <c r="AS72" i="1"/>
  <c r="AT64" i="1"/>
  <c r="AS64" i="1"/>
  <c r="AT56" i="1"/>
  <c r="AS56" i="1"/>
  <c r="AT48" i="1"/>
  <c r="AS48" i="1"/>
  <c r="AT40" i="1"/>
  <c r="AS40" i="1"/>
  <c r="AT32" i="1"/>
  <c r="AS32" i="1"/>
  <c r="AT24" i="1"/>
  <c r="AS24" i="1"/>
  <c r="AT16" i="1"/>
  <c r="AS16" i="1"/>
  <c r="AT8" i="1"/>
  <c r="AS8" i="1"/>
  <c r="AT274" i="1"/>
  <c r="AS274" i="1"/>
  <c r="AT573" i="1"/>
  <c r="AS573" i="1"/>
  <c r="AT895" i="1"/>
  <c r="AS895" i="1"/>
  <c r="AT887" i="1"/>
  <c r="AS887" i="1"/>
  <c r="AT879" i="1"/>
  <c r="AS879" i="1"/>
  <c r="AT871" i="1"/>
  <c r="AS871" i="1"/>
  <c r="AT863" i="1"/>
  <c r="AS863" i="1"/>
  <c r="AT855" i="1"/>
  <c r="AS855" i="1"/>
  <c r="AT847" i="1"/>
  <c r="AS847" i="1"/>
  <c r="AT839" i="1"/>
  <c r="AS839" i="1"/>
  <c r="AT831" i="1"/>
  <c r="AS831" i="1"/>
  <c r="AT823" i="1"/>
  <c r="AS823" i="1"/>
  <c r="AT815" i="1"/>
  <c r="AS815" i="1"/>
  <c r="AT807" i="1"/>
  <c r="AS807" i="1"/>
  <c r="AT799" i="1"/>
  <c r="AS799" i="1"/>
  <c r="AT791" i="1"/>
  <c r="AS791" i="1"/>
  <c r="AT783" i="1"/>
  <c r="AS783" i="1"/>
  <c r="AT775" i="1"/>
  <c r="AS775" i="1"/>
  <c r="AT767" i="1"/>
  <c r="AS767" i="1"/>
  <c r="AT759" i="1"/>
  <c r="AS759" i="1"/>
  <c r="AT751" i="1"/>
  <c r="AS751" i="1"/>
  <c r="AT743" i="1"/>
  <c r="AS743" i="1"/>
  <c r="AT735" i="1"/>
  <c r="AS735" i="1"/>
  <c r="AT727" i="1"/>
  <c r="AS727" i="1"/>
  <c r="AT719" i="1"/>
  <c r="AS719" i="1"/>
  <c r="AT711" i="1"/>
  <c r="AS711" i="1"/>
  <c r="AT703" i="1"/>
  <c r="AS703" i="1"/>
  <c r="AT695" i="1"/>
  <c r="AS695" i="1"/>
  <c r="AT687" i="1"/>
  <c r="AS687" i="1"/>
  <c r="AT679" i="1"/>
  <c r="AS679" i="1"/>
  <c r="AT671" i="1"/>
  <c r="AS671" i="1"/>
  <c r="AT663" i="1"/>
  <c r="AS663" i="1"/>
  <c r="AT655" i="1"/>
  <c r="AS655" i="1"/>
  <c r="AT647" i="1"/>
  <c r="AS647" i="1"/>
  <c r="AT639" i="1"/>
  <c r="AS639" i="1"/>
  <c r="AT631" i="1"/>
  <c r="AS631" i="1"/>
  <c r="AT623" i="1"/>
  <c r="AS623" i="1"/>
  <c r="AT615" i="1"/>
  <c r="AS615" i="1"/>
  <c r="AT607" i="1"/>
  <c r="AS607" i="1"/>
  <c r="AT599" i="1"/>
  <c r="AS599" i="1"/>
  <c r="AT591" i="1"/>
  <c r="AS591" i="1"/>
  <c r="AT583" i="1"/>
  <c r="AS583" i="1"/>
  <c r="AT575" i="1"/>
  <c r="AS575" i="1"/>
  <c r="AT567" i="1"/>
  <c r="AS567" i="1"/>
  <c r="AT559" i="1"/>
  <c r="AS559" i="1"/>
  <c r="AT551" i="1"/>
  <c r="AS551" i="1"/>
  <c r="AT543" i="1"/>
  <c r="AS543" i="1"/>
  <c r="AT535" i="1"/>
  <c r="AS535" i="1"/>
  <c r="AT527" i="1"/>
  <c r="AS527" i="1"/>
  <c r="AT519" i="1"/>
  <c r="AS519" i="1"/>
  <c r="AT511" i="1"/>
  <c r="AS511" i="1"/>
  <c r="AT503" i="1"/>
  <c r="AS503" i="1"/>
  <c r="AT495" i="1"/>
  <c r="AS495" i="1"/>
  <c r="AT487" i="1"/>
  <c r="AS487" i="1"/>
  <c r="AT479" i="1"/>
  <c r="AS479" i="1"/>
  <c r="AT471" i="1"/>
  <c r="AS471" i="1"/>
  <c r="AT463" i="1"/>
  <c r="AS463" i="1"/>
  <c r="AT455" i="1"/>
  <c r="AS455" i="1"/>
  <c r="AT447" i="1"/>
  <c r="AS447" i="1"/>
  <c r="AT439" i="1"/>
  <c r="AS439" i="1"/>
  <c r="AT431" i="1"/>
  <c r="AS431" i="1"/>
  <c r="AT423" i="1"/>
  <c r="AS423" i="1"/>
  <c r="AT415" i="1"/>
  <c r="AS415" i="1"/>
  <c r="AT407" i="1"/>
  <c r="AS407" i="1"/>
  <c r="AT399" i="1"/>
  <c r="AS399" i="1"/>
  <c r="AT391" i="1"/>
  <c r="AS391" i="1"/>
  <c r="AT383" i="1"/>
  <c r="AS383" i="1"/>
  <c r="AT910" i="1"/>
  <c r="AS910" i="1"/>
  <c r="AT367" i="1"/>
  <c r="AS367" i="1"/>
  <c r="AT359" i="1"/>
  <c r="AS359" i="1"/>
  <c r="AT351" i="1"/>
  <c r="AS351" i="1"/>
  <c r="AT343" i="1"/>
  <c r="AS343" i="1"/>
  <c r="AT335" i="1"/>
  <c r="AS335" i="1"/>
  <c r="AT327" i="1"/>
  <c r="AS327" i="1"/>
  <c r="AT319" i="1"/>
  <c r="AS319" i="1"/>
  <c r="AT311" i="1"/>
  <c r="AS311" i="1"/>
  <c r="AT303" i="1"/>
  <c r="AS303" i="1"/>
  <c r="AT295" i="1"/>
  <c r="AS295" i="1"/>
  <c r="AT287" i="1"/>
  <c r="AS287" i="1"/>
  <c r="AT279" i="1"/>
  <c r="AS279" i="1"/>
  <c r="AT271" i="1"/>
  <c r="AS271" i="1"/>
  <c r="AT263" i="1"/>
  <c r="AS263" i="1"/>
  <c r="AT255" i="1"/>
  <c r="AS255" i="1"/>
  <c r="AT247" i="1"/>
  <c r="AS247" i="1"/>
  <c r="AT239" i="1"/>
  <c r="AS239" i="1"/>
  <c r="AT231" i="1"/>
  <c r="AS231" i="1"/>
  <c r="AT223" i="1"/>
  <c r="AS223" i="1"/>
  <c r="AT215" i="1"/>
  <c r="AS215" i="1"/>
  <c r="AT207" i="1"/>
  <c r="AS207" i="1"/>
  <c r="AT199" i="1"/>
  <c r="AS199" i="1"/>
  <c r="AT191" i="1"/>
  <c r="AS191" i="1"/>
  <c r="AT183" i="1"/>
  <c r="AS183" i="1"/>
  <c r="AT175" i="1"/>
  <c r="AS175" i="1"/>
  <c r="AT167" i="1"/>
  <c r="AS167" i="1"/>
  <c r="AT159" i="1"/>
  <c r="AS159" i="1"/>
  <c r="AT151" i="1"/>
  <c r="AS151" i="1"/>
  <c r="AT143" i="1"/>
  <c r="AS143" i="1"/>
  <c r="AT135" i="1"/>
  <c r="AS135" i="1"/>
  <c r="AT127" i="1"/>
  <c r="AS127" i="1"/>
  <c r="AT119" i="1"/>
  <c r="AS119" i="1"/>
  <c r="AT111" i="1"/>
  <c r="AS111" i="1"/>
  <c r="AT103" i="1"/>
  <c r="AS103" i="1"/>
  <c r="AT95" i="1"/>
  <c r="AS95" i="1"/>
  <c r="AT87" i="1"/>
  <c r="AS87" i="1"/>
  <c r="AT79" i="1"/>
  <c r="AS79" i="1"/>
  <c r="AT71" i="1"/>
  <c r="AS71" i="1"/>
  <c r="AT63" i="1"/>
  <c r="AS63" i="1"/>
  <c r="AT55" i="1"/>
  <c r="AS55" i="1"/>
  <c r="AT47" i="1"/>
  <c r="AS47" i="1"/>
  <c r="AT39" i="1"/>
  <c r="AS39" i="1"/>
  <c r="AT31" i="1"/>
  <c r="AS31" i="1"/>
  <c r="AT23" i="1"/>
  <c r="AS23" i="1"/>
  <c r="AT15" i="1"/>
  <c r="AS15" i="1"/>
  <c r="AT7" i="1"/>
  <c r="AS7" i="1"/>
  <c r="AT172" i="1"/>
  <c r="AS172" i="1"/>
  <c r="AT333" i="1"/>
  <c r="AS333" i="1"/>
  <c r="AT894" i="1"/>
  <c r="AS894" i="1"/>
  <c r="AT886" i="1"/>
  <c r="AS886" i="1"/>
  <c r="AT878" i="1"/>
  <c r="AS878" i="1"/>
  <c r="AT870" i="1"/>
  <c r="AS870" i="1"/>
  <c r="AT862" i="1"/>
  <c r="AS862" i="1"/>
  <c r="AT854" i="1"/>
  <c r="AS854" i="1"/>
  <c r="AT846" i="1"/>
  <c r="AS846" i="1"/>
  <c r="AT838" i="1"/>
  <c r="AS838" i="1"/>
  <c r="AT830" i="1"/>
  <c r="AS830" i="1"/>
  <c r="AT822" i="1"/>
  <c r="AS822" i="1"/>
  <c r="AT814" i="1"/>
  <c r="AS814" i="1"/>
  <c r="AT806" i="1"/>
  <c r="AS806" i="1"/>
  <c r="AT798" i="1"/>
  <c r="AS798" i="1"/>
  <c r="AT790" i="1"/>
  <c r="AS790" i="1"/>
  <c r="AT782" i="1"/>
  <c r="AS782" i="1"/>
  <c r="AT774" i="1"/>
  <c r="AS774" i="1"/>
  <c r="AT766" i="1"/>
  <c r="AS766" i="1"/>
  <c r="AT758" i="1"/>
  <c r="AS758" i="1"/>
  <c r="AT750" i="1"/>
  <c r="AS750" i="1"/>
  <c r="AT742" i="1"/>
  <c r="AS742" i="1"/>
  <c r="AT734" i="1"/>
  <c r="AS734" i="1"/>
  <c r="AT726" i="1"/>
  <c r="AS726" i="1"/>
  <c r="AT718" i="1"/>
  <c r="AS718" i="1"/>
  <c r="AT710" i="1"/>
  <c r="AS710" i="1"/>
  <c r="AT702" i="1"/>
  <c r="AS702" i="1"/>
  <c r="AT694" i="1"/>
  <c r="AS694" i="1"/>
  <c r="AT686" i="1"/>
  <c r="AS686" i="1"/>
  <c r="AT678" i="1"/>
  <c r="AS678" i="1"/>
  <c r="AT670" i="1"/>
  <c r="AS670" i="1"/>
  <c r="AT662" i="1"/>
  <c r="AS662" i="1"/>
  <c r="AT654" i="1"/>
  <c r="AS654" i="1"/>
  <c r="AT646" i="1"/>
  <c r="AS646" i="1"/>
  <c r="AT638" i="1"/>
  <c r="AS638" i="1"/>
  <c r="AT630" i="1"/>
  <c r="AS630" i="1"/>
  <c r="AT622" i="1"/>
  <c r="AS622" i="1"/>
  <c r="AT614" i="1"/>
  <c r="AS614" i="1"/>
  <c r="AT606" i="1"/>
  <c r="AS606" i="1"/>
  <c r="AT598" i="1"/>
  <c r="AS598" i="1"/>
  <c r="AT590" i="1"/>
  <c r="AS590" i="1"/>
  <c r="AT582" i="1"/>
  <c r="AS582" i="1"/>
  <c r="AT574" i="1"/>
  <c r="AS574" i="1"/>
  <c r="AT566" i="1"/>
  <c r="AS566" i="1"/>
  <c r="AT558" i="1"/>
  <c r="AS558" i="1"/>
  <c r="AT550" i="1"/>
  <c r="AS550" i="1"/>
  <c r="AT542" i="1"/>
  <c r="AS542" i="1"/>
  <c r="AT534" i="1"/>
  <c r="AS534" i="1"/>
  <c r="AT526" i="1"/>
  <c r="AS526" i="1"/>
  <c r="AT518" i="1"/>
  <c r="AS518" i="1"/>
  <c r="AT510" i="1"/>
  <c r="AS510" i="1"/>
  <c r="AT502" i="1"/>
  <c r="AS502" i="1"/>
  <c r="AT494" i="1"/>
  <c r="AS494" i="1"/>
  <c r="AT486" i="1"/>
  <c r="AS486" i="1"/>
  <c r="AT478" i="1"/>
  <c r="AS478" i="1"/>
  <c r="AT470" i="1"/>
  <c r="AS470" i="1"/>
  <c r="AT462" i="1"/>
  <c r="AS462" i="1"/>
  <c r="AT454" i="1"/>
  <c r="AS454" i="1"/>
  <c r="AT446" i="1"/>
  <c r="AS446" i="1"/>
  <c r="AT438" i="1"/>
  <c r="AS438" i="1"/>
  <c r="AT430" i="1"/>
  <c r="AS430" i="1"/>
  <c r="AT422" i="1"/>
  <c r="AS422" i="1"/>
  <c r="AT414" i="1"/>
  <c r="AS414" i="1"/>
  <c r="AT406" i="1"/>
  <c r="AS406" i="1"/>
  <c r="AT398" i="1"/>
  <c r="AS398" i="1"/>
  <c r="AT390" i="1"/>
  <c r="AS390" i="1"/>
  <c r="AT382" i="1"/>
  <c r="AS382" i="1"/>
  <c r="AT374" i="1"/>
  <c r="AS374" i="1"/>
  <c r="AT366" i="1"/>
  <c r="AS366" i="1"/>
  <c r="AT358" i="1"/>
  <c r="AS358" i="1"/>
  <c r="AT350" i="1"/>
  <c r="AS350" i="1"/>
  <c r="AT342" i="1"/>
  <c r="AS342" i="1"/>
  <c r="AT334" i="1"/>
  <c r="AS334" i="1"/>
  <c r="AT326" i="1"/>
  <c r="AS326" i="1"/>
  <c r="AT318" i="1"/>
  <c r="AS318" i="1"/>
  <c r="AT310" i="1"/>
  <c r="AS310" i="1"/>
  <c r="AT302" i="1"/>
  <c r="AS302" i="1"/>
  <c r="AT294" i="1"/>
  <c r="AS294" i="1"/>
  <c r="AT286" i="1"/>
  <c r="AS286" i="1"/>
  <c r="AT278" i="1"/>
  <c r="AS278" i="1"/>
  <c r="AT270" i="1"/>
  <c r="AS270" i="1"/>
  <c r="AT262" i="1"/>
  <c r="AS262" i="1"/>
  <c r="AT254" i="1"/>
  <c r="AS254" i="1"/>
  <c r="AT246" i="1"/>
  <c r="AS246" i="1"/>
  <c r="AT238" i="1"/>
  <c r="AS238" i="1"/>
  <c r="AT230" i="1"/>
  <c r="AS230" i="1"/>
  <c r="AT222" i="1"/>
  <c r="AS222" i="1"/>
  <c r="AT214" i="1"/>
  <c r="AS214" i="1"/>
  <c r="AT206" i="1"/>
  <c r="AS206" i="1"/>
  <c r="AT198" i="1"/>
  <c r="AS198" i="1"/>
  <c r="AT190" i="1"/>
  <c r="AS190" i="1"/>
  <c r="AT182" i="1"/>
  <c r="AS182" i="1"/>
  <c r="AT174" i="1"/>
  <c r="AS174" i="1"/>
  <c r="AT166" i="1"/>
  <c r="AS166" i="1"/>
  <c r="AT158" i="1"/>
  <c r="AS158" i="1"/>
  <c r="AT150" i="1"/>
  <c r="AS150" i="1"/>
  <c r="AT142" i="1"/>
  <c r="AS142" i="1"/>
  <c r="AT134" i="1"/>
  <c r="AS134" i="1"/>
  <c r="AT126" i="1"/>
  <c r="AS126" i="1"/>
  <c r="AT118" i="1"/>
  <c r="AS118" i="1"/>
  <c r="AT110" i="1"/>
  <c r="AS110" i="1"/>
  <c r="AT102" i="1"/>
  <c r="AS102" i="1"/>
  <c r="AT94" i="1"/>
  <c r="AS94" i="1"/>
  <c r="AT86" i="1"/>
  <c r="AS86" i="1"/>
  <c r="AT78" i="1"/>
  <c r="AS78" i="1"/>
  <c r="AT70" i="1"/>
  <c r="AS70" i="1"/>
  <c r="AT62" i="1"/>
  <c r="AS62" i="1"/>
  <c r="AT54" i="1"/>
  <c r="AS54" i="1"/>
  <c r="AT46" i="1"/>
  <c r="AS46" i="1"/>
  <c r="AT38" i="1"/>
  <c r="AS38" i="1"/>
  <c r="AT30" i="1"/>
  <c r="AS30" i="1"/>
  <c r="AT22" i="1"/>
  <c r="AS22" i="1"/>
  <c r="AT14" i="1"/>
  <c r="AS14" i="1"/>
  <c r="AT6" i="1"/>
  <c r="AS6" i="1"/>
  <c r="AT913" i="1"/>
  <c r="AS913" i="1"/>
  <c r="AT901" i="1"/>
  <c r="AS901" i="1"/>
  <c r="AT893" i="1"/>
  <c r="AS893" i="1"/>
  <c r="AT885" i="1"/>
  <c r="AS885" i="1"/>
  <c r="AT877" i="1"/>
  <c r="AS877" i="1"/>
  <c r="AT869" i="1"/>
  <c r="AS869" i="1"/>
  <c r="AT861" i="1"/>
  <c r="AS861" i="1"/>
  <c r="AT853" i="1"/>
  <c r="AS853" i="1"/>
  <c r="AT845" i="1"/>
  <c r="AS845" i="1"/>
  <c r="AT837" i="1"/>
  <c r="AS837" i="1"/>
  <c r="AT829" i="1"/>
  <c r="AS829" i="1"/>
  <c r="AT821" i="1"/>
  <c r="AS821" i="1"/>
  <c r="AT813" i="1"/>
  <c r="AS813" i="1"/>
  <c r="AT805" i="1"/>
  <c r="AS805" i="1"/>
  <c r="AT797" i="1"/>
  <c r="AS797" i="1"/>
  <c r="AT789" i="1"/>
  <c r="AS789" i="1"/>
  <c r="AT781" i="1"/>
  <c r="AS781" i="1"/>
  <c r="AT773" i="1"/>
  <c r="AS773" i="1"/>
  <c r="AT765" i="1"/>
  <c r="AS765" i="1"/>
  <c r="AT757" i="1"/>
  <c r="AS757" i="1"/>
  <c r="AT749" i="1"/>
  <c r="AS749" i="1"/>
  <c r="AT741" i="1"/>
  <c r="AS741" i="1"/>
  <c r="AT733" i="1"/>
  <c r="AS733" i="1"/>
  <c r="AT725" i="1"/>
  <c r="AS725" i="1"/>
  <c r="AT717" i="1"/>
  <c r="AS717" i="1"/>
  <c r="AT709" i="1"/>
  <c r="AS709" i="1"/>
  <c r="AT701" i="1"/>
  <c r="AS701" i="1"/>
  <c r="AT693" i="1"/>
  <c r="AS693" i="1"/>
  <c r="AT685" i="1"/>
  <c r="AS685" i="1"/>
  <c r="AT677" i="1"/>
  <c r="AS677" i="1"/>
  <c r="AT669" i="1"/>
  <c r="AS669" i="1"/>
  <c r="AT661" i="1"/>
  <c r="AS661" i="1"/>
  <c r="AT653" i="1"/>
  <c r="AS653" i="1"/>
  <c r="AT645" i="1"/>
  <c r="AS645" i="1"/>
  <c r="AT637" i="1"/>
  <c r="AS637" i="1"/>
  <c r="AT629" i="1"/>
  <c r="AS629" i="1"/>
  <c r="AT621" i="1"/>
  <c r="AS621" i="1"/>
  <c r="AT613" i="1"/>
  <c r="AS613" i="1"/>
  <c r="AT605" i="1"/>
  <c r="AS605" i="1"/>
  <c r="AT597" i="1"/>
  <c r="AS597" i="1"/>
  <c r="AT589" i="1"/>
  <c r="AS589" i="1"/>
  <c r="AT581" i="1"/>
  <c r="AS581" i="1"/>
  <c r="AT912" i="1"/>
  <c r="AS912" i="1"/>
  <c r="AT565" i="1"/>
  <c r="AS565" i="1"/>
  <c r="AT557" i="1"/>
  <c r="AS557" i="1"/>
  <c r="AT549" i="1"/>
  <c r="AS549" i="1"/>
  <c r="AT541" i="1"/>
  <c r="AS541" i="1"/>
  <c r="AT533" i="1"/>
  <c r="AS533" i="1"/>
  <c r="AT525" i="1"/>
  <c r="AS525" i="1"/>
  <c r="AT517" i="1"/>
  <c r="AS517" i="1"/>
  <c r="AT509" i="1"/>
  <c r="AS509" i="1"/>
  <c r="AT501" i="1"/>
  <c r="AS501" i="1"/>
  <c r="AT493" i="1"/>
  <c r="AS493" i="1"/>
  <c r="AT485" i="1"/>
  <c r="AS485" i="1"/>
  <c r="AT477" i="1"/>
  <c r="AS477" i="1"/>
  <c r="AT469" i="1"/>
  <c r="AS469" i="1"/>
  <c r="AT461" i="1"/>
  <c r="AS461" i="1"/>
  <c r="AT453" i="1"/>
  <c r="AS453" i="1"/>
  <c r="AT445" i="1"/>
  <c r="AS445" i="1"/>
  <c r="AT437" i="1"/>
  <c r="AS437" i="1"/>
  <c r="AT429" i="1"/>
  <c r="AS429" i="1"/>
  <c r="AT421" i="1"/>
  <c r="AS421" i="1"/>
  <c r="AT413" i="1"/>
  <c r="AS413" i="1"/>
  <c r="AT405" i="1"/>
  <c r="AS405" i="1"/>
  <c r="AT397" i="1"/>
  <c r="AS397" i="1"/>
  <c r="AT389" i="1"/>
  <c r="AS389" i="1"/>
  <c r="AT381" i="1"/>
  <c r="AS381" i="1"/>
  <c r="AT373" i="1"/>
  <c r="AS373" i="1"/>
  <c r="AT365" i="1"/>
  <c r="AS365" i="1"/>
  <c r="AT357" i="1"/>
  <c r="AS357" i="1"/>
  <c r="AT349" i="1"/>
  <c r="AS349" i="1"/>
  <c r="AT341" i="1"/>
  <c r="AS341" i="1"/>
  <c r="AT316" i="1"/>
  <c r="AS316" i="1"/>
  <c r="AT325" i="1"/>
  <c r="AS325" i="1"/>
  <c r="AT317" i="1"/>
  <c r="AS317" i="1"/>
  <c r="AT309" i="1"/>
  <c r="AS309" i="1"/>
  <c r="AT301" i="1"/>
  <c r="AS301" i="1"/>
  <c r="AT293" i="1"/>
  <c r="AS293" i="1"/>
  <c r="AT285" i="1"/>
  <c r="AS285" i="1"/>
  <c r="AT277" i="1"/>
  <c r="AS277" i="1"/>
  <c r="AT269" i="1"/>
  <c r="AS269" i="1"/>
  <c r="AT261" i="1"/>
  <c r="AS261" i="1"/>
  <c r="AT253" i="1"/>
  <c r="AS253" i="1"/>
  <c r="AT245" i="1"/>
  <c r="AS245" i="1"/>
  <c r="AT237" i="1"/>
  <c r="AS237" i="1"/>
  <c r="AT229" i="1"/>
  <c r="AS229" i="1"/>
  <c r="AT221" i="1"/>
  <c r="AS221" i="1"/>
  <c r="AT213" i="1"/>
  <c r="AS213" i="1"/>
  <c r="AT205" i="1"/>
  <c r="AS205" i="1"/>
  <c r="AT197" i="1"/>
  <c r="AS197" i="1"/>
  <c r="AT189" i="1"/>
  <c r="AS189" i="1"/>
  <c r="AT181" i="1"/>
  <c r="AS181" i="1"/>
  <c r="AT173" i="1"/>
  <c r="AS173" i="1"/>
  <c r="AT165" i="1"/>
  <c r="AS165" i="1"/>
  <c r="AT157" i="1"/>
  <c r="AS157" i="1"/>
  <c r="AT149" i="1"/>
  <c r="AS149" i="1"/>
  <c r="AT141" i="1"/>
  <c r="AS141" i="1"/>
  <c r="AT133" i="1"/>
  <c r="AS133" i="1"/>
  <c r="AT92" i="1"/>
  <c r="AS92" i="1"/>
  <c r="AT117" i="1"/>
  <c r="AS117" i="1"/>
  <c r="AT109" i="1"/>
  <c r="AS109" i="1"/>
  <c r="AT101" i="1"/>
  <c r="AS101" i="1"/>
  <c r="AT93" i="1"/>
  <c r="AS93" i="1"/>
  <c r="AT85" i="1"/>
  <c r="AS85" i="1"/>
  <c r="AT77" i="1"/>
  <c r="AS77" i="1"/>
  <c r="AT69" i="1"/>
  <c r="AS69" i="1"/>
  <c r="AT61" i="1"/>
  <c r="AS61" i="1"/>
  <c r="AT53" i="1"/>
  <c r="AS53" i="1"/>
  <c r="AT45" i="1"/>
  <c r="AS45" i="1"/>
  <c r="AT37" i="1"/>
  <c r="AS37" i="1"/>
  <c r="AT29" i="1"/>
  <c r="AS29" i="1"/>
  <c r="AT21" i="1"/>
  <c r="AS21" i="1"/>
  <c r="AT13" i="1"/>
  <c r="AS13" i="1"/>
  <c r="AT5" i="1"/>
  <c r="AS5" i="1"/>
  <c r="AT375" i="1"/>
  <c r="AS375" i="1"/>
  <c r="AT900" i="1"/>
  <c r="AS900" i="1"/>
  <c r="AT892" i="1"/>
  <c r="AS892" i="1"/>
  <c r="AT884" i="1"/>
  <c r="AS884" i="1"/>
  <c r="AT876" i="1"/>
  <c r="AS876" i="1"/>
  <c r="AT868" i="1"/>
  <c r="AS868" i="1"/>
  <c r="AT860" i="1"/>
  <c r="AS860" i="1"/>
  <c r="AT852" i="1"/>
  <c r="AS852" i="1"/>
  <c r="AT844" i="1"/>
  <c r="AS844" i="1"/>
  <c r="AT836" i="1"/>
  <c r="AS836" i="1"/>
  <c r="AT828" i="1"/>
  <c r="AS828" i="1"/>
  <c r="AT820" i="1"/>
  <c r="AS820" i="1"/>
  <c r="AT812" i="1"/>
  <c r="AS812" i="1"/>
  <c r="AT804" i="1"/>
  <c r="AS804" i="1"/>
  <c r="AT796" i="1"/>
  <c r="AS796" i="1"/>
  <c r="AT788" i="1"/>
  <c r="AS788" i="1"/>
  <c r="AT780" i="1"/>
  <c r="AS780" i="1"/>
  <c r="AT772" i="1"/>
  <c r="AS772" i="1"/>
  <c r="AT764" i="1"/>
  <c r="AS764" i="1"/>
  <c r="AT756" i="1"/>
  <c r="AS756" i="1"/>
  <c r="AT748" i="1"/>
  <c r="AS748" i="1"/>
  <c r="AT740" i="1"/>
  <c r="AS740" i="1"/>
  <c r="AT732" i="1"/>
  <c r="AS732" i="1"/>
  <c r="AT724" i="1"/>
  <c r="AS724" i="1"/>
  <c r="AT716" i="1"/>
  <c r="AS716" i="1"/>
  <c r="AT708" i="1"/>
  <c r="AS708" i="1"/>
  <c r="AT700" i="1"/>
  <c r="AS700" i="1"/>
  <c r="AT692" i="1"/>
  <c r="AS692" i="1"/>
  <c r="AT684" i="1"/>
  <c r="AS684" i="1"/>
  <c r="AT676" i="1"/>
  <c r="AS676" i="1"/>
  <c r="AT668" i="1"/>
  <c r="AS668" i="1"/>
  <c r="AT660" i="1"/>
  <c r="AS660" i="1"/>
  <c r="AT652" i="1"/>
  <c r="AS652" i="1"/>
  <c r="AT644" i="1"/>
  <c r="AS644" i="1"/>
  <c r="AT636" i="1"/>
  <c r="AS636" i="1"/>
  <c r="AT628" i="1"/>
  <c r="AS628" i="1"/>
  <c r="AT620" i="1"/>
  <c r="AS620" i="1"/>
  <c r="AT612" i="1"/>
  <c r="AS612" i="1"/>
  <c r="AT604" i="1"/>
  <c r="AS604" i="1"/>
  <c r="AT596" i="1"/>
  <c r="AS596" i="1"/>
  <c r="AT588" i="1"/>
  <c r="AS588" i="1"/>
  <c r="AT580" i="1"/>
  <c r="AS580" i="1"/>
  <c r="AT572" i="1"/>
  <c r="AS572" i="1"/>
  <c r="AT564" i="1"/>
  <c r="AS564" i="1"/>
  <c r="AT556" i="1"/>
  <c r="AS556" i="1"/>
  <c r="AT548" i="1"/>
  <c r="AS548" i="1"/>
  <c r="AT540" i="1"/>
  <c r="AS540" i="1"/>
  <c r="AT532" i="1"/>
  <c r="AS532" i="1"/>
  <c r="AT524" i="1"/>
  <c r="AS524" i="1"/>
  <c r="AT516" i="1"/>
  <c r="AS516" i="1"/>
  <c r="AT508" i="1"/>
  <c r="AS508" i="1"/>
  <c r="AT500" i="1"/>
  <c r="AS500" i="1"/>
  <c r="AT492" i="1"/>
  <c r="AS492" i="1"/>
  <c r="AT484" i="1"/>
  <c r="AS484" i="1"/>
  <c r="AT476" i="1"/>
  <c r="AS476" i="1"/>
  <c r="AT468" i="1"/>
  <c r="AS468" i="1"/>
  <c r="AT460" i="1"/>
  <c r="AS460" i="1"/>
  <c r="AT452" i="1"/>
  <c r="AS452" i="1"/>
  <c r="AT444" i="1"/>
  <c r="AS444" i="1"/>
  <c r="AT436" i="1"/>
  <c r="AS436" i="1"/>
  <c r="AT428" i="1"/>
  <c r="AS428" i="1"/>
  <c r="AT420" i="1"/>
  <c r="AS420" i="1"/>
  <c r="AT412" i="1"/>
  <c r="AS412" i="1"/>
  <c r="AT404" i="1"/>
  <c r="AS404" i="1"/>
  <c r="AT396" i="1"/>
  <c r="AS396" i="1"/>
  <c r="AT388" i="1"/>
  <c r="AS388" i="1"/>
  <c r="AT380" i="1"/>
  <c r="AS380" i="1"/>
  <c r="AT372" i="1"/>
  <c r="AS372" i="1"/>
  <c r="AT364" i="1"/>
  <c r="AS364" i="1"/>
  <c r="AT356" i="1"/>
  <c r="AS356" i="1"/>
  <c r="AT348" i="1"/>
  <c r="AS348" i="1"/>
  <c r="AT340" i="1"/>
  <c r="AS340" i="1"/>
  <c r="AT332" i="1"/>
  <c r="AS332" i="1"/>
  <c r="AT324" i="1"/>
  <c r="AS324" i="1"/>
  <c r="AT906" i="1"/>
  <c r="AS906" i="1"/>
  <c r="AT308" i="1"/>
  <c r="AS308" i="1"/>
  <c r="AT300" i="1"/>
  <c r="AS300" i="1"/>
  <c r="AT292" i="1"/>
  <c r="AS292" i="1"/>
  <c r="AT284" i="1"/>
  <c r="AS284" i="1"/>
  <c r="AT276" i="1"/>
  <c r="AS276" i="1"/>
  <c r="AT268" i="1"/>
  <c r="AS268" i="1"/>
  <c r="AT260" i="1"/>
  <c r="AS260" i="1"/>
  <c r="AT252" i="1"/>
  <c r="AS252" i="1"/>
  <c r="AT244" i="1"/>
  <c r="AS244" i="1"/>
  <c r="AT236" i="1"/>
  <c r="AS236" i="1"/>
  <c r="AT228" i="1"/>
  <c r="AS228" i="1"/>
  <c r="AT220" i="1"/>
  <c r="AS220" i="1"/>
  <c r="AT212" i="1"/>
  <c r="AS212" i="1"/>
  <c r="AT204" i="1"/>
  <c r="AS204" i="1"/>
  <c r="AT196" i="1"/>
  <c r="AS196" i="1"/>
  <c r="AT188" i="1"/>
  <c r="AS188" i="1"/>
  <c r="AT180" i="1"/>
  <c r="AS180" i="1"/>
  <c r="AT902" i="1"/>
  <c r="AS902" i="1"/>
  <c r="AT164" i="1"/>
  <c r="AS164" i="1"/>
  <c r="AT156" i="1"/>
  <c r="AS156" i="1"/>
  <c r="AT148" i="1"/>
  <c r="AS148" i="1"/>
  <c r="AT140" i="1"/>
  <c r="AS140" i="1"/>
  <c r="AT132" i="1"/>
  <c r="AS132" i="1"/>
  <c r="AT124" i="1"/>
  <c r="AS124" i="1"/>
  <c r="AT116" i="1"/>
  <c r="AS116" i="1"/>
  <c r="AT108" i="1"/>
  <c r="AS108" i="1"/>
  <c r="AT100" i="1"/>
  <c r="AS100" i="1"/>
  <c r="AT425" i="1"/>
  <c r="AS425" i="1"/>
  <c r="AT84" i="1"/>
  <c r="AS84" i="1"/>
  <c r="AT76" i="1"/>
  <c r="AS76" i="1"/>
  <c r="AT68" i="1"/>
  <c r="AS68" i="1"/>
  <c r="AT60" i="1"/>
  <c r="AS60" i="1"/>
  <c r="AT52" i="1"/>
  <c r="AS52" i="1"/>
  <c r="AT44" i="1"/>
  <c r="AS44" i="1"/>
  <c r="AT36" i="1"/>
  <c r="AS36" i="1"/>
  <c r="AT28" i="1"/>
  <c r="AS28" i="1"/>
  <c r="AT20" i="1"/>
  <c r="AS20" i="1"/>
  <c r="AT12" i="1"/>
  <c r="AS12" i="1"/>
  <c r="AT4" i="1"/>
  <c r="AS4" i="1"/>
  <c r="AT903" i="1"/>
  <c r="AS903" i="1"/>
  <c r="AT899" i="1"/>
  <c r="AS899" i="1"/>
  <c r="AT891" i="1"/>
  <c r="AS891" i="1"/>
  <c r="AT883" i="1"/>
  <c r="AS883" i="1"/>
  <c r="AT875" i="1"/>
  <c r="AS875" i="1"/>
  <c r="AT867" i="1"/>
  <c r="AS867" i="1"/>
  <c r="AT859" i="1"/>
  <c r="AS859" i="1"/>
  <c r="AT851" i="1"/>
  <c r="AS851" i="1"/>
  <c r="AT843" i="1"/>
  <c r="AS843" i="1"/>
  <c r="AT835" i="1"/>
  <c r="AS835" i="1"/>
  <c r="AT827" i="1"/>
  <c r="AS827" i="1"/>
  <c r="AT819" i="1"/>
  <c r="AS819" i="1"/>
  <c r="AT811" i="1"/>
  <c r="AS811" i="1"/>
  <c r="AT803" i="1"/>
  <c r="AS803" i="1"/>
  <c r="AT795" i="1"/>
  <c r="AS795" i="1"/>
  <c r="AT787" i="1"/>
  <c r="AS787" i="1"/>
  <c r="AT779" i="1"/>
  <c r="AS779" i="1"/>
  <c r="AT771" i="1"/>
  <c r="AS771" i="1"/>
  <c r="AT763" i="1"/>
  <c r="AS763" i="1"/>
  <c r="AT755" i="1"/>
  <c r="AS755" i="1"/>
  <c r="AT747" i="1"/>
  <c r="AS747" i="1"/>
  <c r="AT739" i="1"/>
  <c r="AS739" i="1"/>
  <c r="AT731" i="1"/>
  <c r="AS731" i="1"/>
  <c r="AT723" i="1"/>
  <c r="AS723" i="1"/>
  <c r="AT715" i="1"/>
  <c r="AS715" i="1"/>
  <c r="AT707" i="1"/>
  <c r="AS707" i="1"/>
  <c r="AT699" i="1"/>
  <c r="AS699" i="1"/>
  <c r="AT691" i="1"/>
  <c r="AS691" i="1"/>
  <c r="AT683" i="1"/>
  <c r="AS683" i="1"/>
  <c r="AT675" i="1"/>
  <c r="AS675" i="1"/>
  <c r="AT667" i="1"/>
  <c r="AS667" i="1"/>
  <c r="AT659" i="1"/>
  <c r="AS659" i="1"/>
  <c r="AT651" i="1"/>
  <c r="AS651" i="1"/>
  <c r="AT643" i="1"/>
  <c r="AS643" i="1"/>
  <c r="AT635" i="1"/>
  <c r="AS635" i="1"/>
  <c r="AT627" i="1"/>
  <c r="AS627" i="1"/>
  <c r="AT619" i="1"/>
  <c r="AS619" i="1"/>
  <c r="AT611" i="1"/>
  <c r="AS611" i="1"/>
  <c r="AT603" i="1"/>
  <c r="AS603" i="1"/>
  <c r="AT595" i="1"/>
  <c r="AS595" i="1"/>
  <c r="AT587" i="1"/>
  <c r="AS587" i="1"/>
  <c r="AT579" i="1"/>
  <c r="AS579" i="1"/>
  <c r="AT571" i="1"/>
  <c r="AS571" i="1"/>
  <c r="AT563" i="1"/>
  <c r="AS563" i="1"/>
  <c r="AT555" i="1"/>
  <c r="AS555" i="1"/>
  <c r="AT547" i="1"/>
  <c r="AS547" i="1"/>
  <c r="AT539" i="1"/>
  <c r="AS539" i="1"/>
  <c r="AT531" i="1"/>
  <c r="AS531" i="1"/>
  <c r="AT523" i="1"/>
  <c r="AS523" i="1"/>
  <c r="AT515" i="1"/>
  <c r="AS515" i="1"/>
  <c r="AT507" i="1"/>
  <c r="AS507" i="1"/>
  <c r="AT499" i="1"/>
  <c r="AS499" i="1"/>
  <c r="AT491" i="1"/>
  <c r="AS491" i="1"/>
  <c r="AT483" i="1"/>
  <c r="AS483" i="1"/>
  <c r="AT475" i="1"/>
  <c r="AS475" i="1"/>
  <c r="AT467" i="1"/>
  <c r="AS467" i="1"/>
  <c r="AT459" i="1"/>
  <c r="AS459" i="1"/>
  <c r="AT451" i="1"/>
  <c r="AS451" i="1"/>
  <c r="AT443" i="1"/>
  <c r="AS443" i="1"/>
  <c r="AT435" i="1"/>
  <c r="AS435" i="1"/>
  <c r="AT427" i="1"/>
  <c r="AS427" i="1"/>
  <c r="AT419" i="1"/>
  <c r="AS419" i="1"/>
  <c r="AT411" i="1"/>
  <c r="AS411" i="1"/>
  <c r="AT403" i="1"/>
  <c r="AS403" i="1"/>
  <c r="AT395" i="1"/>
  <c r="AS395" i="1"/>
  <c r="AT387" i="1"/>
  <c r="AS387" i="1"/>
  <c r="AT379" i="1"/>
  <c r="AS379" i="1"/>
  <c r="AT371" i="1"/>
  <c r="AS371" i="1"/>
  <c r="AT363" i="1"/>
  <c r="AS363" i="1"/>
  <c r="AT355" i="1"/>
  <c r="AS355" i="1"/>
  <c r="AT347" i="1"/>
  <c r="AS347" i="1"/>
  <c r="AT339" i="1"/>
  <c r="AS339" i="1"/>
  <c r="AT331" i="1"/>
  <c r="AS331" i="1"/>
  <c r="AT323" i="1"/>
  <c r="AS323" i="1"/>
  <c r="AT315" i="1"/>
  <c r="AS315" i="1"/>
  <c r="AT307" i="1"/>
  <c r="AS307" i="1"/>
  <c r="AT299" i="1"/>
  <c r="AS299" i="1"/>
  <c r="AT291" i="1"/>
  <c r="AS291" i="1"/>
  <c r="AT283" i="1"/>
  <c r="AS283" i="1"/>
  <c r="AT275" i="1"/>
  <c r="AS275" i="1"/>
  <c r="AT267" i="1"/>
  <c r="AS267" i="1"/>
  <c r="AT259" i="1"/>
  <c r="AS259" i="1"/>
  <c r="AT251" i="1"/>
  <c r="AS251" i="1"/>
  <c r="AT243" i="1"/>
  <c r="AS243" i="1"/>
  <c r="AT235" i="1"/>
  <c r="AS235" i="1"/>
  <c r="AT227" i="1"/>
  <c r="AS227" i="1"/>
  <c r="AT219" i="1"/>
  <c r="AS219" i="1"/>
  <c r="AT211" i="1"/>
  <c r="AS211" i="1"/>
  <c r="AT203" i="1"/>
  <c r="AS203" i="1"/>
  <c r="AT195" i="1"/>
  <c r="AS195" i="1"/>
  <c r="AT187" i="1"/>
  <c r="AS187" i="1"/>
  <c r="AT179" i="1"/>
  <c r="AS179" i="1"/>
  <c r="AT171" i="1"/>
  <c r="AS171" i="1"/>
  <c r="AT163" i="1"/>
  <c r="AS163" i="1"/>
  <c r="AT155" i="1"/>
  <c r="AS155" i="1"/>
  <c r="AT147" i="1"/>
  <c r="AS147" i="1"/>
  <c r="AT139" i="1"/>
  <c r="AS139" i="1"/>
  <c r="AT131" i="1"/>
  <c r="AS131" i="1"/>
  <c r="AT123" i="1"/>
  <c r="AS123" i="1"/>
  <c r="AT115" i="1"/>
  <c r="AS115" i="1"/>
  <c r="AT107" i="1"/>
  <c r="AS107" i="1"/>
  <c r="AT99" i="1"/>
  <c r="AS99" i="1"/>
  <c r="AT91" i="1"/>
  <c r="AS91" i="1"/>
  <c r="AT83" i="1"/>
  <c r="AS83" i="1"/>
  <c r="AT75" i="1"/>
  <c r="AS75" i="1"/>
  <c r="AT67" i="1"/>
  <c r="AS67" i="1"/>
  <c r="AT59" i="1"/>
  <c r="AS59" i="1"/>
  <c r="AT51" i="1"/>
  <c r="AS51" i="1"/>
  <c r="AT43" i="1"/>
  <c r="AS43" i="1"/>
  <c r="AT35" i="1"/>
  <c r="AS35" i="1"/>
  <c r="AT27" i="1"/>
  <c r="AS27" i="1"/>
  <c r="AT19" i="1"/>
  <c r="AS19" i="1"/>
  <c r="AT11" i="1"/>
  <c r="AS11" i="1"/>
  <c r="AT3" i="1"/>
  <c r="AS3" i="1"/>
  <c r="AT2" i="1"/>
  <c r="AS2" i="1"/>
  <c r="AT907" i="1"/>
  <c r="AS907" i="1"/>
  <c r="AT898" i="1"/>
  <c r="AS898" i="1"/>
  <c r="AT890" i="1"/>
  <c r="AS890" i="1"/>
  <c r="AT882" i="1"/>
  <c r="AS882" i="1"/>
  <c r="AT874" i="1"/>
  <c r="AS874" i="1"/>
  <c r="AT866" i="1"/>
  <c r="AS866" i="1"/>
  <c r="AT858" i="1"/>
  <c r="AS858" i="1"/>
  <c r="AT850" i="1"/>
  <c r="AS850" i="1"/>
  <c r="AT842" i="1"/>
  <c r="AS842" i="1"/>
  <c r="AT834" i="1"/>
  <c r="AS834" i="1"/>
  <c r="AT826" i="1"/>
  <c r="AS826" i="1"/>
  <c r="AT818" i="1"/>
  <c r="AS818" i="1"/>
  <c r="AT810" i="1"/>
  <c r="AS810" i="1"/>
  <c r="AT802" i="1"/>
  <c r="AS802" i="1"/>
  <c r="AT794" i="1"/>
  <c r="AS794" i="1"/>
  <c r="AT786" i="1"/>
  <c r="AS786" i="1"/>
  <c r="AT778" i="1"/>
  <c r="AS778" i="1"/>
  <c r="AT770" i="1"/>
  <c r="AS770" i="1"/>
  <c r="AT762" i="1"/>
  <c r="AS762" i="1"/>
  <c r="AT754" i="1"/>
  <c r="AS754" i="1"/>
  <c r="AT746" i="1"/>
  <c r="AS746" i="1"/>
  <c r="AT738" i="1"/>
  <c r="AS738" i="1"/>
  <c r="AT730" i="1"/>
  <c r="AS730" i="1"/>
  <c r="AT722" i="1"/>
  <c r="AS722" i="1"/>
  <c r="AT714" i="1"/>
  <c r="AS714" i="1"/>
  <c r="AT706" i="1"/>
  <c r="AS706" i="1"/>
  <c r="AT698" i="1"/>
  <c r="AS698" i="1"/>
  <c r="AT690" i="1"/>
  <c r="AS690" i="1"/>
  <c r="AT682" i="1"/>
  <c r="AS682" i="1"/>
  <c r="AT674" i="1"/>
  <c r="AS674" i="1"/>
  <c r="AT666" i="1"/>
  <c r="AS666" i="1"/>
  <c r="AT658" i="1"/>
  <c r="AS658" i="1"/>
  <c r="AT650" i="1"/>
  <c r="AS650" i="1"/>
  <c r="AT642" i="1"/>
  <c r="AS642" i="1"/>
  <c r="AT634" i="1"/>
  <c r="AS634" i="1"/>
  <c r="AT626" i="1"/>
  <c r="AS626" i="1"/>
  <c r="AT618" i="1"/>
  <c r="AS618" i="1"/>
  <c r="AT610" i="1"/>
  <c r="AS610" i="1"/>
  <c r="AT602" i="1"/>
  <c r="AS602" i="1"/>
  <c r="AT594" i="1"/>
  <c r="AS594" i="1"/>
  <c r="AT586" i="1"/>
  <c r="AS586" i="1"/>
  <c r="AT578" i="1"/>
  <c r="AS578" i="1"/>
  <c r="AT570" i="1"/>
  <c r="AS570" i="1"/>
  <c r="AT562" i="1"/>
  <c r="AS562" i="1"/>
  <c r="AT554" i="1"/>
  <c r="AS554" i="1"/>
  <c r="AT546" i="1"/>
  <c r="AS546" i="1"/>
  <c r="AT538" i="1"/>
  <c r="AS538" i="1"/>
  <c r="AT530" i="1"/>
  <c r="AS530" i="1"/>
  <c r="AT522" i="1"/>
  <c r="AS522" i="1"/>
  <c r="AT514" i="1"/>
  <c r="AS514" i="1"/>
  <c r="AT506" i="1"/>
  <c r="AS506" i="1"/>
  <c r="AT498" i="1"/>
  <c r="AS498" i="1"/>
  <c r="AT490" i="1"/>
  <c r="AS490" i="1"/>
  <c r="AT482" i="1"/>
  <c r="AS482" i="1"/>
  <c r="AT474" i="1"/>
  <c r="AS474" i="1"/>
  <c r="AT466" i="1"/>
  <c r="AS466" i="1"/>
  <c r="AT458" i="1"/>
  <c r="AS458" i="1"/>
  <c r="AT450" i="1"/>
  <c r="AS450" i="1"/>
  <c r="AT442" i="1"/>
  <c r="AS442" i="1"/>
  <c r="AT434" i="1"/>
  <c r="AS434" i="1"/>
  <c r="AT426" i="1"/>
  <c r="AS426" i="1"/>
  <c r="AT418" i="1"/>
  <c r="AS418" i="1"/>
  <c r="AT410" i="1"/>
  <c r="AS410" i="1"/>
  <c r="AT402" i="1"/>
  <c r="AS402" i="1"/>
  <c r="AT394" i="1"/>
  <c r="AS394" i="1"/>
  <c r="AT386" i="1"/>
  <c r="AS386" i="1"/>
  <c r="AT378" i="1"/>
  <c r="AS378" i="1"/>
  <c r="AT370" i="1"/>
  <c r="AS370" i="1"/>
  <c r="AT362" i="1"/>
  <c r="AS362" i="1"/>
  <c r="AT354" i="1"/>
  <c r="AS354" i="1"/>
  <c r="AT346" i="1"/>
  <c r="AS346" i="1"/>
  <c r="AT338" i="1"/>
  <c r="AS338" i="1"/>
  <c r="AT330" i="1"/>
  <c r="AS330" i="1"/>
  <c r="AT322" i="1"/>
  <c r="AS322" i="1"/>
  <c r="AT314" i="1"/>
  <c r="AS314" i="1"/>
  <c r="AT306" i="1"/>
  <c r="AS306" i="1"/>
  <c r="AT298" i="1"/>
  <c r="AS298" i="1"/>
  <c r="AT290" i="1"/>
  <c r="AS290" i="1"/>
  <c r="AT282" i="1"/>
  <c r="AS282" i="1"/>
  <c r="AT226" i="1"/>
  <c r="AS226" i="1"/>
  <c r="AT266" i="1"/>
  <c r="AS266" i="1"/>
  <c r="AT258" i="1"/>
  <c r="AS258" i="1"/>
  <c r="AT250" i="1"/>
  <c r="AS250" i="1"/>
  <c r="AT242" i="1"/>
  <c r="AS242" i="1"/>
  <c r="AT234" i="1"/>
  <c r="AS234" i="1"/>
  <c r="AT904" i="1"/>
  <c r="AS904" i="1"/>
  <c r="AT218" i="1"/>
  <c r="AS218" i="1"/>
  <c r="AT210" i="1"/>
  <c r="AS210" i="1"/>
  <c r="AT202" i="1"/>
  <c r="AS202" i="1"/>
  <c r="AT194" i="1"/>
  <c r="AS194" i="1"/>
  <c r="AT186" i="1"/>
  <c r="AS186" i="1"/>
  <c r="AT178" i="1"/>
  <c r="AS178" i="1"/>
  <c r="AT170" i="1"/>
  <c r="AS170" i="1"/>
  <c r="AT162" i="1"/>
  <c r="AS162" i="1"/>
  <c r="AT154" i="1"/>
  <c r="AS154" i="1"/>
  <c r="AT146" i="1"/>
  <c r="AS146" i="1"/>
  <c r="AT138" i="1"/>
  <c r="AS138" i="1"/>
  <c r="AT130" i="1"/>
  <c r="AS130" i="1"/>
  <c r="AT122" i="1"/>
  <c r="AS122" i="1"/>
  <c r="AT114" i="1"/>
  <c r="AS114" i="1"/>
  <c r="AT106" i="1"/>
  <c r="AS106" i="1"/>
  <c r="AT98" i="1"/>
  <c r="AS98" i="1"/>
  <c r="AT90" i="1"/>
  <c r="AS90" i="1"/>
  <c r="AT82" i="1"/>
  <c r="AS82" i="1"/>
  <c r="AT74" i="1"/>
  <c r="AS74" i="1"/>
  <c r="AT66" i="1"/>
  <c r="AS66" i="1"/>
  <c r="AT58" i="1"/>
  <c r="AS58" i="1"/>
  <c r="AT50" i="1"/>
  <c r="AS50" i="1"/>
  <c r="AT42" i="1"/>
  <c r="AS42" i="1"/>
  <c r="AT34" i="1"/>
  <c r="AS34" i="1"/>
  <c r="AT26" i="1"/>
  <c r="AS26" i="1"/>
  <c r="AT18" i="1"/>
  <c r="AS18" i="1"/>
  <c r="AT10" i="1"/>
  <c r="AS10" i="1"/>
  <c r="AD2" i="1"/>
  <c r="AN2" i="1"/>
  <c r="AW2" i="1" s="1"/>
  <c r="AD907" i="1"/>
  <c r="AN907" i="1"/>
  <c r="AW907" i="1" s="1"/>
  <c r="AD898" i="1"/>
  <c r="AN898" i="1"/>
  <c r="AW898" i="1" s="1"/>
  <c r="AD890" i="1"/>
  <c r="AN890" i="1"/>
  <c r="AW890" i="1" s="1"/>
  <c r="AD882" i="1"/>
  <c r="AN882" i="1"/>
  <c r="AW882" i="1" s="1"/>
  <c r="AD874" i="1"/>
  <c r="AN874" i="1"/>
  <c r="AW874" i="1" s="1"/>
  <c r="AD866" i="1"/>
  <c r="AN866" i="1"/>
  <c r="AW866" i="1" s="1"/>
  <c r="AD858" i="1"/>
  <c r="AN858" i="1"/>
  <c r="AW858" i="1" s="1"/>
  <c r="AD850" i="1"/>
  <c r="AN850" i="1"/>
  <c r="AW850" i="1" s="1"/>
  <c r="AD842" i="1"/>
  <c r="AN842" i="1"/>
  <c r="AW842" i="1" s="1"/>
  <c r="AD834" i="1"/>
  <c r="AN834" i="1"/>
  <c r="AW834" i="1" s="1"/>
  <c r="AD826" i="1"/>
  <c r="AN826" i="1"/>
  <c r="AW826" i="1" s="1"/>
  <c r="AD818" i="1"/>
  <c r="AN818" i="1"/>
  <c r="AW818" i="1" s="1"/>
  <c r="AD810" i="1"/>
  <c r="AN810" i="1"/>
  <c r="AW810" i="1" s="1"/>
  <c r="AD802" i="1"/>
  <c r="AN802" i="1"/>
  <c r="AW802" i="1" s="1"/>
  <c r="AD794" i="1"/>
  <c r="AN794" i="1"/>
  <c r="AW794" i="1" s="1"/>
  <c r="AD786" i="1"/>
  <c r="AN786" i="1"/>
  <c r="AW786" i="1" s="1"/>
  <c r="AD778" i="1"/>
  <c r="AN778" i="1"/>
  <c r="AW778" i="1" s="1"/>
  <c r="AD770" i="1"/>
  <c r="AN770" i="1"/>
  <c r="AW770" i="1" s="1"/>
  <c r="AD762" i="1"/>
  <c r="AN762" i="1"/>
  <c r="AW762" i="1" s="1"/>
  <c r="AD754" i="1"/>
  <c r="AN754" i="1"/>
  <c r="AW754" i="1" s="1"/>
  <c r="AD746" i="1"/>
  <c r="AN746" i="1"/>
  <c r="AW746" i="1" s="1"/>
  <c r="AD738" i="1"/>
  <c r="AN738" i="1"/>
  <c r="AW738" i="1" s="1"/>
  <c r="AD730" i="1"/>
  <c r="AN730" i="1"/>
  <c r="AW730" i="1" s="1"/>
  <c r="AD722" i="1"/>
  <c r="AN722" i="1"/>
  <c r="AW722" i="1" s="1"/>
  <c r="AD714" i="1"/>
  <c r="AN714" i="1"/>
  <c r="AW714" i="1" s="1"/>
  <c r="AD706" i="1"/>
  <c r="AN706" i="1"/>
  <c r="AW706" i="1" s="1"/>
  <c r="AD698" i="1"/>
  <c r="AN698" i="1"/>
  <c r="AW698" i="1" s="1"/>
  <c r="AD690" i="1"/>
  <c r="AN690" i="1"/>
  <c r="AW690" i="1" s="1"/>
  <c r="AD682" i="1"/>
  <c r="AN682" i="1"/>
  <c r="AW682" i="1" s="1"/>
  <c r="AD674" i="1"/>
  <c r="AN674" i="1"/>
  <c r="AW674" i="1" s="1"/>
  <c r="AD666" i="1"/>
  <c r="AN666" i="1"/>
  <c r="AW666" i="1" s="1"/>
  <c r="AD658" i="1"/>
  <c r="AN658" i="1"/>
  <c r="AW658" i="1" s="1"/>
  <c r="AD650" i="1"/>
  <c r="AN650" i="1"/>
  <c r="AW650" i="1" s="1"/>
  <c r="AD642" i="1"/>
  <c r="AN642" i="1"/>
  <c r="AW642" i="1" s="1"/>
  <c r="AD634" i="1"/>
  <c r="AN634" i="1"/>
  <c r="AW634" i="1" s="1"/>
  <c r="AD626" i="1"/>
  <c r="AN626" i="1"/>
  <c r="AW626" i="1" s="1"/>
  <c r="AD618" i="1"/>
  <c r="AN618" i="1"/>
  <c r="AW618" i="1" s="1"/>
  <c r="AD610" i="1"/>
  <c r="AN610" i="1"/>
  <c r="AW610" i="1" s="1"/>
  <c r="AD602" i="1"/>
  <c r="AN602" i="1"/>
  <c r="AW602" i="1" s="1"/>
  <c r="AD594" i="1"/>
  <c r="AN594" i="1"/>
  <c r="AW594" i="1" s="1"/>
  <c r="AD586" i="1"/>
  <c r="AN586" i="1"/>
  <c r="AW586" i="1" s="1"/>
  <c r="AD578" i="1"/>
  <c r="AN578" i="1"/>
  <c r="AW578" i="1" s="1"/>
  <c r="AD570" i="1"/>
  <c r="AN570" i="1"/>
  <c r="AW570" i="1" s="1"/>
  <c r="AD562" i="1"/>
  <c r="AN562" i="1"/>
  <c r="AW562" i="1" s="1"/>
  <c r="AD554" i="1"/>
  <c r="AN554" i="1"/>
  <c r="AW554" i="1" s="1"/>
  <c r="AD546" i="1"/>
  <c r="AN546" i="1"/>
  <c r="AW546" i="1" s="1"/>
  <c r="AD538" i="1"/>
  <c r="AN538" i="1"/>
  <c r="AW538" i="1" s="1"/>
  <c r="AD530" i="1"/>
  <c r="AN530" i="1"/>
  <c r="AW530" i="1" s="1"/>
  <c r="AD522" i="1"/>
  <c r="AN522" i="1"/>
  <c r="AW522" i="1" s="1"/>
  <c r="AD514" i="1"/>
  <c r="AN514" i="1"/>
  <c r="AW514" i="1" s="1"/>
  <c r="AD506" i="1"/>
  <c r="AN506" i="1"/>
  <c r="AW506" i="1" s="1"/>
  <c r="AD498" i="1"/>
  <c r="AN498" i="1"/>
  <c r="AW498" i="1" s="1"/>
  <c r="AD490" i="1"/>
  <c r="AN490" i="1"/>
  <c r="AW490" i="1" s="1"/>
  <c r="AD482" i="1"/>
  <c r="AN482" i="1"/>
  <c r="AW482" i="1" s="1"/>
  <c r="AD474" i="1"/>
  <c r="AN474" i="1"/>
  <c r="AW474" i="1" s="1"/>
  <c r="AD466" i="1"/>
  <c r="AN466" i="1"/>
  <c r="AW466" i="1" s="1"/>
  <c r="AD458" i="1"/>
  <c r="AN458" i="1"/>
  <c r="AW458" i="1" s="1"/>
  <c r="AD450" i="1"/>
  <c r="AN450" i="1"/>
  <c r="AW450" i="1" s="1"/>
  <c r="AD442" i="1"/>
  <c r="AN442" i="1"/>
  <c r="AW442" i="1" s="1"/>
  <c r="AD434" i="1"/>
  <c r="AN434" i="1"/>
  <c r="AW434" i="1" s="1"/>
  <c r="AD426" i="1"/>
  <c r="AN426" i="1"/>
  <c r="AW426" i="1" s="1"/>
  <c r="AD418" i="1"/>
  <c r="AN418" i="1"/>
  <c r="AW418" i="1" s="1"/>
  <c r="AD410" i="1"/>
  <c r="AN410" i="1"/>
  <c r="AW410" i="1" s="1"/>
  <c r="AD402" i="1"/>
  <c r="AN402" i="1"/>
  <c r="AW402" i="1" s="1"/>
  <c r="AD394" i="1"/>
  <c r="AN394" i="1"/>
  <c r="AW394" i="1" s="1"/>
  <c r="AD386" i="1"/>
  <c r="AN386" i="1"/>
  <c r="AW386" i="1" s="1"/>
  <c r="AD378" i="1"/>
  <c r="AN378" i="1"/>
  <c r="AW378" i="1" s="1"/>
  <c r="AD370" i="1"/>
  <c r="AN370" i="1"/>
  <c r="AW370" i="1" s="1"/>
  <c r="AD362" i="1"/>
  <c r="AN362" i="1"/>
  <c r="AW362" i="1" s="1"/>
  <c r="AD354" i="1"/>
  <c r="AN354" i="1"/>
  <c r="AW354" i="1" s="1"/>
  <c r="AD346" i="1"/>
  <c r="AN346" i="1"/>
  <c r="AW346" i="1" s="1"/>
  <c r="AD338" i="1"/>
  <c r="AN338" i="1"/>
  <c r="AW338" i="1" s="1"/>
  <c r="AD330" i="1"/>
  <c r="AN330" i="1"/>
  <c r="AW330" i="1" s="1"/>
  <c r="AD322" i="1"/>
  <c r="AN322" i="1"/>
  <c r="AW322" i="1" s="1"/>
  <c r="AD314" i="1"/>
  <c r="AN314" i="1"/>
  <c r="AW314" i="1" s="1"/>
  <c r="AD306" i="1"/>
  <c r="AN306" i="1"/>
  <c r="AW306" i="1" s="1"/>
  <c r="AD298" i="1"/>
  <c r="AN298" i="1"/>
  <c r="AW298" i="1" s="1"/>
  <c r="AD290" i="1"/>
  <c r="AN290" i="1"/>
  <c r="AW290" i="1" s="1"/>
  <c r="AD282" i="1"/>
  <c r="AN282" i="1"/>
  <c r="AW282" i="1" s="1"/>
  <c r="AD226" i="1"/>
  <c r="AN226" i="1"/>
  <c r="AW226" i="1" s="1"/>
  <c r="AD266" i="1"/>
  <c r="AN266" i="1"/>
  <c r="AW266" i="1" s="1"/>
  <c r="AD258" i="1"/>
  <c r="AN258" i="1"/>
  <c r="AW258" i="1" s="1"/>
  <c r="AD250" i="1"/>
  <c r="AN250" i="1"/>
  <c r="AW250" i="1" s="1"/>
  <c r="AD242" i="1"/>
  <c r="AN242" i="1"/>
  <c r="AW242" i="1" s="1"/>
  <c r="AD234" i="1"/>
  <c r="AN234" i="1"/>
  <c r="AW234" i="1" s="1"/>
  <c r="AD904" i="1"/>
  <c r="AN904" i="1"/>
  <c r="AW904" i="1" s="1"/>
  <c r="AD218" i="1"/>
  <c r="AN218" i="1"/>
  <c r="AW218" i="1" s="1"/>
  <c r="AD210" i="1"/>
  <c r="AN210" i="1"/>
  <c r="AW210" i="1" s="1"/>
  <c r="AD202" i="1"/>
  <c r="AN202" i="1"/>
  <c r="AW202" i="1" s="1"/>
  <c r="AD194" i="1"/>
  <c r="AN194" i="1"/>
  <c r="AW194" i="1" s="1"/>
  <c r="AD186" i="1"/>
  <c r="AN186" i="1"/>
  <c r="AW186" i="1" s="1"/>
  <c r="AD178" i="1"/>
  <c r="AN178" i="1"/>
  <c r="AW178" i="1" s="1"/>
  <c r="AD170" i="1"/>
  <c r="AN170" i="1"/>
  <c r="AW170" i="1" s="1"/>
  <c r="AD162" i="1"/>
  <c r="AN162" i="1"/>
  <c r="AW162" i="1" s="1"/>
  <c r="AD154" i="1"/>
  <c r="AN154" i="1"/>
  <c r="AW154" i="1" s="1"/>
  <c r="AD146" i="1"/>
  <c r="AN146" i="1"/>
  <c r="AW146" i="1" s="1"/>
  <c r="AD138" i="1"/>
  <c r="AN138" i="1"/>
  <c r="AW138" i="1" s="1"/>
  <c r="AD130" i="1"/>
  <c r="AN130" i="1"/>
  <c r="AW130" i="1" s="1"/>
  <c r="AD122" i="1"/>
  <c r="AN122" i="1"/>
  <c r="AW122" i="1" s="1"/>
  <c r="AD114" i="1"/>
  <c r="AN114" i="1"/>
  <c r="AW114" i="1" s="1"/>
  <c r="AD106" i="1"/>
  <c r="AN106" i="1"/>
  <c r="AW106" i="1" s="1"/>
  <c r="AD98" i="1"/>
  <c r="AN98" i="1"/>
  <c r="AW98" i="1" s="1"/>
  <c r="AD90" i="1"/>
  <c r="AN90" i="1"/>
  <c r="AW90" i="1" s="1"/>
  <c r="AD82" i="1"/>
  <c r="AN82" i="1"/>
  <c r="AW82" i="1" s="1"/>
  <c r="AD74" i="1"/>
  <c r="AN74" i="1"/>
  <c r="AW74" i="1" s="1"/>
  <c r="AD66" i="1"/>
  <c r="AN66" i="1"/>
  <c r="AW66" i="1" s="1"/>
  <c r="AD58" i="1"/>
  <c r="AN58" i="1"/>
  <c r="AW58" i="1" s="1"/>
  <c r="AD50" i="1"/>
  <c r="AN50" i="1"/>
  <c r="AW50" i="1" s="1"/>
  <c r="AD42" i="1"/>
  <c r="AN42" i="1"/>
  <c r="AW42" i="1" s="1"/>
  <c r="AD34" i="1"/>
  <c r="AN34" i="1"/>
  <c r="AW34" i="1" s="1"/>
  <c r="AD26" i="1"/>
  <c r="AN26" i="1"/>
  <c r="AW26" i="1" s="1"/>
  <c r="AD18" i="1"/>
  <c r="AN18" i="1"/>
  <c r="AW18" i="1" s="1"/>
  <c r="AD10" i="1"/>
  <c r="AN10" i="1"/>
  <c r="AW10" i="1" s="1"/>
  <c r="AD909" i="1"/>
  <c r="AN909" i="1"/>
  <c r="AW909" i="1" s="1"/>
  <c r="AD905" i="1"/>
  <c r="AN905" i="1"/>
  <c r="AW905" i="1" s="1"/>
  <c r="AD897" i="1"/>
  <c r="AN897" i="1"/>
  <c r="AW897" i="1" s="1"/>
  <c r="AD889" i="1"/>
  <c r="AN889" i="1"/>
  <c r="AW889" i="1" s="1"/>
  <c r="AD881" i="1"/>
  <c r="AN881" i="1"/>
  <c r="AW881" i="1" s="1"/>
  <c r="AD873" i="1"/>
  <c r="AN873" i="1"/>
  <c r="AW873" i="1" s="1"/>
  <c r="AD865" i="1"/>
  <c r="AN865" i="1"/>
  <c r="AW865" i="1" s="1"/>
  <c r="AD857" i="1"/>
  <c r="AN857" i="1"/>
  <c r="AW857" i="1" s="1"/>
  <c r="AD849" i="1"/>
  <c r="AN849" i="1"/>
  <c r="AW849" i="1" s="1"/>
  <c r="AD841" i="1"/>
  <c r="AN841" i="1"/>
  <c r="AW841" i="1" s="1"/>
  <c r="AD833" i="1"/>
  <c r="AN833" i="1"/>
  <c r="AW833" i="1" s="1"/>
  <c r="AD825" i="1"/>
  <c r="AN825" i="1"/>
  <c r="AW825" i="1" s="1"/>
  <c r="AD817" i="1"/>
  <c r="AN817" i="1"/>
  <c r="AW817" i="1" s="1"/>
  <c r="AD809" i="1"/>
  <c r="AN809" i="1"/>
  <c r="AW809" i="1" s="1"/>
  <c r="AD801" i="1"/>
  <c r="AN801" i="1"/>
  <c r="AW801" i="1" s="1"/>
  <c r="AD793" i="1"/>
  <c r="AN793" i="1"/>
  <c r="AW793" i="1" s="1"/>
  <c r="AD785" i="1"/>
  <c r="AN785" i="1"/>
  <c r="AW785" i="1" s="1"/>
  <c r="AD777" i="1"/>
  <c r="AN777" i="1"/>
  <c r="AW777" i="1" s="1"/>
  <c r="AD769" i="1"/>
  <c r="AN769" i="1"/>
  <c r="AW769" i="1" s="1"/>
  <c r="AD761" i="1"/>
  <c r="AN761" i="1"/>
  <c r="AW761" i="1" s="1"/>
  <c r="AD753" i="1"/>
  <c r="AN753" i="1"/>
  <c r="AW753" i="1" s="1"/>
  <c r="AD745" i="1"/>
  <c r="AN745" i="1"/>
  <c r="AW745" i="1" s="1"/>
  <c r="AD737" i="1"/>
  <c r="AN737" i="1"/>
  <c r="AW737" i="1" s="1"/>
  <c r="AD729" i="1"/>
  <c r="AN729" i="1"/>
  <c r="AW729" i="1" s="1"/>
  <c r="AD721" i="1"/>
  <c r="AN721" i="1"/>
  <c r="AW721" i="1" s="1"/>
  <c r="AD713" i="1"/>
  <c r="AN713" i="1"/>
  <c r="AW713" i="1" s="1"/>
  <c r="AD705" i="1"/>
  <c r="AN705" i="1"/>
  <c r="AW705" i="1" s="1"/>
  <c r="AD697" i="1"/>
  <c r="AN697" i="1"/>
  <c r="AW697" i="1" s="1"/>
  <c r="AD689" i="1"/>
  <c r="AN689" i="1"/>
  <c r="AW689" i="1" s="1"/>
  <c r="AD681" i="1"/>
  <c r="AN681" i="1"/>
  <c r="AW681" i="1" s="1"/>
  <c r="AD673" i="1"/>
  <c r="AN673" i="1"/>
  <c r="AW673" i="1" s="1"/>
  <c r="AD665" i="1"/>
  <c r="AN665" i="1"/>
  <c r="AW665" i="1" s="1"/>
  <c r="AD657" i="1"/>
  <c r="AN657" i="1"/>
  <c r="AW657" i="1" s="1"/>
  <c r="AD649" i="1"/>
  <c r="AN649" i="1"/>
  <c r="AW649" i="1" s="1"/>
  <c r="AD641" i="1"/>
  <c r="AN641" i="1"/>
  <c r="AW641" i="1" s="1"/>
  <c r="AD633" i="1"/>
  <c r="AN633" i="1"/>
  <c r="AW633" i="1" s="1"/>
  <c r="AD625" i="1"/>
  <c r="AN625" i="1"/>
  <c r="AW625" i="1" s="1"/>
  <c r="AD617" i="1"/>
  <c r="AN617" i="1"/>
  <c r="AW617" i="1" s="1"/>
  <c r="AD609" i="1"/>
  <c r="AN609" i="1"/>
  <c r="AW609" i="1" s="1"/>
  <c r="AD601" i="1"/>
  <c r="AN601" i="1"/>
  <c r="AW601" i="1" s="1"/>
  <c r="AD593" i="1"/>
  <c r="AN593" i="1"/>
  <c r="AW593" i="1" s="1"/>
  <c r="AD585" i="1"/>
  <c r="AN585" i="1"/>
  <c r="AW585" i="1" s="1"/>
  <c r="AD577" i="1"/>
  <c r="AN577" i="1"/>
  <c r="AW577" i="1" s="1"/>
  <c r="AD569" i="1"/>
  <c r="AN569" i="1"/>
  <c r="AW569" i="1" s="1"/>
  <c r="AD561" i="1"/>
  <c r="AN561" i="1"/>
  <c r="AW561" i="1" s="1"/>
  <c r="AD553" i="1"/>
  <c r="AN553" i="1"/>
  <c r="AW553" i="1" s="1"/>
  <c r="AD545" i="1"/>
  <c r="AN545" i="1"/>
  <c r="AW545" i="1" s="1"/>
  <c r="AD537" i="1"/>
  <c r="AN537" i="1"/>
  <c r="AW537" i="1" s="1"/>
  <c r="AD529" i="1"/>
  <c r="AN529" i="1"/>
  <c r="AW529" i="1" s="1"/>
  <c r="AD521" i="1"/>
  <c r="AN521" i="1"/>
  <c r="AW521" i="1" s="1"/>
  <c r="AD513" i="1"/>
  <c r="AN513" i="1"/>
  <c r="AW513" i="1" s="1"/>
  <c r="AD505" i="1"/>
  <c r="AN505" i="1"/>
  <c r="AW505" i="1" s="1"/>
  <c r="AD497" i="1"/>
  <c r="AN497" i="1"/>
  <c r="AW497" i="1" s="1"/>
  <c r="AD489" i="1"/>
  <c r="AN489" i="1"/>
  <c r="AW489" i="1" s="1"/>
  <c r="AD481" i="1"/>
  <c r="AN481" i="1"/>
  <c r="AW481" i="1" s="1"/>
  <c r="AD473" i="1"/>
  <c r="AN473" i="1"/>
  <c r="AW473" i="1" s="1"/>
  <c r="AD465" i="1"/>
  <c r="AN465" i="1"/>
  <c r="AW465" i="1" s="1"/>
  <c r="AD457" i="1"/>
  <c r="AN457" i="1"/>
  <c r="AW457" i="1" s="1"/>
  <c r="AD449" i="1"/>
  <c r="AN449" i="1"/>
  <c r="AW449" i="1" s="1"/>
  <c r="AD441" i="1"/>
  <c r="AN441" i="1"/>
  <c r="AW441" i="1" s="1"/>
  <c r="AD433" i="1"/>
  <c r="AN433" i="1"/>
  <c r="AW433" i="1" s="1"/>
  <c r="AD337" i="1"/>
  <c r="AN337" i="1"/>
  <c r="AW337" i="1" s="1"/>
  <c r="AD417" i="1"/>
  <c r="AN417" i="1"/>
  <c r="AW417" i="1" s="1"/>
  <c r="AD409" i="1"/>
  <c r="AN409" i="1"/>
  <c r="AW409" i="1" s="1"/>
  <c r="AD401" i="1"/>
  <c r="AN401" i="1"/>
  <c r="AW401" i="1" s="1"/>
  <c r="AD393" i="1"/>
  <c r="AN393" i="1"/>
  <c r="AW393" i="1" s="1"/>
  <c r="AD385" i="1"/>
  <c r="AN385" i="1"/>
  <c r="AW385" i="1" s="1"/>
  <c r="AD377" i="1"/>
  <c r="AN377" i="1"/>
  <c r="AW377" i="1" s="1"/>
  <c r="AD369" i="1"/>
  <c r="AN369" i="1"/>
  <c r="AW369" i="1" s="1"/>
  <c r="AD361" i="1"/>
  <c r="AN361" i="1"/>
  <c r="AW361" i="1" s="1"/>
  <c r="AD353" i="1"/>
  <c r="AN353" i="1"/>
  <c r="AW353" i="1" s="1"/>
  <c r="AD345" i="1"/>
  <c r="AN345" i="1"/>
  <c r="AW345" i="1" s="1"/>
  <c r="AD908" i="1"/>
  <c r="AN908" i="1"/>
  <c r="AW908" i="1" s="1"/>
  <c r="AD329" i="1"/>
  <c r="AN329" i="1"/>
  <c r="AW329" i="1" s="1"/>
  <c r="AD321" i="1"/>
  <c r="AN321" i="1"/>
  <c r="AW321" i="1" s="1"/>
  <c r="AD313" i="1"/>
  <c r="AN313" i="1"/>
  <c r="AW313" i="1" s="1"/>
  <c r="AD305" i="1"/>
  <c r="AN305" i="1"/>
  <c r="AW305" i="1" s="1"/>
  <c r="AD297" i="1"/>
  <c r="AN297" i="1"/>
  <c r="AW297" i="1" s="1"/>
  <c r="AD289" i="1"/>
  <c r="AN289" i="1"/>
  <c r="AW289" i="1" s="1"/>
  <c r="AD281" i="1"/>
  <c r="AN281" i="1"/>
  <c r="AW281" i="1" s="1"/>
  <c r="AD273" i="1"/>
  <c r="AN273" i="1"/>
  <c r="AW273" i="1" s="1"/>
  <c r="AD265" i="1"/>
  <c r="AN265" i="1"/>
  <c r="AW265" i="1" s="1"/>
  <c r="AD257" i="1"/>
  <c r="AN257" i="1"/>
  <c r="AW257" i="1" s="1"/>
  <c r="AD249" i="1"/>
  <c r="AN249" i="1"/>
  <c r="AW249" i="1" s="1"/>
  <c r="AD241" i="1"/>
  <c r="AN241" i="1"/>
  <c r="AW241" i="1" s="1"/>
  <c r="AD233" i="1"/>
  <c r="AN233" i="1"/>
  <c r="AW233" i="1" s="1"/>
  <c r="AD225" i="1"/>
  <c r="AN225" i="1"/>
  <c r="AW225" i="1" s="1"/>
  <c r="AD217" i="1"/>
  <c r="AN217" i="1"/>
  <c r="AW217" i="1" s="1"/>
  <c r="AD209" i="1"/>
  <c r="AN209" i="1"/>
  <c r="AW209" i="1" s="1"/>
  <c r="AD201" i="1"/>
  <c r="AN201" i="1"/>
  <c r="AW201" i="1" s="1"/>
  <c r="AD193" i="1"/>
  <c r="AN193" i="1"/>
  <c r="AW193" i="1" s="1"/>
  <c r="AD185" i="1"/>
  <c r="AN185" i="1"/>
  <c r="AW185" i="1" s="1"/>
  <c r="AD177" i="1"/>
  <c r="AN177" i="1"/>
  <c r="AW177" i="1" s="1"/>
  <c r="AD169" i="1"/>
  <c r="AN169" i="1"/>
  <c r="AW169" i="1" s="1"/>
  <c r="AD161" i="1"/>
  <c r="AN161" i="1"/>
  <c r="AW161" i="1" s="1"/>
  <c r="AD153" i="1"/>
  <c r="AN153" i="1"/>
  <c r="AW153" i="1" s="1"/>
  <c r="AD145" i="1"/>
  <c r="AN145" i="1"/>
  <c r="AW145" i="1" s="1"/>
  <c r="AD137" i="1"/>
  <c r="AN137" i="1"/>
  <c r="AW137" i="1" s="1"/>
  <c r="AD129" i="1"/>
  <c r="AN129" i="1"/>
  <c r="AW129" i="1" s="1"/>
  <c r="AD121" i="1"/>
  <c r="AN121" i="1"/>
  <c r="AW121" i="1" s="1"/>
  <c r="AD113" i="1"/>
  <c r="AN113" i="1"/>
  <c r="AW113" i="1" s="1"/>
  <c r="AD105" i="1"/>
  <c r="AN105" i="1"/>
  <c r="AW105" i="1" s="1"/>
  <c r="AD97" i="1"/>
  <c r="AN97" i="1"/>
  <c r="AW97" i="1" s="1"/>
  <c r="AD89" i="1"/>
  <c r="AN89" i="1"/>
  <c r="AW89" i="1" s="1"/>
  <c r="AD81" i="1"/>
  <c r="AN81" i="1"/>
  <c r="AW81" i="1" s="1"/>
  <c r="AD73" i="1"/>
  <c r="AN73" i="1"/>
  <c r="AW73" i="1" s="1"/>
  <c r="AD65" i="1"/>
  <c r="AN65" i="1"/>
  <c r="AW65" i="1" s="1"/>
  <c r="AD57" i="1"/>
  <c r="AN57" i="1"/>
  <c r="AW57" i="1" s="1"/>
  <c r="AD49" i="1"/>
  <c r="AN49" i="1"/>
  <c r="AW49" i="1" s="1"/>
  <c r="AD41" i="1"/>
  <c r="AN41" i="1"/>
  <c r="AW41" i="1" s="1"/>
  <c r="AD33" i="1"/>
  <c r="AN33" i="1"/>
  <c r="AW33" i="1" s="1"/>
  <c r="AD25" i="1"/>
  <c r="AN25" i="1"/>
  <c r="AW25" i="1" s="1"/>
  <c r="AD17" i="1"/>
  <c r="AN17" i="1"/>
  <c r="AW17" i="1" s="1"/>
  <c r="AD9" i="1"/>
  <c r="AN9" i="1"/>
  <c r="AW9" i="1" s="1"/>
  <c r="AD125" i="1"/>
  <c r="AN125" i="1"/>
  <c r="AW125" i="1" s="1"/>
  <c r="AD911" i="1"/>
  <c r="AN911" i="1"/>
  <c r="AW911" i="1" s="1"/>
  <c r="AD896" i="1"/>
  <c r="AN896" i="1"/>
  <c r="AW896" i="1" s="1"/>
  <c r="AD888" i="1"/>
  <c r="AN888" i="1"/>
  <c r="AW888" i="1" s="1"/>
  <c r="AD880" i="1"/>
  <c r="AN880" i="1"/>
  <c r="AW880" i="1" s="1"/>
  <c r="AD872" i="1"/>
  <c r="AN872" i="1"/>
  <c r="AW872" i="1" s="1"/>
  <c r="AD864" i="1"/>
  <c r="AN864" i="1"/>
  <c r="AW864" i="1" s="1"/>
  <c r="AD856" i="1"/>
  <c r="AN856" i="1"/>
  <c r="AW856" i="1" s="1"/>
  <c r="AD848" i="1"/>
  <c r="AN848" i="1"/>
  <c r="AW848" i="1" s="1"/>
  <c r="AD840" i="1"/>
  <c r="AN840" i="1"/>
  <c r="AW840" i="1" s="1"/>
  <c r="AD832" i="1"/>
  <c r="AN832" i="1"/>
  <c r="AW832" i="1" s="1"/>
  <c r="AD824" i="1"/>
  <c r="AN824" i="1"/>
  <c r="AW824" i="1" s="1"/>
  <c r="AD816" i="1"/>
  <c r="AN816" i="1"/>
  <c r="AW816" i="1" s="1"/>
  <c r="AD808" i="1"/>
  <c r="AN808" i="1"/>
  <c r="AW808" i="1" s="1"/>
  <c r="AD800" i="1"/>
  <c r="AN800" i="1"/>
  <c r="AW800" i="1" s="1"/>
  <c r="AD792" i="1"/>
  <c r="AN792" i="1"/>
  <c r="AW792" i="1" s="1"/>
  <c r="AD784" i="1"/>
  <c r="AN784" i="1"/>
  <c r="AW784" i="1" s="1"/>
  <c r="AD776" i="1"/>
  <c r="AN776" i="1"/>
  <c r="AW776" i="1" s="1"/>
  <c r="AD768" i="1"/>
  <c r="AN768" i="1"/>
  <c r="AW768" i="1" s="1"/>
  <c r="AD760" i="1"/>
  <c r="AN760" i="1"/>
  <c r="AW760" i="1" s="1"/>
  <c r="AD752" i="1"/>
  <c r="AN752" i="1"/>
  <c r="AW752" i="1" s="1"/>
  <c r="AD744" i="1"/>
  <c r="AN744" i="1"/>
  <c r="AW744" i="1" s="1"/>
  <c r="AD736" i="1"/>
  <c r="AN736" i="1"/>
  <c r="AW736" i="1" s="1"/>
  <c r="AD728" i="1"/>
  <c r="AN728" i="1"/>
  <c r="AW728" i="1" s="1"/>
  <c r="AD720" i="1"/>
  <c r="AN720" i="1"/>
  <c r="AW720" i="1" s="1"/>
  <c r="AD712" i="1"/>
  <c r="AN712" i="1"/>
  <c r="AW712" i="1" s="1"/>
  <c r="AD704" i="1"/>
  <c r="AN704" i="1"/>
  <c r="AW704" i="1" s="1"/>
  <c r="AD696" i="1"/>
  <c r="AN696" i="1"/>
  <c r="AW696" i="1" s="1"/>
  <c r="AD688" i="1"/>
  <c r="AN688" i="1"/>
  <c r="AW688" i="1" s="1"/>
  <c r="AD680" i="1"/>
  <c r="AN680" i="1"/>
  <c r="AW680" i="1" s="1"/>
  <c r="AD672" i="1"/>
  <c r="AN672" i="1"/>
  <c r="AW672" i="1" s="1"/>
  <c r="AD664" i="1"/>
  <c r="AN664" i="1"/>
  <c r="AW664" i="1" s="1"/>
  <c r="AD656" i="1"/>
  <c r="AN656" i="1"/>
  <c r="AW656" i="1" s="1"/>
  <c r="AD648" i="1"/>
  <c r="AN648" i="1"/>
  <c r="AW648" i="1" s="1"/>
  <c r="AD640" i="1"/>
  <c r="AN640" i="1"/>
  <c r="AW640" i="1" s="1"/>
  <c r="AD632" i="1"/>
  <c r="AN632" i="1"/>
  <c r="AW632" i="1" s="1"/>
  <c r="AD624" i="1"/>
  <c r="AN624" i="1"/>
  <c r="AW624" i="1" s="1"/>
  <c r="AD616" i="1"/>
  <c r="AN616" i="1"/>
  <c r="AW616" i="1" s="1"/>
  <c r="AD608" i="1"/>
  <c r="AN608" i="1"/>
  <c r="AW608" i="1" s="1"/>
  <c r="AD600" i="1"/>
  <c r="AN600" i="1"/>
  <c r="AW600" i="1" s="1"/>
  <c r="AD592" i="1"/>
  <c r="AN592" i="1"/>
  <c r="AW592" i="1" s="1"/>
  <c r="AD584" i="1"/>
  <c r="AN584" i="1"/>
  <c r="AW584" i="1" s="1"/>
  <c r="AD576" i="1"/>
  <c r="AN576" i="1"/>
  <c r="AW576" i="1" s="1"/>
  <c r="AD568" i="1"/>
  <c r="AN568" i="1"/>
  <c r="AW568" i="1" s="1"/>
  <c r="AD560" i="1"/>
  <c r="AN560" i="1"/>
  <c r="AW560" i="1" s="1"/>
  <c r="AD552" i="1"/>
  <c r="AN552" i="1"/>
  <c r="AW552" i="1" s="1"/>
  <c r="AD544" i="1"/>
  <c r="AN544" i="1"/>
  <c r="AW544" i="1" s="1"/>
  <c r="AD536" i="1"/>
  <c r="AN536" i="1"/>
  <c r="AW536" i="1" s="1"/>
  <c r="AD528" i="1"/>
  <c r="AN528" i="1"/>
  <c r="AW528" i="1" s="1"/>
  <c r="AD520" i="1"/>
  <c r="AN520" i="1"/>
  <c r="AW520" i="1" s="1"/>
  <c r="AD512" i="1"/>
  <c r="AN512" i="1"/>
  <c r="AW512" i="1" s="1"/>
  <c r="AD504" i="1"/>
  <c r="AN504" i="1"/>
  <c r="AW504" i="1" s="1"/>
  <c r="AD496" i="1"/>
  <c r="AN496" i="1"/>
  <c r="AW496" i="1" s="1"/>
  <c r="AD488" i="1"/>
  <c r="AN488" i="1"/>
  <c r="AW488" i="1" s="1"/>
  <c r="AD480" i="1"/>
  <c r="AN480" i="1"/>
  <c r="AW480" i="1" s="1"/>
  <c r="AD472" i="1"/>
  <c r="AN472" i="1"/>
  <c r="AW472" i="1" s="1"/>
  <c r="AD464" i="1"/>
  <c r="AN464" i="1"/>
  <c r="AW464" i="1" s="1"/>
  <c r="AD456" i="1"/>
  <c r="AN456" i="1"/>
  <c r="AW456" i="1" s="1"/>
  <c r="AD448" i="1"/>
  <c r="AN448" i="1"/>
  <c r="AW448" i="1" s="1"/>
  <c r="AD440" i="1"/>
  <c r="AN440" i="1"/>
  <c r="AW440" i="1" s="1"/>
  <c r="AD432" i="1"/>
  <c r="AN432" i="1"/>
  <c r="AW432" i="1" s="1"/>
  <c r="AD424" i="1"/>
  <c r="AN424" i="1"/>
  <c r="AW424" i="1" s="1"/>
  <c r="AD416" i="1"/>
  <c r="AN416" i="1"/>
  <c r="AW416" i="1" s="1"/>
  <c r="AD408" i="1"/>
  <c r="AN408" i="1"/>
  <c r="AW408" i="1" s="1"/>
  <c r="AD400" i="1"/>
  <c r="AN400" i="1"/>
  <c r="AW400" i="1" s="1"/>
  <c r="AD392" i="1"/>
  <c r="AN392" i="1"/>
  <c r="AW392" i="1" s="1"/>
  <c r="AD384" i="1"/>
  <c r="AN384" i="1"/>
  <c r="AW384" i="1" s="1"/>
  <c r="AD376" i="1"/>
  <c r="AN376" i="1"/>
  <c r="AW376" i="1" s="1"/>
  <c r="AD368" i="1"/>
  <c r="AN368" i="1"/>
  <c r="AW368" i="1" s="1"/>
  <c r="AD360" i="1"/>
  <c r="AN360" i="1"/>
  <c r="AW360" i="1" s="1"/>
  <c r="AD352" i="1"/>
  <c r="AN352" i="1"/>
  <c r="AW352" i="1" s="1"/>
  <c r="AD344" i="1"/>
  <c r="AN344" i="1"/>
  <c r="AW344" i="1" s="1"/>
  <c r="AD336" i="1"/>
  <c r="AN336" i="1"/>
  <c r="AW336" i="1" s="1"/>
  <c r="AD328" i="1"/>
  <c r="AN328" i="1"/>
  <c r="AW328" i="1" s="1"/>
  <c r="AD320" i="1"/>
  <c r="AN320" i="1"/>
  <c r="AW320" i="1" s="1"/>
  <c r="AD312" i="1"/>
  <c r="AN312" i="1"/>
  <c r="AW312" i="1" s="1"/>
  <c r="AD304" i="1"/>
  <c r="AN304" i="1"/>
  <c r="AW304" i="1" s="1"/>
  <c r="AD296" i="1"/>
  <c r="AN296" i="1"/>
  <c r="AW296" i="1" s="1"/>
  <c r="AD288" i="1"/>
  <c r="AN288" i="1"/>
  <c r="AW288" i="1" s="1"/>
  <c r="AD280" i="1"/>
  <c r="AN280" i="1"/>
  <c r="AW280" i="1" s="1"/>
  <c r="AD272" i="1"/>
  <c r="AN272" i="1"/>
  <c r="AW272" i="1" s="1"/>
  <c r="AD264" i="1"/>
  <c r="AN264" i="1"/>
  <c r="AW264" i="1" s="1"/>
  <c r="AD256" i="1"/>
  <c r="AN256" i="1"/>
  <c r="AW256" i="1" s="1"/>
  <c r="AD248" i="1"/>
  <c r="AN248" i="1"/>
  <c r="AW248" i="1" s="1"/>
  <c r="AD240" i="1"/>
  <c r="AN240" i="1"/>
  <c r="AW240" i="1" s="1"/>
  <c r="AD232" i="1"/>
  <c r="AN232" i="1"/>
  <c r="AW232" i="1" s="1"/>
  <c r="AD224" i="1"/>
  <c r="AN224" i="1"/>
  <c r="AW224" i="1" s="1"/>
  <c r="AD216" i="1"/>
  <c r="AN216" i="1"/>
  <c r="AW216" i="1" s="1"/>
  <c r="AD208" i="1"/>
  <c r="AN208" i="1"/>
  <c r="AW208" i="1" s="1"/>
  <c r="AD200" i="1"/>
  <c r="AN200" i="1"/>
  <c r="AW200" i="1" s="1"/>
  <c r="AD192" i="1"/>
  <c r="AN192" i="1"/>
  <c r="AW192" i="1" s="1"/>
  <c r="AD184" i="1"/>
  <c r="AN184" i="1"/>
  <c r="AW184" i="1" s="1"/>
  <c r="AD176" i="1"/>
  <c r="AN176" i="1"/>
  <c r="AW176" i="1" s="1"/>
  <c r="AD168" i="1"/>
  <c r="AN168" i="1"/>
  <c r="AW168" i="1" s="1"/>
  <c r="AD160" i="1"/>
  <c r="AN160" i="1"/>
  <c r="AW160" i="1" s="1"/>
  <c r="AD152" i="1"/>
  <c r="AN152" i="1"/>
  <c r="AW152" i="1" s="1"/>
  <c r="AD144" i="1"/>
  <c r="AN144" i="1"/>
  <c r="AW144" i="1" s="1"/>
  <c r="AD136" i="1"/>
  <c r="AN136" i="1"/>
  <c r="AW136" i="1" s="1"/>
  <c r="AD128" i="1"/>
  <c r="AN128" i="1"/>
  <c r="AW128" i="1" s="1"/>
  <c r="AD120" i="1"/>
  <c r="AN120" i="1"/>
  <c r="AW120" i="1" s="1"/>
  <c r="AD112" i="1"/>
  <c r="AN112" i="1"/>
  <c r="AW112" i="1" s="1"/>
  <c r="AD104" i="1"/>
  <c r="AN104" i="1"/>
  <c r="AW104" i="1" s="1"/>
  <c r="AD96" i="1"/>
  <c r="AN96" i="1"/>
  <c r="AW96" i="1" s="1"/>
  <c r="AD88" i="1"/>
  <c r="AN88" i="1"/>
  <c r="AW88" i="1" s="1"/>
  <c r="AD80" i="1"/>
  <c r="AN80" i="1"/>
  <c r="AW80" i="1" s="1"/>
  <c r="AD72" i="1"/>
  <c r="AN72" i="1"/>
  <c r="AW72" i="1" s="1"/>
  <c r="AD64" i="1"/>
  <c r="AN64" i="1"/>
  <c r="AW64" i="1" s="1"/>
  <c r="AD56" i="1"/>
  <c r="AN56" i="1"/>
  <c r="AW56" i="1" s="1"/>
  <c r="AD48" i="1"/>
  <c r="AN48" i="1"/>
  <c r="AW48" i="1" s="1"/>
  <c r="AD40" i="1"/>
  <c r="AN40" i="1"/>
  <c r="AW40" i="1" s="1"/>
  <c r="AD32" i="1"/>
  <c r="AN32" i="1"/>
  <c r="AW32" i="1" s="1"/>
  <c r="AD24" i="1"/>
  <c r="AN24" i="1"/>
  <c r="AW24" i="1" s="1"/>
  <c r="AD16" i="1"/>
  <c r="AN16" i="1"/>
  <c r="AW16" i="1" s="1"/>
  <c r="AD8" i="1"/>
  <c r="AN8" i="1"/>
  <c r="AW8" i="1" s="1"/>
  <c r="AD274" i="1"/>
  <c r="AN274" i="1"/>
  <c r="AW274" i="1" s="1"/>
  <c r="AD573" i="1"/>
  <c r="AN573" i="1"/>
  <c r="AW573" i="1" s="1"/>
  <c r="AD895" i="1"/>
  <c r="AN895" i="1"/>
  <c r="AW895" i="1" s="1"/>
  <c r="AD887" i="1"/>
  <c r="AN887" i="1"/>
  <c r="AW887" i="1" s="1"/>
  <c r="AD879" i="1"/>
  <c r="AN879" i="1"/>
  <c r="AW879" i="1" s="1"/>
  <c r="AD871" i="1"/>
  <c r="AN871" i="1"/>
  <c r="AW871" i="1" s="1"/>
  <c r="AD863" i="1"/>
  <c r="AN863" i="1"/>
  <c r="AW863" i="1" s="1"/>
  <c r="AD855" i="1"/>
  <c r="AN855" i="1"/>
  <c r="AW855" i="1" s="1"/>
  <c r="AD847" i="1"/>
  <c r="AN847" i="1"/>
  <c r="AW847" i="1" s="1"/>
  <c r="AD839" i="1"/>
  <c r="AN839" i="1"/>
  <c r="AW839" i="1" s="1"/>
  <c r="AD831" i="1"/>
  <c r="AN831" i="1"/>
  <c r="AW831" i="1" s="1"/>
  <c r="AD823" i="1"/>
  <c r="AN823" i="1"/>
  <c r="AW823" i="1" s="1"/>
  <c r="AD815" i="1"/>
  <c r="AN815" i="1"/>
  <c r="AW815" i="1" s="1"/>
  <c r="AD807" i="1"/>
  <c r="AN807" i="1"/>
  <c r="AW807" i="1" s="1"/>
  <c r="AD799" i="1"/>
  <c r="AN799" i="1"/>
  <c r="AW799" i="1" s="1"/>
  <c r="AD791" i="1"/>
  <c r="AN791" i="1"/>
  <c r="AW791" i="1" s="1"/>
  <c r="AD783" i="1"/>
  <c r="AN783" i="1"/>
  <c r="AW783" i="1" s="1"/>
  <c r="AD775" i="1"/>
  <c r="AN775" i="1"/>
  <c r="AW775" i="1" s="1"/>
  <c r="AD767" i="1"/>
  <c r="AN767" i="1"/>
  <c r="AW767" i="1" s="1"/>
  <c r="AD759" i="1"/>
  <c r="AN759" i="1"/>
  <c r="AW759" i="1" s="1"/>
  <c r="AD751" i="1"/>
  <c r="AN751" i="1"/>
  <c r="AW751" i="1" s="1"/>
  <c r="AD743" i="1"/>
  <c r="AN743" i="1"/>
  <c r="AW743" i="1" s="1"/>
  <c r="AD735" i="1"/>
  <c r="AN735" i="1"/>
  <c r="AW735" i="1" s="1"/>
  <c r="AD727" i="1"/>
  <c r="AN727" i="1"/>
  <c r="AW727" i="1" s="1"/>
  <c r="AD719" i="1"/>
  <c r="AN719" i="1"/>
  <c r="AW719" i="1" s="1"/>
  <c r="AD711" i="1"/>
  <c r="AN711" i="1"/>
  <c r="AW711" i="1" s="1"/>
  <c r="AD703" i="1"/>
  <c r="AN703" i="1"/>
  <c r="AW703" i="1" s="1"/>
  <c r="AD695" i="1"/>
  <c r="AN695" i="1"/>
  <c r="AW695" i="1" s="1"/>
  <c r="AD687" i="1"/>
  <c r="AN687" i="1"/>
  <c r="AW687" i="1" s="1"/>
  <c r="AD679" i="1"/>
  <c r="AN679" i="1"/>
  <c r="AW679" i="1" s="1"/>
  <c r="AD671" i="1"/>
  <c r="AN671" i="1"/>
  <c r="AW671" i="1" s="1"/>
  <c r="AD663" i="1"/>
  <c r="AN663" i="1"/>
  <c r="AW663" i="1" s="1"/>
  <c r="AD655" i="1"/>
  <c r="AN655" i="1"/>
  <c r="AW655" i="1" s="1"/>
  <c r="AD647" i="1"/>
  <c r="AN647" i="1"/>
  <c r="AW647" i="1" s="1"/>
  <c r="AD639" i="1"/>
  <c r="AN639" i="1"/>
  <c r="AW639" i="1" s="1"/>
  <c r="AD631" i="1"/>
  <c r="AN631" i="1"/>
  <c r="AW631" i="1" s="1"/>
  <c r="AD623" i="1"/>
  <c r="AN623" i="1"/>
  <c r="AW623" i="1" s="1"/>
  <c r="AD615" i="1"/>
  <c r="AN615" i="1"/>
  <c r="AW615" i="1" s="1"/>
  <c r="AD607" i="1"/>
  <c r="AN607" i="1"/>
  <c r="AW607" i="1" s="1"/>
  <c r="AD599" i="1"/>
  <c r="AN599" i="1"/>
  <c r="AW599" i="1" s="1"/>
  <c r="AD591" i="1"/>
  <c r="AN591" i="1"/>
  <c r="AW591" i="1" s="1"/>
  <c r="AD583" i="1"/>
  <c r="AN583" i="1"/>
  <c r="AW583" i="1" s="1"/>
  <c r="AD575" i="1"/>
  <c r="AN575" i="1"/>
  <c r="AW575" i="1" s="1"/>
  <c r="AD567" i="1"/>
  <c r="AN567" i="1"/>
  <c r="AW567" i="1" s="1"/>
  <c r="AD559" i="1"/>
  <c r="AN559" i="1"/>
  <c r="AW559" i="1" s="1"/>
  <c r="AD551" i="1"/>
  <c r="AN551" i="1"/>
  <c r="AW551" i="1" s="1"/>
  <c r="AD543" i="1"/>
  <c r="AN543" i="1"/>
  <c r="AW543" i="1" s="1"/>
  <c r="AD535" i="1"/>
  <c r="AN535" i="1"/>
  <c r="AW535" i="1" s="1"/>
  <c r="AD527" i="1"/>
  <c r="AN527" i="1"/>
  <c r="AW527" i="1" s="1"/>
  <c r="AD519" i="1"/>
  <c r="AN519" i="1"/>
  <c r="AW519" i="1" s="1"/>
  <c r="AD511" i="1"/>
  <c r="AN511" i="1"/>
  <c r="AW511" i="1" s="1"/>
  <c r="AD503" i="1"/>
  <c r="AN503" i="1"/>
  <c r="AW503" i="1" s="1"/>
  <c r="AD495" i="1"/>
  <c r="AN495" i="1"/>
  <c r="AW495" i="1" s="1"/>
  <c r="AD487" i="1"/>
  <c r="AN487" i="1"/>
  <c r="AW487" i="1" s="1"/>
  <c r="AD479" i="1"/>
  <c r="AN479" i="1"/>
  <c r="AW479" i="1" s="1"/>
  <c r="AD471" i="1"/>
  <c r="AN471" i="1"/>
  <c r="AW471" i="1" s="1"/>
  <c r="AD463" i="1"/>
  <c r="AN463" i="1"/>
  <c r="AW463" i="1" s="1"/>
  <c r="AD455" i="1"/>
  <c r="AN455" i="1"/>
  <c r="AW455" i="1" s="1"/>
  <c r="AD447" i="1"/>
  <c r="AN447" i="1"/>
  <c r="AW447" i="1" s="1"/>
  <c r="AD439" i="1"/>
  <c r="AN439" i="1"/>
  <c r="AW439" i="1" s="1"/>
  <c r="AD431" i="1"/>
  <c r="AN431" i="1"/>
  <c r="AW431" i="1" s="1"/>
  <c r="AD423" i="1"/>
  <c r="AN423" i="1"/>
  <c r="AW423" i="1" s="1"/>
  <c r="AD415" i="1"/>
  <c r="AN415" i="1"/>
  <c r="AW415" i="1" s="1"/>
  <c r="AD407" i="1"/>
  <c r="AN407" i="1"/>
  <c r="AW407" i="1" s="1"/>
  <c r="AD399" i="1"/>
  <c r="AN399" i="1"/>
  <c r="AW399" i="1" s="1"/>
  <c r="AD391" i="1"/>
  <c r="AN391" i="1"/>
  <c r="AW391" i="1" s="1"/>
  <c r="AD383" i="1"/>
  <c r="AN383" i="1"/>
  <c r="AW383" i="1" s="1"/>
  <c r="AD910" i="1"/>
  <c r="AN910" i="1"/>
  <c r="AW910" i="1" s="1"/>
  <c r="AD367" i="1"/>
  <c r="AN367" i="1"/>
  <c r="AW367" i="1" s="1"/>
  <c r="AD359" i="1"/>
  <c r="AN359" i="1"/>
  <c r="AW359" i="1" s="1"/>
  <c r="AD351" i="1"/>
  <c r="AN351" i="1"/>
  <c r="AW351" i="1" s="1"/>
  <c r="AD343" i="1"/>
  <c r="AN343" i="1"/>
  <c r="AW343" i="1" s="1"/>
  <c r="AD335" i="1"/>
  <c r="AN335" i="1"/>
  <c r="AW335" i="1" s="1"/>
  <c r="AD327" i="1"/>
  <c r="AN327" i="1"/>
  <c r="AW327" i="1" s="1"/>
  <c r="AD319" i="1"/>
  <c r="AN319" i="1"/>
  <c r="AW319" i="1" s="1"/>
  <c r="AD311" i="1"/>
  <c r="AN311" i="1"/>
  <c r="AW311" i="1" s="1"/>
  <c r="AD303" i="1"/>
  <c r="AN303" i="1"/>
  <c r="AW303" i="1" s="1"/>
  <c r="AD295" i="1"/>
  <c r="AN295" i="1"/>
  <c r="AW295" i="1" s="1"/>
  <c r="AD287" i="1"/>
  <c r="AN287" i="1"/>
  <c r="AW287" i="1" s="1"/>
  <c r="AD279" i="1"/>
  <c r="AN279" i="1"/>
  <c r="AW279" i="1" s="1"/>
  <c r="AD271" i="1"/>
  <c r="AN271" i="1"/>
  <c r="AW271" i="1" s="1"/>
  <c r="AD263" i="1"/>
  <c r="AN263" i="1"/>
  <c r="AW263" i="1" s="1"/>
  <c r="AD255" i="1"/>
  <c r="AN255" i="1"/>
  <c r="AW255" i="1" s="1"/>
  <c r="AD247" i="1"/>
  <c r="AN247" i="1"/>
  <c r="AW247" i="1" s="1"/>
  <c r="AD239" i="1"/>
  <c r="AN239" i="1"/>
  <c r="AW239" i="1" s="1"/>
  <c r="AD231" i="1"/>
  <c r="AN231" i="1"/>
  <c r="AW231" i="1" s="1"/>
  <c r="AD223" i="1"/>
  <c r="AN223" i="1"/>
  <c r="AW223" i="1" s="1"/>
  <c r="AD215" i="1"/>
  <c r="AN215" i="1"/>
  <c r="AW215" i="1" s="1"/>
  <c r="AD207" i="1"/>
  <c r="AN207" i="1"/>
  <c r="AW207" i="1" s="1"/>
  <c r="AD199" i="1"/>
  <c r="AN199" i="1"/>
  <c r="AW199" i="1" s="1"/>
  <c r="AD191" i="1"/>
  <c r="AN191" i="1"/>
  <c r="AW191" i="1" s="1"/>
  <c r="AD183" i="1"/>
  <c r="AN183" i="1"/>
  <c r="AW183" i="1" s="1"/>
  <c r="AD175" i="1"/>
  <c r="AN175" i="1"/>
  <c r="AW175" i="1" s="1"/>
  <c r="AD167" i="1"/>
  <c r="AN167" i="1"/>
  <c r="AW167" i="1" s="1"/>
  <c r="AD159" i="1"/>
  <c r="AN159" i="1"/>
  <c r="AW159" i="1" s="1"/>
  <c r="AD151" i="1"/>
  <c r="AN151" i="1"/>
  <c r="AW151" i="1" s="1"/>
  <c r="AD143" i="1"/>
  <c r="AN143" i="1"/>
  <c r="AW143" i="1" s="1"/>
  <c r="AD135" i="1"/>
  <c r="AN135" i="1"/>
  <c r="AW135" i="1" s="1"/>
  <c r="AD127" i="1"/>
  <c r="AN127" i="1"/>
  <c r="AW127" i="1" s="1"/>
  <c r="AD119" i="1"/>
  <c r="AN119" i="1"/>
  <c r="AW119" i="1" s="1"/>
  <c r="AD111" i="1"/>
  <c r="AN111" i="1"/>
  <c r="AW111" i="1" s="1"/>
  <c r="AD103" i="1"/>
  <c r="AN103" i="1"/>
  <c r="AW103" i="1" s="1"/>
  <c r="AD95" i="1"/>
  <c r="AN95" i="1"/>
  <c r="AW95" i="1" s="1"/>
  <c r="AD87" i="1"/>
  <c r="AN87" i="1"/>
  <c r="AW87" i="1" s="1"/>
  <c r="AD79" i="1"/>
  <c r="AN79" i="1"/>
  <c r="AW79" i="1" s="1"/>
  <c r="AD71" i="1"/>
  <c r="AN71" i="1"/>
  <c r="AW71" i="1" s="1"/>
  <c r="AD63" i="1"/>
  <c r="AN63" i="1"/>
  <c r="AW63" i="1" s="1"/>
  <c r="AD55" i="1"/>
  <c r="AN55" i="1"/>
  <c r="AW55" i="1" s="1"/>
  <c r="AD47" i="1"/>
  <c r="AN47" i="1"/>
  <c r="AW47" i="1" s="1"/>
  <c r="AD39" i="1"/>
  <c r="AN39" i="1"/>
  <c r="AW39" i="1" s="1"/>
  <c r="AD31" i="1"/>
  <c r="AN31" i="1"/>
  <c r="AW31" i="1" s="1"/>
  <c r="AD23" i="1"/>
  <c r="AN23" i="1"/>
  <c r="AW23" i="1" s="1"/>
  <c r="AD15" i="1"/>
  <c r="AN15" i="1"/>
  <c r="AW15" i="1" s="1"/>
  <c r="AD7" i="1"/>
  <c r="AN7" i="1"/>
  <c r="AW7" i="1" s="1"/>
  <c r="AD172" i="1"/>
  <c r="AN172" i="1"/>
  <c r="AW172" i="1" s="1"/>
  <c r="AD333" i="1"/>
  <c r="AN333" i="1"/>
  <c r="AW333" i="1" s="1"/>
  <c r="AD894" i="1"/>
  <c r="AN894" i="1"/>
  <c r="AW894" i="1" s="1"/>
  <c r="AD886" i="1"/>
  <c r="AN886" i="1"/>
  <c r="AW886" i="1" s="1"/>
  <c r="AD878" i="1"/>
  <c r="AN878" i="1"/>
  <c r="AW878" i="1" s="1"/>
  <c r="AD870" i="1"/>
  <c r="AN870" i="1"/>
  <c r="AW870" i="1" s="1"/>
  <c r="AD862" i="1"/>
  <c r="AN862" i="1"/>
  <c r="AW862" i="1" s="1"/>
  <c r="AD854" i="1"/>
  <c r="AN854" i="1"/>
  <c r="AW854" i="1" s="1"/>
  <c r="AD846" i="1"/>
  <c r="AN846" i="1"/>
  <c r="AW846" i="1" s="1"/>
  <c r="AD838" i="1"/>
  <c r="AN838" i="1"/>
  <c r="AW838" i="1" s="1"/>
  <c r="AD830" i="1"/>
  <c r="AN830" i="1"/>
  <c r="AW830" i="1" s="1"/>
  <c r="AD822" i="1"/>
  <c r="AN822" i="1"/>
  <c r="AW822" i="1" s="1"/>
  <c r="AD814" i="1"/>
  <c r="AN814" i="1"/>
  <c r="AW814" i="1" s="1"/>
  <c r="AD806" i="1"/>
  <c r="AN806" i="1"/>
  <c r="AW806" i="1" s="1"/>
  <c r="AD798" i="1"/>
  <c r="AN798" i="1"/>
  <c r="AW798" i="1" s="1"/>
  <c r="AD790" i="1"/>
  <c r="AN790" i="1"/>
  <c r="AW790" i="1" s="1"/>
  <c r="AD782" i="1"/>
  <c r="AN782" i="1"/>
  <c r="AW782" i="1" s="1"/>
  <c r="AD774" i="1"/>
  <c r="AN774" i="1"/>
  <c r="AW774" i="1" s="1"/>
  <c r="AD766" i="1"/>
  <c r="AN766" i="1"/>
  <c r="AW766" i="1" s="1"/>
  <c r="AD758" i="1"/>
  <c r="AN758" i="1"/>
  <c r="AW758" i="1" s="1"/>
  <c r="AD750" i="1"/>
  <c r="AN750" i="1"/>
  <c r="AW750" i="1" s="1"/>
  <c r="AD742" i="1"/>
  <c r="AN742" i="1"/>
  <c r="AW742" i="1" s="1"/>
  <c r="AD734" i="1"/>
  <c r="AN734" i="1"/>
  <c r="AW734" i="1" s="1"/>
  <c r="AD726" i="1"/>
  <c r="AN726" i="1"/>
  <c r="AW726" i="1" s="1"/>
  <c r="AD718" i="1"/>
  <c r="AN718" i="1"/>
  <c r="AW718" i="1" s="1"/>
  <c r="AD710" i="1"/>
  <c r="AN710" i="1"/>
  <c r="AW710" i="1" s="1"/>
  <c r="AD702" i="1"/>
  <c r="AN702" i="1"/>
  <c r="AW702" i="1" s="1"/>
  <c r="AD694" i="1"/>
  <c r="AN694" i="1"/>
  <c r="AW694" i="1" s="1"/>
  <c r="AD686" i="1"/>
  <c r="AN686" i="1"/>
  <c r="AW686" i="1" s="1"/>
  <c r="AD678" i="1"/>
  <c r="AN678" i="1"/>
  <c r="AW678" i="1" s="1"/>
  <c r="AD670" i="1"/>
  <c r="AN670" i="1"/>
  <c r="AW670" i="1" s="1"/>
  <c r="AD662" i="1"/>
  <c r="AN662" i="1"/>
  <c r="AW662" i="1" s="1"/>
  <c r="AD654" i="1"/>
  <c r="AN654" i="1"/>
  <c r="AW654" i="1" s="1"/>
  <c r="AD646" i="1"/>
  <c r="AN646" i="1"/>
  <c r="AW646" i="1" s="1"/>
  <c r="AD638" i="1"/>
  <c r="AN638" i="1"/>
  <c r="AW638" i="1" s="1"/>
  <c r="AD630" i="1"/>
  <c r="AN630" i="1"/>
  <c r="AW630" i="1" s="1"/>
  <c r="AD622" i="1"/>
  <c r="AN622" i="1"/>
  <c r="AW622" i="1" s="1"/>
  <c r="AD614" i="1"/>
  <c r="AN614" i="1"/>
  <c r="AW614" i="1" s="1"/>
  <c r="AD606" i="1"/>
  <c r="AN606" i="1"/>
  <c r="AW606" i="1" s="1"/>
  <c r="AD598" i="1"/>
  <c r="AN598" i="1"/>
  <c r="AW598" i="1" s="1"/>
  <c r="AD590" i="1"/>
  <c r="AN590" i="1"/>
  <c r="AW590" i="1" s="1"/>
  <c r="AD582" i="1"/>
  <c r="AN582" i="1"/>
  <c r="AW582" i="1" s="1"/>
  <c r="AD574" i="1"/>
  <c r="AN574" i="1"/>
  <c r="AW574" i="1" s="1"/>
  <c r="AD566" i="1"/>
  <c r="AN566" i="1"/>
  <c r="AW566" i="1" s="1"/>
  <c r="AD558" i="1"/>
  <c r="AN558" i="1"/>
  <c r="AW558" i="1" s="1"/>
  <c r="AD550" i="1"/>
  <c r="AN550" i="1"/>
  <c r="AW550" i="1" s="1"/>
  <c r="AD542" i="1"/>
  <c r="AN542" i="1"/>
  <c r="AW542" i="1" s="1"/>
  <c r="AD534" i="1"/>
  <c r="AN534" i="1"/>
  <c r="AW534" i="1" s="1"/>
  <c r="AD526" i="1"/>
  <c r="AN526" i="1"/>
  <c r="AW526" i="1" s="1"/>
  <c r="AD518" i="1"/>
  <c r="AN518" i="1"/>
  <c r="AW518" i="1" s="1"/>
  <c r="AD510" i="1"/>
  <c r="AN510" i="1"/>
  <c r="AW510" i="1" s="1"/>
  <c r="AD502" i="1"/>
  <c r="AN502" i="1"/>
  <c r="AW502" i="1" s="1"/>
  <c r="AD494" i="1"/>
  <c r="AN494" i="1"/>
  <c r="AW494" i="1" s="1"/>
  <c r="AD486" i="1"/>
  <c r="AN486" i="1"/>
  <c r="AW486" i="1" s="1"/>
  <c r="AD478" i="1"/>
  <c r="AN478" i="1"/>
  <c r="AW478" i="1" s="1"/>
  <c r="AD470" i="1"/>
  <c r="AN470" i="1"/>
  <c r="AW470" i="1" s="1"/>
  <c r="AD462" i="1"/>
  <c r="AN462" i="1"/>
  <c r="AW462" i="1" s="1"/>
  <c r="AD454" i="1"/>
  <c r="AN454" i="1"/>
  <c r="AW454" i="1" s="1"/>
  <c r="AD446" i="1"/>
  <c r="AN446" i="1"/>
  <c r="AW446" i="1" s="1"/>
  <c r="AD438" i="1"/>
  <c r="AN438" i="1"/>
  <c r="AW438" i="1" s="1"/>
  <c r="AD430" i="1"/>
  <c r="AN430" i="1"/>
  <c r="AW430" i="1" s="1"/>
  <c r="AD422" i="1"/>
  <c r="AN422" i="1"/>
  <c r="AW422" i="1" s="1"/>
  <c r="AD414" i="1"/>
  <c r="AN414" i="1"/>
  <c r="AW414" i="1" s="1"/>
  <c r="AD406" i="1"/>
  <c r="AN406" i="1"/>
  <c r="AW406" i="1" s="1"/>
  <c r="AD398" i="1"/>
  <c r="AN398" i="1"/>
  <c r="AW398" i="1" s="1"/>
  <c r="AD390" i="1"/>
  <c r="AN390" i="1"/>
  <c r="AW390" i="1" s="1"/>
  <c r="AD382" i="1"/>
  <c r="AN382" i="1"/>
  <c r="AW382" i="1" s="1"/>
  <c r="AD374" i="1"/>
  <c r="AN374" i="1"/>
  <c r="AW374" i="1" s="1"/>
  <c r="AD366" i="1"/>
  <c r="AN366" i="1"/>
  <c r="AW366" i="1" s="1"/>
  <c r="AD358" i="1"/>
  <c r="AN358" i="1"/>
  <c r="AW358" i="1" s="1"/>
  <c r="AD350" i="1"/>
  <c r="AN350" i="1"/>
  <c r="AW350" i="1" s="1"/>
  <c r="AD342" i="1"/>
  <c r="AN342" i="1"/>
  <c r="AW342" i="1" s="1"/>
  <c r="AD334" i="1"/>
  <c r="AN334" i="1"/>
  <c r="AW334" i="1" s="1"/>
  <c r="AD326" i="1"/>
  <c r="AN326" i="1"/>
  <c r="AW326" i="1" s="1"/>
  <c r="AD318" i="1"/>
  <c r="AN318" i="1"/>
  <c r="AW318" i="1" s="1"/>
  <c r="AD310" i="1"/>
  <c r="AN310" i="1"/>
  <c r="AW310" i="1" s="1"/>
  <c r="AD302" i="1"/>
  <c r="AN302" i="1"/>
  <c r="AW302" i="1" s="1"/>
  <c r="AD294" i="1"/>
  <c r="AN294" i="1"/>
  <c r="AW294" i="1" s="1"/>
  <c r="AD286" i="1"/>
  <c r="AN286" i="1"/>
  <c r="AW286" i="1" s="1"/>
  <c r="AD278" i="1"/>
  <c r="AN278" i="1"/>
  <c r="AW278" i="1" s="1"/>
  <c r="AD270" i="1"/>
  <c r="AN270" i="1"/>
  <c r="AW270" i="1" s="1"/>
  <c r="AD262" i="1"/>
  <c r="AN262" i="1"/>
  <c r="AW262" i="1" s="1"/>
  <c r="AD254" i="1"/>
  <c r="AN254" i="1"/>
  <c r="AW254" i="1" s="1"/>
  <c r="AD246" i="1"/>
  <c r="AN246" i="1"/>
  <c r="AW246" i="1" s="1"/>
  <c r="AD238" i="1"/>
  <c r="AN238" i="1"/>
  <c r="AW238" i="1" s="1"/>
  <c r="AD230" i="1"/>
  <c r="AN230" i="1"/>
  <c r="AW230" i="1" s="1"/>
  <c r="AD222" i="1"/>
  <c r="AN222" i="1"/>
  <c r="AW222" i="1" s="1"/>
  <c r="AD214" i="1"/>
  <c r="AN214" i="1"/>
  <c r="AW214" i="1" s="1"/>
  <c r="AD206" i="1"/>
  <c r="AN206" i="1"/>
  <c r="AW206" i="1" s="1"/>
  <c r="AD198" i="1"/>
  <c r="AN198" i="1"/>
  <c r="AW198" i="1" s="1"/>
  <c r="AD190" i="1"/>
  <c r="AN190" i="1"/>
  <c r="AW190" i="1" s="1"/>
  <c r="AD182" i="1"/>
  <c r="AN182" i="1"/>
  <c r="AW182" i="1" s="1"/>
  <c r="AD174" i="1"/>
  <c r="AN174" i="1"/>
  <c r="AW174" i="1" s="1"/>
  <c r="AD166" i="1"/>
  <c r="AN166" i="1"/>
  <c r="AW166" i="1" s="1"/>
  <c r="AD158" i="1"/>
  <c r="AN158" i="1"/>
  <c r="AW158" i="1" s="1"/>
  <c r="AD150" i="1"/>
  <c r="AN150" i="1"/>
  <c r="AW150" i="1" s="1"/>
  <c r="AD142" i="1"/>
  <c r="AN142" i="1"/>
  <c r="AW142" i="1" s="1"/>
  <c r="AD134" i="1"/>
  <c r="AN134" i="1"/>
  <c r="AW134" i="1" s="1"/>
  <c r="AD126" i="1"/>
  <c r="AN126" i="1"/>
  <c r="AW126" i="1" s="1"/>
  <c r="AD118" i="1"/>
  <c r="AN118" i="1"/>
  <c r="AW118" i="1" s="1"/>
  <c r="AD110" i="1"/>
  <c r="AN110" i="1"/>
  <c r="AW110" i="1" s="1"/>
  <c r="AD102" i="1"/>
  <c r="AN102" i="1"/>
  <c r="AW102" i="1" s="1"/>
  <c r="AD94" i="1"/>
  <c r="AN94" i="1"/>
  <c r="AW94" i="1" s="1"/>
  <c r="AD86" i="1"/>
  <c r="AN86" i="1"/>
  <c r="AW86" i="1" s="1"/>
  <c r="AD78" i="1"/>
  <c r="AN78" i="1"/>
  <c r="AW78" i="1" s="1"/>
  <c r="AD70" i="1"/>
  <c r="AN70" i="1"/>
  <c r="AW70" i="1" s="1"/>
  <c r="AD62" i="1"/>
  <c r="AN62" i="1"/>
  <c r="AW62" i="1" s="1"/>
  <c r="AD54" i="1"/>
  <c r="AN54" i="1"/>
  <c r="AW54" i="1" s="1"/>
  <c r="AD46" i="1"/>
  <c r="AN46" i="1"/>
  <c r="AW46" i="1" s="1"/>
  <c r="AD38" i="1"/>
  <c r="AN38" i="1"/>
  <c r="AW38" i="1" s="1"/>
  <c r="AD30" i="1"/>
  <c r="AN30" i="1"/>
  <c r="AW30" i="1" s="1"/>
  <c r="AD22" i="1"/>
  <c r="AN22" i="1"/>
  <c r="AW22" i="1" s="1"/>
  <c r="AD14" i="1"/>
  <c r="AN14" i="1"/>
  <c r="AW14" i="1" s="1"/>
  <c r="AD6" i="1"/>
  <c r="AN6" i="1"/>
  <c r="AW6" i="1" s="1"/>
  <c r="AD913" i="1"/>
  <c r="AN913" i="1"/>
  <c r="AW913" i="1" s="1"/>
  <c r="AD901" i="1"/>
  <c r="AN901" i="1"/>
  <c r="AW901" i="1" s="1"/>
  <c r="AD893" i="1"/>
  <c r="AN893" i="1"/>
  <c r="AW893" i="1" s="1"/>
  <c r="AD885" i="1"/>
  <c r="AN885" i="1"/>
  <c r="AW885" i="1" s="1"/>
  <c r="AD877" i="1"/>
  <c r="AN877" i="1"/>
  <c r="AW877" i="1" s="1"/>
  <c r="AD869" i="1"/>
  <c r="AN869" i="1"/>
  <c r="AW869" i="1" s="1"/>
  <c r="AD861" i="1"/>
  <c r="AN861" i="1"/>
  <c r="AW861" i="1" s="1"/>
  <c r="AD853" i="1"/>
  <c r="AN853" i="1"/>
  <c r="AW853" i="1" s="1"/>
  <c r="AD845" i="1"/>
  <c r="AN845" i="1"/>
  <c r="AW845" i="1" s="1"/>
  <c r="AD837" i="1"/>
  <c r="AN837" i="1"/>
  <c r="AW837" i="1" s="1"/>
  <c r="AD829" i="1"/>
  <c r="AN829" i="1"/>
  <c r="AW829" i="1" s="1"/>
  <c r="AD821" i="1"/>
  <c r="AN821" i="1"/>
  <c r="AW821" i="1" s="1"/>
  <c r="AD813" i="1"/>
  <c r="AN813" i="1"/>
  <c r="AW813" i="1" s="1"/>
  <c r="AD805" i="1"/>
  <c r="AN805" i="1"/>
  <c r="AW805" i="1" s="1"/>
  <c r="AD797" i="1"/>
  <c r="AN797" i="1"/>
  <c r="AW797" i="1" s="1"/>
  <c r="AD789" i="1"/>
  <c r="AN789" i="1"/>
  <c r="AW789" i="1" s="1"/>
  <c r="AD781" i="1"/>
  <c r="AN781" i="1"/>
  <c r="AW781" i="1" s="1"/>
  <c r="AD773" i="1"/>
  <c r="AN773" i="1"/>
  <c r="AW773" i="1" s="1"/>
  <c r="AD765" i="1"/>
  <c r="AN765" i="1"/>
  <c r="AW765" i="1" s="1"/>
  <c r="AD757" i="1"/>
  <c r="AN757" i="1"/>
  <c r="AW757" i="1" s="1"/>
  <c r="AD749" i="1"/>
  <c r="AN749" i="1"/>
  <c r="AW749" i="1" s="1"/>
  <c r="AD741" i="1"/>
  <c r="AN741" i="1"/>
  <c r="AW741" i="1" s="1"/>
  <c r="AD733" i="1"/>
  <c r="AN733" i="1"/>
  <c r="AW733" i="1" s="1"/>
  <c r="AD725" i="1"/>
  <c r="AN725" i="1"/>
  <c r="AW725" i="1" s="1"/>
  <c r="AD717" i="1"/>
  <c r="AN717" i="1"/>
  <c r="AW717" i="1" s="1"/>
  <c r="AD709" i="1"/>
  <c r="AN709" i="1"/>
  <c r="AW709" i="1" s="1"/>
  <c r="AD701" i="1"/>
  <c r="AN701" i="1"/>
  <c r="AW701" i="1" s="1"/>
  <c r="AD693" i="1"/>
  <c r="AN693" i="1"/>
  <c r="AW693" i="1" s="1"/>
  <c r="AD685" i="1"/>
  <c r="AN685" i="1"/>
  <c r="AW685" i="1" s="1"/>
  <c r="AD677" i="1"/>
  <c r="AN677" i="1"/>
  <c r="AW677" i="1" s="1"/>
  <c r="AD669" i="1"/>
  <c r="AN669" i="1"/>
  <c r="AW669" i="1" s="1"/>
  <c r="AD661" i="1"/>
  <c r="AN661" i="1"/>
  <c r="AW661" i="1" s="1"/>
  <c r="AD653" i="1"/>
  <c r="AN653" i="1"/>
  <c r="AW653" i="1" s="1"/>
  <c r="AD645" i="1"/>
  <c r="AN645" i="1"/>
  <c r="AW645" i="1" s="1"/>
  <c r="AD637" i="1"/>
  <c r="AN637" i="1"/>
  <c r="AW637" i="1" s="1"/>
  <c r="AD629" i="1"/>
  <c r="AN629" i="1"/>
  <c r="AW629" i="1" s="1"/>
  <c r="AD621" i="1"/>
  <c r="AN621" i="1"/>
  <c r="AW621" i="1" s="1"/>
  <c r="AD613" i="1"/>
  <c r="AN613" i="1"/>
  <c r="AW613" i="1" s="1"/>
  <c r="AD605" i="1"/>
  <c r="AN605" i="1"/>
  <c r="AW605" i="1" s="1"/>
  <c r="AD597" i="1"/>
  <c r="AN597" i="1"/>
  <c r="AW597" i="1" s="1"/>
  <c r="AD589" i="1"/>
  <c r="AN589" i="1"/>
  <c r="AW589" i="1" s="1"/>
  <c r="AD581" i="1"/>
  <c r="AN581" i="1"/>
  <c r="AW581" i="1" s="1"/>
  <c r="AD912" i="1"/>
  <c r="AN912" i="1"/>
  <c r="AW912" i="1" s="1"/>
  <c r="AD565" i="1"/>
  <c r="AN565" i="1"/>
  <c r="AW565" i="1" s="1"/>
  <c r="AD557" i="1"/>
  <c r="AN557" i="1"/>
  <c r="AW557" i="1" s="1"/>
  <c r="AD549" i="1"/>
  <c r="AN549" i="1"/>
  <c r="AW549" i="1" s="1"/>
  <c r="AD541" i="1"/>
  <c r="AN541" i="1"/>
  <c r="AW541" i="1" s="1"/>
  <c r="AD533" i="1"/>
  <c r="AN533" i="1"/>
  <c r="AW533" i="1" s="1"/>
  <c r="AD525" i="1"/>
  <c r="AN525" i="1"/>
  <c r="AW525" i="1" s="1"/>
  <c r="AD517" i="1"/>
  <c r="AN517" i="1"/>
  <c r="AW517" i="1" s="1"/>
  <c r="AD509" i="1"/>
  <c r="AN509" i="1"/>
  <c r="AW509" i="1" s="1"/>
  <c r="AD501" i="1"/>
  <c r="AN501" i="1"/>
  <c r="AW501" i="1" s="1"/>
  <c r="AD493" i="1"/>
  <c r="AN493" i="1"/>
  <c r="AW493" i="1" s="1"/>
  <c r="AD485" i="1"/>
  <c r="AN485" i="1"/>
  <c r="AW485" i="1" s="1"/>
  <c r="AD477" i="1"/>
  <c r="AN477" i="1"/>
  <c r="AW477" i="1" s="1"/>
  <c r="AD469" i="1"/>
  <c r="AN469" i="1"/>
  <c r="AW469" i="1" s="1"/>
  <c r="AD461" i="1"/>
  <c r="AN461" i="1"/>
  <c r="AW461" i="1" s="1"/>
  <c r="AD453" i="1"/>
  <c r="AN453" i="1"/>
  <c r="AW453" i="1" s="1"/>
  <c r="AD445" i="1"/>
  <c r="AN445" i="1"/>
  <c r="AW445" i="1" s="1"/>
  <c r="AD437" i="1"/>
  <c r="AN437" i="1"/>
  <c r="AW437" i="1" s="1"/>
  <c r="AD429" i="1"/>
  <c r="AN429" i="1"/>
  <c r="AW429" i="1" s="1"/>
  <c r="AD421" i="1"/>
  <c r="AN421" i="1"/>
  <c r="AW421" i="1" s="1"/>
  <c r="AD413" i="1"/>
  <c r="AN413" i="1"/>
  <c r="AW413" i="1" s="1"/>
  <c r="AD405" i="1"/>
  <c r="AN405" i="1"/>
  <c r="AW405" i="1" s="1"/>
  <c r="AD397" i="1"/>
  <c r="AN397" i="1"/>
  <c r="AW397" i="1" s="1"/>
  <c r="AD389" i="1"/>
  <c r="AN389" i="1"/>
  <c r="AW389" i="1" s="1"/>
  <c r="AD381" i="1"/>
  <c r="AN381" i="1"/>
  <c r="AW381" i="1" s="1"/>
  <c r="AD373" i="1"/>
  <c r="AN373" i="1"/>
  <c r="AW373" i="1" s="1"/>
  <c r="AD365" i="1"/>
  <c r="AN365" i="1"/>
  <c r="AW365" i="1" s="1"/>
  <c r="AD357" i="1"/>
  <c r="AN357" i="1"/>
  <c r="AW357" i="1" s="1"/>
  <c r="AD349" i="1"/>
  <c r="AN349" i="1"/>
  <c r="AW349" i="1" s="1"/>
  <c r="AD341" i="1"/>
  <c r="AN341" i="1"/>
  <c r="AW341" i="1" s="1"/>
  <c r="AD316" i="1"/>
  <c r="AN316" i="1"/>
  <c r="AW316" i="1" s="1"/>
  <c r="AD325" i="1"/>
  <c r="AN325" i="1"/>
  <c r="AW325" i="1" s="1"/>
  <c r="AD317" i="1"/>
  <c r="AN317" i="1"/>
  <c r="AW317" i="1" s="1"/>
  <c r="AD309" i="1"/>
  <c r="AN309" i="1"/>
  <c r="AW309" i="1" s="1"/>
  <c r="AD301" i="1"/>
  <c r="AN301" i="1"/>
  <c r="AW301" i="1" s="1"/>
  <c r="AD293" i="1"/>
  <c r="AN293" i="1"/>
  <c r="AW293" i="1" s="1"/>
  <c r="AD285" i="1"/>
  <c r="AN285" i="1"/>
  <c r="AW285" i="1" s="1"/>
  <c r="AD277" i="1"/>
  <c r="AN277" i="1"/>
  <c r="AW277" i="1" s="1"/>
  <c r="AD269" i="1"/>
  <c r="AN269" i="1"/>
  <c r="AW269" i="1" s="1"/>
  <c r="AD261" i="1"/>
  <c r="AN261" i="1"/>
  <c r="AW261" i="1" s="1"/>
  <c r="AD253" i="1"/>
  <c r="AN253" i="1"/>
  <c r="AW253" i="1" s="1"/>
  <c r="AD245" i="1"/>
  <c r="AN245" i="1"/>
  <c r="AW245" i="1" s="1"/>
  <c r="AD237" i="1"/>
  <c r="AN237" i="1"/>
  <c r="AW237" i="1" s="1"/>
  <c r="AD229" i="1"/>
  <c r="AN229" i="1"/>
  <c r="AW229" i="1" s="1"/>
  <c r="AD221" i="1"/>
  <c r="AN221" i="1"/>
  <c r="AW221" i="1" s="1"/>
  <c r="AD213" i="1"/>
  <c r="AN213" i="1"/>
  <c r="AW213" i="1" s="1"/>
  <c r="AD205" i="1"/>
  <c r="AN205" i="1"/>
  <c r="AW205" i="1" s="1"/>
  <c r="AD197" i="1"/>
  <c r="AN197" i="1"/>
  <c r="AW197" i="1" s="1"/>
  <c r="AD189" i="1"/>
  <c r="AN189" i="1"/>
  <c r="AW189" i="1" s="1"/>
  <c r="AD181" i="1"/>
  <c r="AN181" i="1"/>
  <c r="AW181" i="1" s="1"/>
  <c r="AD173" i="1"/>
  <c r="AN173" i="1"/>
  <c r="AW173" i="1" s="1"/>
  <c r="AD165" i="1"/>
  <c r="AN165" i="1"/>
  <c r="AW165" i="1" s="1"/>
  <c r="AD157" i="1"/>
  <c r="AN157" i="1"/>
  <c r="AW157" i="1" s="1"/>
  <c r="AD149" i="1"/>
  <c r="AN149" i="1"/>
  <c r="AW149" i="1" s="1"/>
  <c r="AD141" i="1"/>
  <c r="AN141" i="1"/>
  <c r="AW141" i="1" s="1"/>
  <c r="AD133" i="1"/>
  <c r="AN133" i="1"/>
  <c r="AW133" i="1" s="1"/>
  <c r="AD92" i="1"/>
  <c r="AN92" i="1"/>
  <c r="AW92" i="1" s="1"/>
  <c r="AD117" i="1"/>
  <c r="AN117" i="1"/>
  <c r="AW117" i="1" s="1"/>
  <c r="AD109" i="1"/>
  <c r="AN109" i="1"/>
  <c r="AW109" i="1" s="1"/>
  <c r="AD101" i="1"/>
  <c r="AN101" i="1"/>
  <c r="AW101" i="1" s="1"/>
  <c r="AD93" i="1"/>
  <c r="AN93" i="1"/>
  <c r="AW93" i="1" s="1"/>
  <c r="AD85" i="1"/>
  <c r="AN85" i="1"/>
  <c r="AW85" i="1" s="1"/>
  <c r="AD77" i="1"/>
  <c r="AN77" i="1"/>
  <c r="AW77" i="1" s="1"/>
  <c r="AD69" i="1"/>
  <c r="AN69" i="1"/>
  <c r="AW69" i="1" s="1"/>
  <c r="AD61" i="1"/>
  <c r="AN61" i="1"/>
  <c r="AW61" i="1" s="1"/>
  <c r="AD53" i="1"/>
  <c r="AN53" i="1"/>
  <c r="AW53" i="1" s="1"/>
  <c r="AD45" i="1"/>
  <c r="AN45" i="1"/>
  <c r="AW45" i="1" s="1"/>
  <c r="AD37" i="1"/>
  <c r="AN37" i="1"/>
  <c r="AW37" i="1" s="1"/>
  <c r="AD29" i="1"/>
  <c r="AN29" i="1"/>
  <c r="AW29" i="1" s="1"/>
  <c r="AD21" i="1"/>
  <c r="AN21" i="1"/>
  <c r="AW21" i="1" s="1"/>
  <c r="AD13" i="1"/>
  <c r="AN13" i="1"/>
  <c r="AW13" i="1" s="1"/>
  <c r="AD5" i="1"/>
  <c r="AN5" i="1"/>
  <c r="AW5" i="1" s="1"/>
  <c r="AD375" i="1"/>
  <c r="AN375" i="1"/>
  <c r="AW375" i="1" s="1"/>
  <c r="AD900" i="1"/>
  <c r="AN900" i="1"/>
  <c r="AW900" i="1" s="1"/>
  <c r="AD892" i="1"/>
  <c r="AN892" i="1"/>
  <c r="AW892" i="1" s="1"/>
  <c r="AD884" i="1"/>
  <c r="AN884" i="1"/>
  <c r="AW884" i="1" s="1"/>
  <c r="AD876" i="1"/>
  <c r="AN876" i="1"/>
  <c r="AW876" i="1" s="1"/>
  <c r="AD868" i="1"/>
  <c r="AN868" i="1"/>
  <c r="AW868" i="1" s="1"/>
  <c r="AD860" i="1"/>
  <c r="AN860" i="1"/>
  <c r="AW860" i="1" s="1"/>
  <c r="AD852" i="1"/>
  <c r="AN852" i="1"/>
  <c r="AW852" i="1" s="1"/>
  <c r="AD844" i="1"/>
  <c r="AN844" i="1"/>
  <c r="AW844" i="1" s="1"/>
  <c r="AD836" i="1"/>
  <c r="AN836" i="1"/>
  <c r="AW836" i="1" s="1"/>
  <c r="AD828" i="1"/>
  <c r="AN828" i="1"/>
  <c r="AW828" i="1" s="1"/>
  <c r="AD820" i="1"/>
  <c r="AN820" i="1"/>
  <c r="AW820" i="1" s="1"/>
  <c r="AD812" i="1"/>
  <c r="AN812" i="1"/>
  <c r="AW812" i="1" s="1"/>
  <c r="AD804" i="1"/>
  <c r="AN804" i="1"/>
  <c r="AW804" i="1" s="1"/>
  <c r="AD796" i="1"/>
  <c r="AN796" i="1"/>
  <c r="AW796" i="1" s="1"/>
  <c r="AD788" i="1"/>
  <c r="AN788" i="1"/>
  <c r="AW788" i="1" s="1"/>
  <c r="AD780" i="1"/>
  <c r="AN780" i="1"/>
  <c r="AW780" i="1" s="1"/>
  <c r="AD772" i="1"/>
  <c r="AN772" i="1"/>
  <c r="AW772" i="1" s="1"/>
  <c r="AD764" i="1"/>
  <c r="AN764" i="1"/>
  <c r="AW764" i="1" s="1"/>
  <c r="AD756" i="1"/>
  <c r="AN756" i="1"/>
  <c r="AW756" i="1" s="1"/>
  <c r="AD748" i="1"/>
  <c r="AN748" i="1"/>
  <c r="AW748" i="1" s="1"/>
  <c r="AD740" i="1"/>
  <c r="AN740" i="1"/>
  <c r="AW740" i="1" s="1"/>
  <c r="AD732" i="1"/>
  <c r="AN732" i="1"/>
  <c r="AW732" i="1" s="1"/>
  <c r="AD724" i="1"/>
  <c r="AN724" i="1"/>
  <c r="AW724" i="1" s="1"/>
  <c r="AD716" i="1"/>
  <c r="AN716" i="1"/>
  <c r="AW716" i="1" s="1"/>
  <c r="AD708" i="1"/>
  <c r="AN708" i="1"/>
  <c r="AW708" i="1" s="1"/>
  <c r="AD700" i="1"/>
  <c r="AN700" i="1"/>
  <c r="AW700" i="1" s="1"/>
  <c r="AD692" i="1"/>
  <c r="AN692" i="1"/>
  <c r="AW692" i="1" s="1"/>
  <c r="AD684" i="1"/>
  <c r="AN684" i="1"/>
  <c r="AW684" i="1" s="1"/>
  <c r="AD676" i="1"/>
  <c r="AN676" i="1"/>
  <c r="AW676" i="1" s="1"/>
  <c r="AD668" i="1"/>
  <c r="AN668" i="1"/>
  <c r="AW668" i="1" s="1"/>
  <c r="AD660" i="1"/>
  <c r="AN660" i="1"/>
  <c r="AW660" i="1" s="1"/>
  <c r="AD652" i="1"/>
  <c r="AN652" i="1"/>
  <c r="AW652" i="1" s="1"/>
  <c r="AD644" i="1"/>
  <c r="AN644" i="1"/>
  <c r="AW644" i="1" s="1"/>
  <c r="AD636" i="1"/>
  <c r="AN636" i="1"/>
  <c r="AW636" i="1" s="1"/>
  <c r="AD628" i="1"/>
  <c r="AN628" i="1"/>
  <c r="AW628" i="1" s="1"/>
  <c r="AD620" i="1"/>
  <c r="AN620" i="1"/>
  <c r="AW620" i="1" s="1"/>
  <c r="AD612" i="1"/>
  <c r="AN612" i="1"/>
  <c r="AW612" i="1" s="1"/>
  <c r="AD604" i="1"/>
  <c r="AN604" i="1"/>
  <c r="AW604" i="1" s="1"/>
  <c r="AD596" i="1"/>
  <c r="AN596" i="1"/>
  <c r="AW596" i="1" s="1"/>
  <c r="AD588" i="1"/>
  <c r="AN588" i="1"/>
  <c r="AW588" i="1" s="1"/>
  <c r="AD580" i="1"/>
  <c r="AN580" i="1"/>
  <c r="AW580" i="1" s="1"/>
  <c r="AD572" i="1"/>
  <c r="AN572" i="1"/>
  <c r="AW572" i="1" s="1"/>
  <c r="AD564" i="1"/>
  <c r="AN564" i="1"/>
  <c r="AW564" i="1" s="1"/>
  <c r="AD556" i="1"/>
  <c r="AN556" i="1"/>
  <c r="AW556" i="1" s="1"/>
  <c r="AD548" i="1"/>
  <c r="AN548" i="1"/>
  <c r="AW548" i="1" s="1"/>
  <c r="AD540" i="1"/>
  <c r="AN540" i="1"/>
  <c r="AW540" i="1" s="1"/>
  <c r="AD532" i="1"/>
  <c r="AN532" i="1"/>
  <c r="AW532" i="1" s="1"/>
  <c r="AD524" i="1"/>
  <c r="AN524" i="1"/>
  <c r="AW524" i="1" s="1"/>
  <c r="AD516" i="1"/>
  <c r="AN516" i="1"/>
  <c r="AW516" i="1" s="1"/>
  <c r="AD508" i="1"/>
  <c r="AN508" i="1"/>
  <c r="AW508" i="1" s="1"/>
  <c r="AD500" i="1"/>
  <c r="AN500" i="1"/>
  <c r="AW500" i="1" s="1"/>
  <c r="AD492" i="1"/>
  <c r="AN492" i="1"/>
  <c r="AW492" i="1" s="1"/>
  <c r="AD484" i="1"/>
  <c r="AN484" i="1"/>
  <c r="AW484" i="1" s="1"/>
  <c r="AD476" i="1"/>
  <c r="AN476" i="1"/>
  <c r="AW476" i="1" s="1"/>
  <c r="AD468" i="1"/>
  <c r="AN468" i="1"/>
  <c r="AW468" i="1" s="1"/>
  <c r="AD460" i="1"/>
  <c r="AN460" i="1"/>
  <c r="AW460" i="1" s="1"/>
  <c r="AD452" i="1"/>
  <c r="AN452" i="1"/>
  <c r="AW452" i="1" s="1"/>
  <c r="AD444" i="1"/>
  <c r="AN444" i="1"/>
  <c r="AW444" i="1" s="1"/>
  <c r="AD436" i="1"/>
  <c r="AN436" i="1"/>
  <c r="AW436" i="1" s="1"/>
  <c r="AD428" i="1"/>
  <c r="AN428" i="1"/>
  <c r="AW428" i="1" s="1"/>
  <c r="AD420" i="1"/>
  <c r="AN420" i="1"/>
  <c r="AW420" i="1" s="1"/>
  <c r="AD412" i="1"/>
  <c r="AN412" i="1"/>
  <c r="AW412" i="1" s="1"/>
  <c r="AD404" i="1"/>
  <c r="AN404" i="1"/>
  <c r="AW404" i="1" s="1"/>
  <c r="AD396" i="1"/>
  <c r="AN396" i="1"/>
  <c r="AW396" i="1" s="1"/>
  <c r="AD388" i="1"/>
  <c r="AN388" i="1"/>
  <c r="AW388" i="1" s="1"/>
  <c r="AD380" i="1"/>
  <c r="AN380" i="1"/>
  <c r="AW380" i="1" s="1"/>
  <c r="AD372" i="1"/>
  <c r="AN372" i="1"/>
  <c r="AW372" i="1" s="1"/>
  <c r="AD364" i="1"/>
  <c r="AN364" i="1"/>
  <c r="AW364" i="1" s="1"/>
  <c r="AD356" i="1"/>
  <c r="AN356" i="1"/>
  <c r="AW356" i="1" s="1"/>
  <c r="AD348" i="1"/>
  <c r="AN348" i="1"/>
  <c r="AW348" i="1" s="1"/>
  <c r="AD340" i="1"/>
  <c r="AN340" i="1"/>
  <c r="AW340" i="1" s="1"/>
  <c r="AD332" i="1"/>
  <c r="AN332" i="1"/>
  <c r="AW332" i="1" s="1"/>
  <c r="AD324" i="1"/>
  <c r="AN324" i="1"/>
  <c r="AW324" i="1" s="1"/>
  <c r="AD906" i="1"/>
  <c r="AN906" i="1"/>
  <c r="AW906" i="1" s="1"/>
  <c r="AD308" i="1"/>
  <c r="AN308" i="1"/>
  <c r="AW308" i="1" s="1"/>
  <c r="AD300" i="1"/>
  <c r="AN300" i="1"/>
  <c r="AW300" i="1" s="1"/>
  <c r="AD292" i="1"/>
  <c r="AN292" i="1"/>
  <c r="AW292" i="1" s="1"/>
  <c r="AD284" i="1"/>
  <c r="AN284" i="1"/>
  <c r="AW284" i="1" s="1"/>
  <c r="AD276" i="1"/>
  <c r="AN276" i="1"/>
  <c r="AW276" i="1" s="1"/>
  <c r="AD268" i="1"/>
  <c r="AN268" i="1"/>
  <c r="AW268" i="1" s="1"/>
  <c r="AD260" i="1"/>
  <c r="AN260" i="1"/>
  <c r="AW260" i="1" s="1"/>
  <c r="AD252" i="1"/>
  <c r="AN252" i="1"/>
  <c r="AW252" i="1" s="1"/>
  <c r="AD244" i="1"/>
  <c r="AN244" i="1"/>
  <c r="AW244" i="1" s="1"/>
  <c r="AD236" i="1"/>
  <c r="AN236" i="1"/>
  <c r="AW236" i="1" s="1"/>
  <c r="AD228" i="1"/>
  <c r="AN228" i="1"/>
  <c r="AW228" i="1" s="1"/>
  <c r="AD220" i="1"/>
  <c r="AN220" i="1"/>
  <c r="AW220" i="1" s="1"/>
  <c r="AD212" i="1"/>
  <c r="AN212" i="1"/>
  <c r="AW212" i="1" s="1"/>
  <c r="AD204" i="1"/>
  <c r="AN204" i="1"/>
  <c r="AW204" i="1" s="1"/>
  <c r="AD196" i="1"/>
  <c r="AN196" i="1"/>
  <c r="AW196" i="1" s="1"/>
  <c r="AD188" i="1"/>
  <c r="AN188" i="1"/>
  <c r="AW188" i="1" s="1"/>
  <c r="AD180" i="1"/>
  <c r="AN180" i="1"/>
  <c r="AW180" i="1" s="1"/>
  <c r="AD902" i="1"/>
  <c r="AN902" i="1"/>
  <c r="AW902" i="1" s="1"/>
  <c r="AD164" i="1"/>
  <c r="AN164" i="1"/>
  <c r="AW164" i="1" s="1"/>
  <c r="AD156" i="1"/>
  <c r="AN156" i="1"/>
  <c r="AW156" i="1" s="1"/>
  <c r="AD148" i="1"/>
  <c r="AN148" i="1"/>
  <c r="AW148" i="1" s="1"/>
  <c r="AD140" i="1"/>
  <c r="AN140" i="1"/>
  <c r="AW140" i="1" s="1"/>
  <c r="AD132" i="1"/>
  <c r="AN132" i="1"/>
  <c r="AW132" i="1" s="1"/>
  <c r="AD124" i="1"/>
  <c r="AN124" i="1"/>
  <c r="AW124" i="1" s="1"/>
  <c r="AD116" i="1"/>
  <c r="AN116" i="1"/>
  <c r="AW116" i="1" s="1"/>
  <c r="AD108" i="1"/>
  <c r="AN108" i="1"/>
  <c r="AW108" i="1" s="1"/>
  <c r="AD100" i="1"/>
  <c r="AN100" i="1"/>
  <c r="AW100" i="1" s="1"/>
  <c r="AD425" i="1"/>
  <c r="AN425" i="1"/>
  <c r="AW425" i="1" s="1"/>
  <c r="AD84" i="1"/>
  <c r="AN84" i="1"/>
  <c r="AW84" i="1" s="1"/>
  <c r="AD76" i="1"/>
  <c r="AN76" i="1"/>
  <c r="AW76" i="1" s="1"/>
  <c r="AD68" i="1"/>
  <c r="AN68" i="1"/>
  <c r="AW68" i="1" s="1"/>
  <c r="AD60" i="1"/>
  <c r="AN60" i="1"/>
  <c r="AW60" i="1" s="1"/>
  <c r="AD52" i="1"/>
  <c r="AN52" i="1"/>
  <c r="AW52" i="1" s="1"/>
  <c r="AD44" i="1"/>
  <c r="AN44" i="1"/>
  <c r="AW44" i="1" s="1"/>
  <c r="AD36" i="1"/>
  <c r="AN36" i="1"/>
  <c r="AW36" i="1" s="1"/>
  <c r="AD28" i="1"/>
  <c r="AN28" i="1"/>
  <c r="AW28" i="1" s="1"/>
  <c r="AD20" i="1"/>
  <c r="AN20" i="1"/>
  <c r="AW20" i="1" s="1"/>
  <c r="AD12" i="1"/>
  <c r="AN12" i="1"/>
  <c r="AW12" i="1" s="1"/>
  <c r="AD4" i="1"/>
  <c r="AN4" i="1"/>
  <c r="AW4" i="1" s="1"/>
  <c r="AD903" i="1"/>
  <c r="AN903" i="1"/>
  <c r="AW903" i="1" s="1"/>
  <c r="AD899" i="1"/>
  <c r="AN899" i="1"/>
  <c r="AW899" i="1" s="1"/>
  <c r="AD891" i="1"/>
  <c r="AN891" i="1"/>
  <c r="AW891" i="1" s="1"/>
  <c r="AD883" i="1"/>
  <c r="AN883" i="1"/>
  <c r="AW883" i="1" s="1"/>
  <c r="AD875" i="1"/>
  <c r="AN875" i="1"/>
  <c r="AW875" i="1" s="1"/>
  <c r="AD867" i="1"/>
  <c r="AN867" i="1"/>
  <c r="AW867" i="1" s="1"/>
  <c r="AD859" i="1"/>
  <c r="AN859" i="1"/>
  <c r="AW859" i="1" s="1"/>
  <c r="AD851" i="1"/>
  <c r="AN851" i="1"/>
  <c r="AW851" i="1" s="1"/>
  <c r="AD843" i="1"/>
  <c r="AN843" i="1"/>
  <c r="AW843" i="1" s="1"/>
  <c r="AD835" i="1"/>
  <c r="AN835" i="1"/>
  <c r="AW835" i="1" s="1"/>
  <c r="AD827" i="1"/>
  <c r="AN827" i="1"/>
  <c r="AW827" i="1" s="1"/>
  <c r="AD819" i="1"/>
  <c r="AN819" i="1"/>
  <c r="AW819" i="1" s="1"/>
  <c r="AD811" i="1"/>
  <c r="AN811" i="1"/>
  <c r="AW811" i="1" s="1"/>
  <c r="AD803" i="1"/>
  <c r="AN803" i="1"/>
  <c r="AW803" i="1" s="1"/>
  <c r="AD795" i="1"/>
  <c r="AN795" i="1"/>
  <c r="AW795" i="1" s="1"/>
  <c r="AD787" i="1"/>
  <c r="AN787" i="1"/>
  <c r="AW787" i="1" s="1"/>
  <c r="AD779" i="1"/>
  <c r="AN779" i="1"/>
  <c r="AW779" i="1" s="1"/>
  <c r="AD771" i="1"/>
  <c r="AN771" i="1"/>
  <c r="AW771" i="1" s="1"/>
  <c r="AD763" i="1"/>
  <c r="AN763" i="1"/>
  <c r="AW763" i="1" s="1"/>
  <c r="AD755" i="1"/>
  <c r="AN755" i="1"/>
  <c r="AW755" i="1" s="1"/>
  <c r="AD747" i="1"/>
  <c r="AN747" i="1"/>
  <c r="AW747" i="1" s="1"/>
  <c r="AD739" i="1"/>
  <c r="AN739" i="1"/>
  <c r="AW739" i="1" s="1"/>
  <c r="AD731" i="1"/>
  <c r="AN731" i="1"/>
  <c r="AW731" i="1" s="1"/>
  <c r="AD723" i="1"/>
  <c r="AN723" i="1"/>
  <c r="AW723" i="1" s="1"/>
  <c r="AD715" i="1"/>
  <c r="AN715" i="1"/>
  <c r="AW715" i="1" s="1"/>
  <c r="AD707" i="1"/>
  <c r="AN707" i="1"/>
  <c r="AW707" i="1" s="1"/>
  <c r="AD699" i="1"/>
  <c r="AN699" i="1"/>
  <c r="AW699" i="1" s="1"/>
  <c r="AD691" i="1"/>
  <c r="AN691" i="1"/>
  <c r="AW691" i="1" s="1"/>
  <c r="AD683" i="1"/>
  <c r="AN683" i="1"/>
  <c r="AW683" i="1" s="1"/>
  <c r="AD675" i="1"/>
  <c r="AN675" i="1"/>
  <c r="AW675" i="1" s="1"/>
  <c r="AD667" i="1"/>
  <c r="AN667" i="1"/>
  <c r="AW667" i="1" s="1"/>
  <c r="AD659" i="1"/>
  <c r="AN659" i="1"/>
  <c r="AW659" i="1" s="1"/>
  <c r="AD651" i="1"/>
  <c r="AN651" i="1"/>
  <c r="AW651" i="1" s="1"/>
  <c r="AD643" i="1"/>
  <c r="AN643" i="1"/>
  <c r="AW643" i="1" s="1"/>
  <c r="AD635" i="1"/>
  <c r="AN635" i="1"/>
  <c r="AW635" i="1" s="1"/>
  <c r="AD627" i="1"/>
  <c r="AN627" i="1"/>
  <c r="AW627" i="1" s="1"/>
  <c r="AD619" i="1"/>
  <c r="AN619" i="1"/>
  <c r="AW619" i="1" s="1"/>
  <c r="AD611" i="1"/>
  <c r="AN611" i="1"/>
  <c r="AW611" i="1" s="1"/>
  <c r="AD603" i="1"/>
  <c r="AN603" i="1"/>
  <c r="AW603" i="1" s="1"/>
  <c r="AD595" i="1"/>
  <c r="AN595" i="1"/>
  <c r="AW595" i="1" s="1"/>
  <c r="AD587" i="1"/>
  <c r="AN587" i="1"/>
  <c r="AW587" i="1" s="1"/>
  <c r="AD579" i="1"/>
  <c r="AN579" i="1"/>
  <c r="AW579" i="1" s="1"/>
  <c r="AD571" i="1"/>
  <c r="AN571" i="1"/>
  <c r="AW571" i="1" s="1"/>
  <c r="AD563" i="1"/>
  <c r="AN563" i="1"/>
  <c r="AW563" i="1" s="1"/>
  <c r="AD555" i="1"/>
  <c r="AN555" i="1"/>
  <c r="AW555" i="1" s="1"/>
  <c r="AD547" i="1"/>
  <c r="AN547" i="1"/>
  <c r="AW547" i="1" s="1"/>
  <c r="AD539" i="1"/>
  <c r="AN539" i="1"/>
  <c r="AW539" i="1" s="1"/>
  <c r="AD531" i="1"/>
  <c r="AN531" i="1"/>
  <c r="AW531" i="1" s="1"/>
  <c r="AD523" i="1"/>
  <c r="AN523" i="1"/>
  <c r="AW523" i="1" s="1"/>
  <c r="AD515" i="1"/>
  <c r="AN515" i="1"/>
  <c r="AW515" i="1" s="1"/>
  <c r="AD507" i="1"/>
  <c r="AN507" i="1"/>
  <c r="AW507" i="1" s="1"/>
  <c r="AD499" i="1"/>
  <c r="AN499" i="1"/>
  <c r="AW499" i="1" s="1"/>
  <c r="AD491" i="1"/>
  <c r="AN491" i="1"/>
  <c r="AW491" i="1" s="1"/>
  <c r="AD483" i="1"/>
  <c r="AN483" i="1"/>
  <c r="AW483" i="1" s="1"/>
  <c r="AD475" i="1"/>
  <c r="AN475" i="1"/>
  <c r="AW475" i="1" s="1"/>
  <c r="AD467" i="1"/>
  <c r="AN467" i="1"/>
  <c r="AW467" i="1" s="1"/>
  <c r="AD459" i="1"/>
  <c r="AN459" i="1"/>
  <c r="AW459" i="1" s="1"/>
  <c r="AD451" i="1"/>
  <c r="AN451" i="1"/>
  <c r="AW451" i="1" s="1"/>
  <c r="AD443" i="1"/>
  <c r="AN443" i="1"/>
  <c r="AW443" i="1" s="1"/>
  <c r="AD435" i="1"/>
  <c r="AN435" i="1"/>
  <c r="AW435" i="1" s="1"/>
  <c r="AD427" i="1"/>
  <c r="AN427" i="1"/>
  <c r="AW427" i="1" s="1"/>
  <c r="AD419" i="1"/>
  <c r="AN419" i="1"/>
  <c r="AW419" i="1" s="1"/>
  <c r="AD411" i="1"/>
  <c r="AN411" i="1"/>
  <c r="AW411" i="1" s="1"/>
  <c r="AD403" i="1"/>
  <c r="AN403" i="1"/>
  <c r="AW403" i="1" s="1"/>
  <c r="AD395" i="1"/>
  <c r="AN395" i="1"/>
  <c r="AW395" i="1" s="1"/>
  <c r="AD387" i="1"/>
  <c r="AN387" i="1"/>
  <c r="AW387" i="1" s="1"/>
  <c r="AD379" i="1"/>
  <c r="AN379" i="1"/>
  <c r="AW379" i="1" s="1"/>
  <c r="AD371" i="1"/>
  <c r="AN371" i="1"/>
  <c r="AW371" i="1" s="1"/>
  <c r="AD363" i="1"/>
  <c r="AN363" i="1"/>
  <c r="AW363" i="1" s="1"/>
  <c r="AD355" i="1"/>
  <c r="AN355" i="1"/>
  <c r="AW355" i="1" s="1"/>
  <c r="AD347" i="1"/>
  <c r="AN347" i="1"/>
  <c r="AW347" i="1" s="1"/>
  <c r="AD339" i="1"/>
  <c r="AN339" i="1"/>
  <c r="AW339" i="1" s="1"/>
  <c r="AD331" i="1"/>
  <c r="AN331" i="1"/>
  <c r="AW331" i="1" s="1"/>
  <c r="AD323" i="1"/>
  <c r="AN323" i="1"/>
  <c r="AW323" i="1" s="1"/>
  <c r="AD315" i="1"/>
  <c r="AN315" i="1"/>
  <c r="AW315" i="1" s="1"/>
  <c r="AD307" i="1"/>
  <c r="AN307" i="1"/>
  <c r="AW307" i="1" s="1"/>
  <c r="AD299" i="1"/>
  <c r="AN299" i="1"/>
  <c r="AW299" i="1" s="1"/>
  <c r="AD291" i="1"/>
  <c r="AN291" i="1"/>
  <c r="AW291" i="1" s="1"/>
  <c r="AD283" i="1"/>
  <c r="AN283" i="1"/>
  <c r="AW283" i="1" s="1"/>
  <c r="AD275" i="1"/>
  <c r="AN275" i="1"/>
  <c r="AW275" i="1" s="1"/>
  <c r="AD267" i="1"/>
  <c r="AN267" i="1"/>
  <c r="AW267" i="1" s="1"/>
  <c r="AD259" i="1"/>
  <c r="AN259" i="1"/>
  <c r="AW259" i="1" s="1"/>
  <c r="AD251" i="1"/>
  <c r="AN251" i="1"/>
  <c r="AW251" i="1" s="1"/>
  <c r="AD243" i="1"/>
  <c r="AN243" i="1"/>
  <c r="AW243" i="1" s="1"/>
  <c r="AD235" i="1"/>
  <c r="AN235" i="1"/>
  <c r="AW235" i="1" s="1"/>
  <c r="AD227" i="1"/>
  <c r="AN227" i="1"/>
  <c r="AW227" i="1" s="1"/>
  <c r="AD219" i="1"/>
  <c r="AN219" i="1"/>
  <c r="AW219" i="1" s="1"/>
  <c r="AD211" i="1"/>
  <c r="AN211" i="1"/>
  <c r="AW211" i="1" s="1"/>
  <c r="AD203" i="1"/>
  <c r="AN203" i="1"/>
  <c r="AW203" i="1" s="1"/>
  <c r="AD195" i="1"/>
  <c r="AN195" i="1"/>
  <c r="AW195" i="1" s="1"/>
  <c r="AD187" i="1"/>
  <c r="AN187" i="1"/>
  <c r="AW187" i="1" s="1"/>
  <c r="AD179" i="1"/>
  <c r="AN179" i="1"/>
  <c r="AW179" i="1" s="1"/>
  <c r="AD171" i="1"/>
  <c r="AN171" i="1"/>
  <c r="AW171" i="1" s="1"/>
  <c r="AD163" i="1"/>
  <c r="AN163" i="1"/>
  <c r="AW163" i="1" s="1"/>
  <c r="AD155" i="1"/>
  <c r="AN155" i="1"/>
  <c r="AW155" i="1" s="1"/>
  <c r="AD147" i="1"/>
  <c r="AN147" i="1"/>
  <c r="AW147" i="1" s="1"/>
  <c r="AD139" i="1"/>
  <c r="AN139" i="1"/>
  <c r="AW139" i="1" s="1"/>
  <c r="AD131" i="1"/>
  <c r="AN131" i="1"/>
  <c r="AW131" i="1" s="1"/>
  <c r="AD123" i="1"/>
  <c r="AN123" i="1"/>
  <c r="AW123" i="1" s="1"/>
  <c r="AD115" i="1"/>
  <c r="AN115" i="1"/>
  <c r="AW115" i="1" s="1"/>
  <c r="AD107" i="1"/>
  <c r="AN107" i="1"/>
  <c r="AW107" i="1" s="1"/>
  <c r="AD99" i="1"/>
  <c r="AN99" i="1"/>
  <c r="AW99" i="1" s="1"/>
  <c r="AD91" i="1"/>
  <c r="AN91" i="1"/>
  <c r="AW91" i="1" s="1"/>
  <c r="AD83" i="1"/>
  <c r="AN83" i="1"/>
  <c r="AW83" i="1" s="1"/>
  <c r="AD75" i="1"/>
  <c r="AN75" i="1"/>
  <c r="AW75" i="1" s="1"/>
  <c r="AD67" i="1"/>
  <c r="AN67" i="1"/>
  <c r="AW67" i="1" s="1"/>
  <c r="AD59" i="1"/>
  <c r="AN59" i="1"/>
  <c r="AW59" i="1" s="1"/>
  <c r="AD51" i="1"/>
  <c r="AN51" i="1"/>
  <c r="AW51" i="1" s="1"/>
  <c r="AD43" i="1"/>
  <c r="AN43" i="1"/>
  <c r="AW43" i="1" s="1"/>
  <c r="AD35" i="1"/>
  <c r="AN35" i="1"/>
  <c r="AW35" i="1" s="1"/>
  <c r="AD27" i="1"/>
  <c r="AN27" i="1"/>
  <c r="AW27" i="1" s="1"/>
  <c r="AD19" i="1"/>
  <c r="AN19" i="1"/>
  <c r="AW19" i="1" s="1"/>
  <c r="AD11" i="1"/>
  <c r="AN11" i="1"/>
  <c r="AW11" i="1" s="1"/>
  <c r="AD3" i="1"/>
  <c r="AN3" i="1"/>
  <c r="AW3" i="1" s="1"/>
  <c r="AM2" i="1"/>
  <c r="AI2" i="1"/>
  <c r="AM907" i="1"/>
  <c r="AI907" i="1"/>
  <c r="AM898" i="1"/>
  <c r="AI898" i="1"/>
  <c r="AM890" i="1"/>
  <c r="AI890" i="1"/>
  <c r="AM882" i="1"/>
  <c r="AI882" i="1"/>
  <c r="AM874" i="1"/>
  <c r="AI874" i="1"/>
  <c r="AM866" i="1"/>
  <c r="AI866" i="1"/>
  <c r="AM858" i="1"/>
  <c r="AI858" i="1"/>
  <c r="AM850" i="1"/>
  <c r="AI850" i="1"/>
  <c r="AM842" i="1"/>
  <c r="AI842" i="1"/>
  <c r="AM834" i="1"/>
  <c r="AI834" i="1"/>
  <c r="AM826" i="1"/>
  <c r="AI826" i="1"/>
  <c r="AM818" i="1"/>
  <c r="AI818" i="1"/>
  <c r="AM810" i="1"/>
  <c r="AI810" i="1"/>
  <c r="AM802" i="1"/>
  <c r="AI802" i="1"/>
  <c r="AM794" i="1"/>
  <c r="AI794" i="1"/>
  <c r="AM786" i="1"/>
  <c r="AI786" i="1"/>
  <c r="AM778" i="1"/>
  <c r="AI778" i="1"/>
  <c r="AM770" i="1"/>
  <c r="AI770" i="1"/>
  <c r="AM762" i="1"/>
  <c r="AI762" i="1"/>
  <c r="AM754" i="1"/>
  <c r="AI754" i="1"/>
  <c r="AM746" i="1"/>
  <c r="AI746" i="1"/>
  <c r="AM738" i="1"/>
  <c r="AI738" i="1"/>
  <c r="AM730" i="1"/>
  <c r="AI730" i="1"/>
  <c r="AM722" i="1"/>
  <c r="AI722" i="1"/>
  <c r="AM714" i="1"/>
  <c r="AI714" i="1"/>
  <c r="AM706" i="1"/>
  <c r="AI706" i="1"/>
  <c r="AM698" i="1"/>
  <c r="AI698" i="1"/>
  <c r="AM690" i="1"/>
  <c r="AI690" i="1"/>
  <c r="AM682" i="1"/>
  <c r="AI682" i="1"/>
  <c r="AM674" i="1"/>
  <c r="AI674" i="1"/>
  <c r="AM666" i="1"/>
  <c r="AI666" i="1"/>
  <c r="AM658" i="1"/>
  <c r="AI658" i="1"/>
  <c r="AM650" i="1"/>
  <c r="AI650" i="1"/>
  <c r="AM642" i="1"/>
  <c r="AI642" i="1"/>
  <c r="AM634" i="1"/>
  <c r="AI634" i="1"/>
  <c r="AM626" i="1"/>
  <c r="AI626" i="1"/>
  <c r="AM618" i="1"/>
  <c r="AI618" i="1"/>
  <c r="AM610" i="1"/>
  <c r="AI610" i="1"/>
  <c r="AM602" i="1"/>
  <c r="AI602" i="1"/>
  <c r="AM594" i="1"/>
  <c r="AI594" i="1"/>
  <c r="AM586" i="1"/>
  <c r="AI586" i="1"/>
  <c r="AM578" i="1"/>
  <c r="AI578" i="1"/>
  <c r="AM570" i="1"/>
  <c r="AI570" i="1"/>
  <c r="AM562" i="1"/>
  <c r="AI562" i="1"/>
  <c r="AM554" i="1"/>
  <c r="AI554" i="1"/>
  <c r="AM546" i="1"/>
  <c r="AI546" i="1"/>
  <c r="AM538" i="1"/>
  <c r="AI538" i="1"/>
  <c r="AM530" i="1"/>
  <c r="AI530" i="1"/>
  <c r="AM522" i="1"/>
  <c r="AI522" i="1"/>
  <c r="AM514" i="1"/>
  <c r="AI514" i="1"/>
  <c r="AM506" i="1"/>
  <c r="AI506" i="1"/>
  <c r="AM498" i="1"/>
  <c r="AI498" i="1"/>
  <c r="AM490" i="1"/>
  <c r="AI490" i="1"/>
  <c r="AM482" i="1"/>
  <c r="AI482" i="1"/>
  <c r="AM474" i="1"/>
  <c r="AI474" i="1"/>
  <c r="AM466" i="1"/>
  <c r="AI466" i="1"/>
  <c r="AM458" i="1"/>
  <c r="AI458" i="1"/>
  <c r="AM450" i="1"/>
  <c r="AI450" i="1"/>
  <c r="AM442" i="1"/>
  <c r="AI442" i="1"/>
  <c r="AM434" i="1"/>
  <c r="AI434" i="1"/>
  <c r="AM426" i="1"/>
  <c r="AI426" i="1"/>
  <c r="AM418" i="1"/>
  <c r="AI418" i="1"/>
  <c r="AM410" i="1"/>
  <c r="AI410" i="1"/>
  <c r="AM402" i="1"/>
  <c r="AI402" i="1"/>
  <c r="AM394" i="1"/>
  <c r="AI394" i="1"/>
  <c r="AM386" i="1"/>
  <c r="AI386" i="1"/>
  <c r="AM378" i="1"/>
  <c r="AI378" i="1"/>
  <c r="AM370" i="1"/>
  <c r="AI370" i="1"/>
  <c r="AM362" i="1"/>
  <c r="AI362" i="1"/>
  <c r="AM354" i="1"/>
  <c r="AI354" i="1"/>
  <c r="AM346" i="1"/>
  <c r="AI346" i="1"/>
  <c r="AM338" i="1"/>
  <c r="AI338" i="1"/>
  <c r="AM330" i="1"/>
  <c r="AI330" i="1"/>
  <c r="AM322" i="1"/>
  <c r="AI322" i="1"/>
  <c r="AM314" i="1"/>
  <c r="AI314" i="1"/>
  <c r="AM306" i="1"/>
  <c r="AI306" i="1"/>
  <c r="AM298" i="1"/>
  <c r="AI298" i="1"/>
  <c r="AM290" i="1"/>
  <c r="AI290" i="1"/>
  <c r="AM282" i="1"/>
  <c r="AI282" i="1"/>
  <c r="AM226" i="1"/>
  <c r="AI226" i="1"/>
  <c r="AM266" i="1"/>
  <c r="AI266" i="1"/>
  <c r="AM258" i="1"/>
  <c r="AI258" i="1"/>
  <c r="AM250" i="1"/>
  <c r="AI250" i="1"/>
  <c r="AM242" i="1"/>
  <c r="AI242" i="1"/>
  <c r="AM234" i="1"/>
  <c r="AI234" i="1"/>
  <c r="AM904" i="1"/>
  <c r="AI904" i="1"/>
  <c r="AM218" i="1"/>
  <c r="AI218" i="1"/>
  <c r="AM210" i="1"/>
  <c r="AI210" i="1"/>
  <c r="AM202" i="1"/>
  <c r="AI202" i="1"/>
  <c r="AM194" i="1"/>
  <c r="AI194" i="1"/>
  <c r="AM186" i="1"/>
  <c r="AI186" i="1"/>
  <c r="AM178" i="1"/>
  <c r="AI178" i="1"/>
  <c r="AM170" i="1"/>
  <c r="AI170" i="1"/>
  <c r="AM162" i="1"/>
  <c r="AI162" i="1"/>
  <c r="AM154" i="1"/>
  <c r="AI154" i="1"/>
  <c r="AM146" i="1"/>
  <c r="AI146" i="1"/>
  <c r="AM138" i="1"/>
  <c r="AI138" i="1"/>
  <c r="AM130" i="1"/>
  <c r="AI130" i="1"/>
  <c r="AM122" i="1"/>
  <c r="AI122" i="1"/>
  <c r="AM114" i="1"/>
  <c r="AI114" i="1"/>
  <c r="AM106" i="1"/>
  <c r="AI106" i="1"/>
  <c r="AM98" i="1"/>
  <c r="AI98" i="1"/>
  <c r="AM90" i="1"/>
  <c r="AI90" i="1"/>
  <c r="AM82" i="1"/>
  <c r="AI82" i="1"/>
  <c r="AM74" i="1"/>
  <c r="AI74" i="1"/>
  <c r="AM66" i="1"/>
  <c r="AI66" i="1"/>
  <c r="AM58" i="1"/>
  <c r="AI58" i="1"/>
  <c r="AM50" i="1"/>
  <c r="AI50" i="1"/>
  <c r="AM42" i="1"/>
  <c r="AI42" i="1"/>
  <c r="AM34" i="1"/>
  <c r="AI34" i="1"/>
  <c r="AM26" i="1"/>
  <c r="AI26" i="1"/>
  <c r="AM18" i="1"/>
  <c r="AI18" i="1"/>
  <c r="AM10" i="1"/>
  <c r="AI10" i="1"/>
  <c r="AM909" i="1"/>
  <c r="AI909" i="1"/>
  <c r="AM905" i="1"/>
  <c r="AI905" i="1"/>
  <c r="AM897" i="1"/>
  <c r="AI897" i="1"/>
  <c r="AM889" i="1"/>
  <c r="AI889" i="1"/>
  <c r="AM881" i="1"/>
  <c r="AI881" i="1"/>
  <c r="AM873" i="1"/>
  <c r="AI873" i="1"/>
  <c r="AM865" i="1"/>
  <c r="AI865" i="1"/>
  <c r="AM857" i="1"/>
  <c r="AI857" i="1"/>
  <c r="AM849" i="1"/>
  <c r="AI849" i="1"/>
  <c r="AM841" i="1"/>
  <c r="AI841" i="1"/>
  <c r="AM833" i="1"/>
  <c r="AI833" i="1"/>
  <c r="AM825" i="1"/>
  <c r="AI825" i="1"/>
  <c r="AM817" i="1"/>
  <c r="AI817" i="1"/>
  <c r="AM809" i="1"/>
  <c r="AI809" i="1"/>
  <c r="AM801" i="1"/>
  <c r="AI801" i="1"/>
  <c r="AM793" i="1"/>
  <c r="AI793" i="1"/>
  <c r="AM785" i="1"/>
  <c r="AI785" i="1"/>
  <c r="AM777" i="1"/>
  <c r="AI777" i="1"/>
  <c r="AM769" i="1"/>
  <c r="AI769" i="1"/>
  <c r="AM761" i="1"/>
  <c r="AI761" i="1"/>
  <c r="AM753" i="1"/>
  <c r="AI753" i="1"/>
  <c r="AM745" i="1"/>
  <c r="AI745" i="1"/>
  <c r="AM737" i="1"/>
  <c r="AI737" i="1"/>
  <c r="AM729" i="1"/>
  <c r="AI729" i="1"/>
  <c r="AM721" i="1"/>
  <c r="AI721" i="1"/>
  <c r="AM713" i="1"/>
  <c r="AI713" i="1"/>
  <c r="AM705" i="1"/>
  <c r="AI705" i="1"/>
  <c r="AM697" i="1"/>
  <c r="AI697" i="1"/>
  <c r="AM689" i="1"/>
  <c r="AI689" i="1"/>
  <c r="AM681" i="1"/>
  <c r="AI681" i="1"/>
  <c r="AM673" i="1"/>
  <c r="AI673" i="1"/>
  <c r="AM665" i="1"/>
  <c r="AI665" i="1"/>
  <c r="AM657" i="1"/>
  <c r="AI657" i="1"/>
  <c r="AM649" i="1"/>
  <c r="AI649" i="1"/>
  <c r="AM641" i="1"/>
  <c r="AI641" i="1"/>
  <c r="AM633" i="1"/>
  <c r="AI633" i="1"/>
  <c r="AM625" i="1"/>
  <c r="AI625" i="1"/>
  <c r="AM617" i="1"/>
  <c r="AI617" i="1"/>
  <c r="AM609" i="1"/>
  <c r="AI609" i="1"/>
  <c r="AM601" i="1"/>
  <c r="AI601" i="1"/>
  <c r="AM593" i="1"/>
  <c r="AI593" i="1"/>
  <c r="AM585" i="1"/>
  <c r="AI585" i="1"/>
  <c r="AM577" i="1"/>
  <c r="AI577" i="1"/>
  <c r="AM569" i="1"/>
  <c r="AI569" i="1"/>
  <c r="AM561" i="1"/>
  <c r="AI561" i="1"/>
  <c r="AM553" i="1"/>
  <c r="AI553" i="1"/>
  <c r="AM545" i="1"/>
  <c r="AI545" i="1"/>
  <c r="AM537" i="1"/>
  <c r="AI537" i="1"/>
  <c r="AM529" i="1"/>
  <c r="AI529" i="1"/>
  <c r="AM521" i="1"/>
  <c r="AI521" i="1"/>
  <c r="AM513" i="1"/>
  <c r="AI513" i="1"/>
  <c r="AM505" i="1"/>
  <c r="AI505" i="1"/>
  <c r="AM497" i="1"/>
  <c r="AI497" i="1"/>
  <c r="AM489" i="1"/>
  <c r="AI489" i="1"/>
  <c r="AM481" i="1"/>
  <c r="AI481" i="1"/>
  <c r="AM473" i="1"/>
  <c r="AI473" i="1"/>
  <c r="AM465" i="1"/>
  <c r="AI465" i="1"/>
  <c r="AM457" i="1"/>
  <c r="AI457" i="1"/>
  <c r="AM449" i="1"/>
  <c r="AI449" i="1"/>
  <c r="AM441" i="1"/>
  <c r="AI441" i="1"/>
  <c r="AM433" i="1"/>
  <c r="AI433" i="1"/>
  <c r="AM337" i="1"/>
  <c r="AI337" i="1"/>
  <c r="AM417" i="1"/>
  <c r="AI417" i="1"/>
  <c r="AM409" i="1"/>
  <c r="AI409" i="1"/>
  <c r="AM401" i="1"/>
  <c r="AI401" i="1"/>
  <c r="AM393" i="1"/>
  <c r="AI393" i="1"/>
  <c r="AM385" i="1"/>
  <c r="AI385" i="1"/>
  <c r="AM377" i="1"/>
  <c r="AI377" i="1"/>
  <c r="AM369" i="1"/>
  <c r="AI369" i="1"/>
  <c r="AM361" i="1"/>
  <c r="AI361" i="1"/>
  <c r="AM353" i="1"/>
  <c r="AI353" i="1"/>
  <c r="AM345" i="1"/>
  <c r="AI345" i="1"/>
  <c r="AM908" i="1"/>
  <c r="AI908" i="1"/>
  <c r="AM329" i="1"/>
  <c r="AI329" i="1"/>
  <c r="AM321" i="1"/>
  <c r="AI321" i="1"/>
  <c r="AM313" i="1"/>
  <c r="AI313" i="1"/>
  <c r="AM305" i="1"/>
  <c r="AI305" i="1"/>
  <c r="AM297" i="1"/>
  <c r="AI297" i="1"/>
  <c r="AM289" i="1"/>
  <c r="AI289" i="1"/>
  <c r="AM281" i="1"/>
  <c r="AI281" i="1"/>
  <c r="AM273" i="1"/>
  <c r="AI273" i="1"/>
  <c r="AM265" i="1"/>
  <c r="AI265" i="1"/>
  <c r="AM257" i="1"/>
  <c r="AI257" i="1"/>
  <c r="AM249" i="1"/>
  <c r="AI249" i="1"/>
  <c r="AM241" i="1"/>
  <c r="AI241" i="1"/>
  <c r="AM233" i="1"/>
  <c r="AI233" i="1"/>
  <c r="AM225" i="1"/>
  <c r="AI225" i="1"/>
  <c r="AM217" i="1"/>
  <c r="AI217" i="1"/>
  <c r="AM209" i="1"/>
  <c r="AI209" i="1"/>
  <c r="AM201" i="1"/>
  <c r="AI201" i="1"/>
  <c r="AM193" i="1"/>
  <c r="AI193" i="1"/>
  <c r="AM185" i="1"/>
  <c r="AI185" i="1"/>
  <c r="AM177" i="1"/>
  <c r="AI177" i="1"/>
  <c r="AM169" i="1"/>
  <c r="AI169" i="1"/>
  <c r="AM161" i="1"/>
  <c r="AI161" i="1"/>
  <c r="AM153" i="1"/>
  <c r="AI153" i="1"/>
  <c r="AM145" i="1"/>
  <c r="AI145" i="1"/>
  <c r="AM137" i="1"/>
  <c r="AI137" i="1"/>
  <c r="AM129" i="1"/>
  <c r="AI129" i="1"/>
  <c r="AM121" i="1"/>
  <c r="AI121" i="1"/>
  <c r="AM113" i="1"/>
  <c r="AI113" i="1"/>
  <c r="AM105" i="1"/>
  <c r="AI105" i="1"/>
  <c r="AM97" i="1"/>
  <c r="AI97" i="1"/>
  <c r="AM89" i="1"/>
  <c r="AI89" i="1"/>
  <c r="AM81" i="1"/>
  <c r="AI81" i="1"/>
  <c r="AM73" i="1"/>
  <c r="AI73" i="1"/>
  <c r="AM65" i="1"/>
  <c r="AI65" i="1"/>
  <c r="AM57" i="1"/>
  <c r="AI57" i="1"/>
  <c r="AM49" i="1"/>
  <c r="AI49" i="1"/>
  <c r="AM41" i="1"/>
  <c r="AI41" i="1"/>
  <c r="AM33" i="1"/>
  <c r="AI33" i="1"/>
  <c r="AM25" i="1"/>
  <c r="AI25" i="1"/>
  <c r="AM17" i="1"/>
  <c r="AI17" i="1"/>
  <c r="AM9" i="1"/>
  <c r="AI9" i="1"/>
  <c r="AM125" i="1"/>
  <c r="AI125" i="1"/>
  <c r="AM911" i="1"/>
  <c r="AI911" i="1"/>
  <c r="AM896" i="1"/>
  <c r="AI896" i="1"/>
  <c r="AM888" i="1"/>
  <c r="AI888" i="1"/>
  <c r="AM880" i="1"/>
  <c r="AI880" i="1"/>
  <c r="AM872" i="1"/>
  <c r="AI872" i="1"/>
  <c r="AM864" i="1"/>
  <c r="AI864" i="1"/>
  <c r="AM856" i="1"/>
  <c r="AI856" i="1"/>
  <c r="AM848" i="1"/>
  <c r="AI848" i="1"/>
  <c r="AM840" i="1"/>
  <c r="AI840" i="1"/>
  <c r="AM832" i="1"/>
  <c r="AI832" i="1"/>
  <c r="AM824" i="1"/>
  <c r="AI824" i="1"/>
  <c r="AM816" i="1"/>
  <c r="AI816" i="1"/>
  <c r="AM808" i="1"/>
  <c r="AI808" i="1"/>
  <c r="AM800" i="1"/>
  <c r="AI800" i="1"/>
  <c r="AM792" i="1"/>
  <c r="AI792" i="1"/>
  <c r="AM784" i="1"/>
  <c r="AI784" i="1"/>
  <c r="AM776" i="1"/>
  <c r="AI776" i="1"/>
  <c r="AM768" i="1"/>
  <c r="AI768" i="1"/>
  <c r="AM760" i="1"/>
  <c r="AI760" i="1"/>
  <c r="AM752" i="1"/>
  <c r="AI752" i="1"/>
  <c r="AM744" i="1"/>
  <c r="AI744" i="1"/>
  <c r="AM736" i="1"/>
  <c r="AI736" i="1"/>
  <c r="AM728" i="1"/>
  <c r="AI728" i="1"/>
  <c r="AM720" i="1"/>
  <c r="AI720" i="1"/>
  <c r="AM712" i="1"/>
  <c r="AI712" i="1"/>
  <c r="AM704" i="1"/>
  <c r="AI704" i="1"/>
  <c r="AM696" i="1"/>
  <c r="AI696" i="1"/>
  <c r="AM688" i="1"/>
  <c r="AI688" i="1"/>
  <c r="AM680" i="1"/>
  <c r="AI680" i="1"/>
  <c r="AM672" i="1"/>
  <c r="AI672" i="1"/>
  <c r="AM664" i="1"/>
  <c r="AI664" i="1"/>
  <c r="AM656" i="1"/>
  <c r="AI656" i="1"/>
  <c r="AM648" i="1"/>
  <c r="AI648" i="1"/>
  <c r="AM640" i="1"/>
  <c r="AI640" i="1"/>
  <c r="AM632" i="1"/>
  <c r="AI632" i="1"/>
  <c r="AM624" i="1"/>
  <c r="AI624" i="1"/>
  <c r="AM616" i="1"/>
  <c r="AI616" i="1"/>
  <c r="AM608" i="1"/>
  <c r="AI608" i="1"/>
  <c r="AM600" i="1"/>
  <c r="AI600" i="1"/>
  <c r="AM592" i="1"/>
  <c r="AI592" i="1"/>
  <c r="AM584" i="1"/>
  <c r="AI584" i="1"/>
  <c r="AM576" i="1"/>
  <c r="AI576" i="1"/>
  <c r="AM568" i="1"/>
  <c r="AI568" i="1"/>
  <c r="AM560" i="1"/>
  <c r="AI560" i="1"/>
  <c r="AM552" i="1"/>
  <c r="AI552" i="1"/>
  <c r="AM544" i="1"/>
  <c r="AI544" i="1"/>
  <c r="AM536" i="1"/>
  <c r="AI536" i="1"/>
  <c r="AM528" i="1"/>
  <c r="AI528" i="1"/>
  <c r="AM520" i="1"/>
  <c r="AI520" i="1"/>
  <c r="AM512" i="1"/>
  <c r="AI512" i="1"/>
  <c r="AM504" i="1"/>
  <c r="AI504" i="1"/>
  <c r="AM496" i="1"/>
  <c r="AI496" i="1"/>
  <c r="AM488" i="1"/>
  <c r="AI488" i="1"/>
  <c r="AM480" i="1"/>
  <c r="AI480" i="1"/>
  <c r="AM472" i="1"/>
  <c r="AI472" i="1"/>
  <c r="AM464" i="1"/>
  <c r="AI464" i="1"/>
  <c r="AM456" i="1"/>
  <c r="AI456" i="1"/>
  <c r="AM448" i="1"/>
  <c r="AI448" i="1"/>
  <c r="AM440" i="1"/>
  <c r="AI440" i="1"/>
  <c r="AM432" i="1"/>
  <c r="AI432" i="1"/>
  <c r="AM424" i="1"/>
  <c r="AI424" i="1"/>
  <c r="AM416" i="1"/>
  <c r="AI416" i="1"/>
  <c r="AM408" i="1"/>
  <c r="AI408" i="1"/>
  <c r="AM400" i="1"/>
  <c r="AI400" i="1"/>
  <c r="AM392" i="1"/>
  <c r="AI392" i="1"/>
  <c r="AM384" i="1"/>
  <c r="AI384" i="1"/>
  <c r="AM376" i="1"/>
  <c r="AI376" i="1"/>
  <c r="AM368" i="1"/>
  <c r="AI368" i="1"/>
  <c r="AM360" i="1"/>
  <c r="AI360" i="1"/>
  <c r="AM352" i="1"/>
  <c r="AI352" i="1"/>
  <c r="AM344" i="1"/>
  <c r="AI344" i="1"/>
  <c r="AM336" i="1"/>
  <c r="AI336" i="1"/>
  <c r="AM328" i="1"/>
  <c r="AI328" i="1"/>
  <c r="AM320" i="1"/>
  <c r="AI320" i="1"/>
  <c r="AM312" i="1"/>
  <c r="AI312" i="1"/>
  <c r="AM304" i="1"/>
  <c r="AI304" i="1"/>
  <c r="AM296" i="1"/>
  <c r="AI296" i="1"/>
  <c r="AM288" i="1"/>
  <c r="AI288" i="1"/>
  <c r="AM280" i="1"/>
  <c r="AI280" i="1"/>
  <c r="AM272" i="1"/>
  <c r="AI272" i="1"/>
  <c r="AM264" i="1"/>
  <c r="AI264" i="1"/>
  <c r="AM256" i="1"/>
  <c r="AI256" i="1"/>
  <c r="AM248" i="1"/>
  <c r="AI248" i="1"/>
  <c r="AM240" i="1"/>
  <c r="AI240" i="1"/>
  <c r="AM232" i="1"/>
  <c r="AI232" i="1"/>
  <c r="AM224" i="1"/>
  <c r="AI224" i="1"/>
  <c r="AM216" i="1"/>
  <c r="AI216" i="1"/>
  <c r="AM208" i="1"/>
  <c r="AI208" i="1"/>
  <c r="AM200" i="1"/>
  <c r="AI200" i="1"/>
  <c r="AM192" i="1"/>
  <c r="AI192" i="1"/>
  <c r="AM184" i="1"/>
  <c r="AI184" i="1"/>
  <c r="AM176" i="1"/>
  <c r="AI176" i="1"/>
  <c r="AM168" i="1"/>
  <c r="AI168" i="1"/>
  <c r="AM160" i="1"/>
  <c r="AI160" i="1"/>
  <c r="AM152" i="1"/>
  <c r="AI152" i="1"/>
  <c r="AM144" i="1"/>
  <c r="AI144" i="1"/>
  <c r="AM136" i="1"/>
  <c r="AI136" i="1"/>
  <c r="AM128" i="1"/>
  <c r="AI128" i="1"/>
  <c r="AM120" i="1"/>
  <c r="AI120" i="1"/>
  <c r="AM112" i="1"/>
  <c r="AI112" i="1"/>
  <c r="AM104" i="1"/>
  <c r="AI104" i="1"/>
  <c r="AM96" i="1"/>
  <c r="AI96" i="1"/>
  <c r="AM88" i="1"/>
  <c r="AI88" i="1"/>
  <c r="AM80" i="1"/>
  <c r="AI80" i="1"/>
  <c r="AM72" i="1"/>
  <c r="AI72" i="1"/>
  <c r="AM64" i="1"/>
  <c r="AI64" i="1"/>
  <c r="AM56" i="1"/>
  <c r="AI56" i="1"/>
  <c r="AM48" i="1"/>
  <c r="AI48" i="1"/>
  <c r="AM40" i="1"/>
  <c r="AI40" i="1"/>
  <c r="AM32" i="1"/>
  <c r="AI32" i="1"/>
  <c r="AM24" i="1"/>
  <c r="AI24" i="1"/>
  <c r="AM16" i="1"/>
  <c r="AI16" i="1"/>
  <c r="AM8" i="1"/>
  <c r="AI8" i="1"/>
  <c r="AM274" i="1"/>
  <c r="AI274" i="1"/>
  <c r="AM573" i="1"/>
  <c r="AI573" i="1"/>
  <c r="AM895" i="1"/>
  <c r="AI895" i="1"/>
  <c r="AM887" i="1"/>
  <c r="AI887" i="1"/>
  <c r="AM879" i="1"/>
  <c r="AI879" i="1"/>
  <c r="AM871" i="1"/>
  <c r="AI871" i="1"/>
  <c r="AM863" i="1"/>
  <c r="AI863" i="1"/>
  <c r="AM855" i="1"/>
  <c r="AI855" i="1"/>
  <c r="AM847" i="1"/>
  <c r="AI847" i="1"/>
  <c r="AM839" i="1"/>
  <c r="AI839" i="1"/>
  <c r="AM831" i="1"/>
  <c r="AI831" i="1"/>
  <c r="AM823" i="1"/>
  <c r="AI823" i="1"/>
  <c r="AM815" i="1"/>
  <c r="AI815" i="1"/>
  <c r="AM807" i="1"/>
  <c r="AI807" i="1"/>
  <c r="AM799" i="1"/>
  <c r="AI799" i="1"/>
  <c r="AM791" i="1"/>
  <c r="AI791" i="1"/>
  <c r="AM783" i="1"/>
  <c r="AI783" i="1"/>
  <c r="AM775" i="1"/>
  <c r="AI775" i="1"/>
  <c r="AM767" i="1"/>
  <c r="AI767" i="1"/>
  <c r="AM759" i="1"/>
  <c r="AI759" i="1"/>
  <c r="AM751" i="1"/>
  <c r="AI751" i="1"/>
  <c r="AM743" i="1"/>
  <c r="AI743" i="1"/>
  <c r="AM735" i="1"/>
  <c r="AI735" i="1"/>
  <c r="AM727" i="1"/>
  <c r="AI727" i="1"/>
  <c r="AM719" i="1"/>
  <c r="AI719" i="1"/>
  <c r="AM711" i="1"/>
  <c r="AI711" i="1"/>
  <c r="AM703" i="1"/>
  <c r="AI703" i="1"/>
  <c r="AM695" i="1"/>
  <c r="AI695" i="1"/>
  <c r="AM687" i="1"/>
  <c r="AI687" i="1"/>
  <c r="AM679" i="1"/>
  <c r="AI679" i="1"/>
  <c r="AM671" i="1"/>
  <c r="AI671" i="1"/>
  <c r="AM663" i="1"/>
  <c r="AI663" i="1"/>
  <c r="AM655" i="1"/>
  <c r="AI655" i="1"/>
  <c r="AM647" i="1"/>
  <c r="AI647" i="1"/>
  <c r="AM639" i="1"/>
  <c r="AI639" i="1"/>
  <c r="AM631" i="1"/>
  <c r="AI631" i="1"/>
  <c r="AM623" i="1"/>
  <c r="AI623" i="1"/>
  <c r="AM615" i="1"/>
  <c r="AI615" i="1"/>
  <c r="AM607" i="1"/>
  <c r="AI607" i="1"/>
  <c r="AM599" i="1"/>
  <c r="AI599" i="1"/>
  <c r="AM591" i="1"/>
  <c r="AI591" i="1"/>
  <c r="AM583" i="1"/>
  <c r="AI583" i="1"/>
  <c r="AM575" i="1"/>
  <c r="AI575" i="1"/>
  <c r="AM567" i="1"/>
  <c r="AI567" i="1"/>
  <c r="AM559" i="1"/>
  <c r="AI559" i="1"/>
  <c r="AM551" i="1"/>
  <c r="AI551" i="1"/>
  <c r="AM543" i="1"/>
  <c r="AI543" i="1"/>
  <c r="AM535" i="1"/>
  <c r="AI535" i="1"/>
  <c r="AM527" i="1"/>
  <c r="AI527" i="1"/>
  <c r="AM519" i="1"/>
  <c r="AI519" i="1"/>
  <c r="AM511" i="1"/>
  <c r="AI511" i="1"/>
  <c r="AM503" i="1"/>
  <c r="AI503" i="1"/>
  <c r="AM495" i="1"/>
  <c r="AI495" i="1"/>
  <c r="AM487" i="1"/>
  <c r="AI487" i="1"/>
  <c r="AM479" i="1"/>
  <c r="AI479" i="1"/>
  <c r="AM471" i="1"/>
  <c r="AI471" i="1"/>
  <c r="AM463" i="1"/>
  <c r="AI463" i="1"/>
  <c r="AM455" i="1"/>
  <c r="AI455" i="1"/>
  <c r="AM447" i="1"/>
  <c r="AI447" i="1"/>
  <c r="AM439" i="1"/>
  <c r="AI439" i="1"/>
  <c r="AM431" i="1"/>
  <c r="AI431" i="1"/>
  <c r="AM423" i="1"/>
  <c r="AI423" i="1"/>
  <c r="AM415" i="1"/>
  <c r="AI415" i="1"/>
  <c r="AM407" i="1"/>
  <c r="AI407" i="1"/>
  <c r="AM399" i="1"/>
  <c r="AI399" i="1"/>
  <c r="AM391" i="1"/>
  <c r="AI391" i="1"/>
  <c r="AM383" i="1"/>
  <c r="AI383" i="1"/>
  <c r="AM910" i="1"/>
  <c r="AI910" i="1"/>
  <c r="AM367" i="1"/>
  <c r="AI367" i="1"/>
  <c r="AM359" i="1"/>
  <c r="AI359" i="1"/>
  <c r="AM351" i="1"/>
  <c r="AI351" i="1"/>
  <c r="AM343" i="1"/>
  <c r="AI343" i="1"/>
  <c r="AM335" i="1"/>
  <c r="AI335" i="1"/>
  <c r="AM327" i="1"/>
  <c r="AI327" i="1"/>
  <c r="AM319" i="1"/>
  <c r="AI319" i="1"/>
  <c r="AM311" i="1"/>
  <c r="AI311" i="1"/>
  <c r="AM303" i="1"/>
  <c r="AI303" i="1"/>
  <c r="AM295" i="1"/>
  <c r="AI295" i="1"/>
  <c r="AM287" i="1"/>
  <c r="AI287" i="1"/>
  <c r="AM279" i="1"/>
  <c r="AI279" i="1"/>
  <c r="AM271" i="1"/>
  <c r="AI271" i="1"/>
  <c r="AM263" i="1"/>
  <c r="AI263" i="1"/>
  <c r="AM255" i="1"/>
  <c r="AI255" i="1"/>
  <c r="AM247" i="1"/>
  <c r="AI247" i="1"/>
  <c r="AM239" i="1"/>
  <c r="AI239" i="1"/>
  <c r="AM231" i="1"/>
  <c r="AI231" i="1"/>
  <c r="AM223" i="1"/>
  <c r="AI223" i="1"/>
  <c r="AM215" i="1"/>
  <c r="AI215" i="1"/>
  <c r="AM207" i="1"/>
  <c r="AI207" i="1"/>
  <c r="AM199" i="1"/>
  <c r="AI199" i="1"/>
  <c r="AM191" i="1"/>
  <c r="AI191" i="1"/>
  <c r="AM183" i="1"/>
  <c r="AI183" i="1"/>
  <c r="AM175" i="1"/>
  <c r="AI175" i="1"/>
  <c r="AM167" i="1"/>
  <c r="AI167" i="1"/>
  <c r="AM159" i="1"/>
  <c r="AI159" i="1"/>
  <c r="AM151" i="1"/>
  <c r="AI151" i="1"/>
  <c r="AM143" i="1"/>
  <c r="AI143" i="1"/>
  <c r="AM135" i="1"/>
  <c r="AI135" i="1"/>
  <c r="AM127" i="1"/>
  <c r="AI127" i="1"/>
  <c r="AM119" i="1"/>
  <c r="AI119" i="1"/>
  <c r="AM111" i="1"/>
  <c r="AI111" i="1"/>
  <c r="AM103" i="1"/>
  <c r="AI103" i="1"/>
  <c r="AM95" i="1"/>
  <c r="AI95" i="1"/>
  <c r="AM87" i="1"/>
  <c r="AI87" i="1"/>
  <c r="AM79" i="1"/>
  <c r="AI79" i="1"/>
  <c r="AM71" i="1"/>
  <c r="AI71" i="1"/>
  <c r="AM63" i="1"/>
  <c r="AI63" i="1"/>
  <c r="AM55" i="1"/>
  <c r="AI55" i="1"/>
  <c r="AM47" i="1"/>
  <c r="AI47" i="1"/>
  <c r="AM39" i="1"/>
  <c r="AI39" i="1"/>
  <c r="AM31" i="1"/>
  <c r="AI31" i="1"/>
  <c r="AM23" i="1"/>
  <c r="AI23" i="1"/>
  <c r="AM15" i="1"/>
  <c r="AI15" i="1"/>
  <c r="AM7" i="1"/>
  <c r="AI7" i="1"/>
  <c r="AM172" i="1"/>
  <c r="AI172" i="1"/>
  <c r="AM333" i="1"/>
  <c r="AI333" i="1"/>
  <c r="AM894" i="1"/>
  <c r="AI894" i="1"/>
  <c r="AM886" i="1"/>
  <c r="AI886" i="1"/>
  <c r="AM878" i="1"/>
  <c r="AI878" i="1"/>
  <c r="AM870" i="1"/>
  <c r="AI870" i="1"/>
  <c r="AM862" i="1"/>
  <c r="AI862" i="1"/>
  <c r="AM854" i="1"/>
  <c r="AI854" i="1"/>
  <c r="AM846" i="1"/>
  <c r="AI846" i="1"/>
  <c r="AM838" i="1"/>
  <c r="AI838" i="1"/>
  <c r="AM830" i="1"/>
  <c r="AI830" i="1"/>
  <c r="AM822" i="1"/>
  <c r="AI822" i="1"/>
  <c r="AM814" i="1"/>
  <c r="AI814" i="1"/>
  <c r="AM806" i="1"/>
  <c r="AI806" i="1"/>
  <c r="AM798" i="1"/>
  <c r="AI798" i="1"/>
  <c r="AM790" i="1"/>
  <c r="AI790" i="1"/>
  <c r="AM782" i="1"/>
  <c r="AI782" i="1"/>
  <c r="AM774" i="1"/>
  <c r="AI774" i="1"/>
  <c r="AM766" i="1"/>
  <c r="AI766" i="1"/>
  <c r="AM758" i="1"/>
  <c r="AI758" i="1"/>
  <c r="AM750" i="1"/>
  <c r="AI750" i="1"/>
  <c r="AM742" i="1"/>
  <c r="AI742" i="1"/>
  <c r="AM734" i="1"/>
  <c r="AI734" i="1"/>
  <c r="AM726" i="1"/>
  <c r="AI726" i="1"/>
  <c r="AM718" i="1"/>
  <c r="AI718" i="1"/>
  <c r="AM710" i="1"/>
  <c r="AI710" i="1"/>
  <c r="AM702" i="1"/>
  <c r="AI702" i="1"/>
  <c r="AM694" i="1"/>
  <c r="AI694" i="1"/>
  <c r="AM686" i="1"/>
  <c r="AI686" i="1"/>
  <c r="AM678" i="1"/>
  <c r="AI678" i="1"/>
  <c r="AM670" i="1"/>
  <c r="AI670" i="1"/>
  <c r="AM662" i="1"/>
  <c r="AI662" i="1"/>
  <c r="AM654" i="1"/>
  <c r="AI654" i="1"/>
  <c r="AM646" i="1"/>
  <c r="AI646" i="1"/>
  <c r="AM638" i="1"/>
  <c r="AI638" i="1"/>
  <c r="AM630" i="1"/>
  <c r="AI630" i="1"/>
  <c r="AM622" i="1"/>
  <c r="AI622" i="1"/>
  <c r="AM614" i="1"/>
  <c r="AI614" i="1"/>
  <c r="AM606" i="1"/>
  <c r="AI606" i="1"/>
  <c r="AM598" i="1"/>
  <c r="AI598" i="1"/>
  <c r="AM590" i="1"/>
  <c r="AI590" i="1"/>
  <c r="AM582" i="1"/>
  <c r="AI582" i="1"/>
  <c r="AM574" i="1"/>
  <c r="AI574" i="1"/>
  <c r="AM566" i="1"/>
  <c r="AI566" i="1"/>
  <c r="AM558" i="1"/>
  <c r="AI558" i="1"/>
  <c r="AM550" i="1"/>
  <c r="AI550" i="1"/>
  <c r="AM542" i="1"/>
  <c r="AI542" i="1"/>
  <c r="AM534" i="1"/>
  <c r="AI534" i="1"/>
  <c r="AM526" i="1"/>
  <c r="AI526" i="1"/>
  <c r="AM518" i="1"/>
  <c r="AI518" i="1"/>
  <c r="AM510" i="1"/>
  <c r="AI510" i="1"/>
  <c r="AM502" i="1"/>
  <c r="AI502" i="1"/>
  <c r="AM494" i="1"/>
  <c r="AI494" i="1"/>
  <c r="AM486" i="1"/>
  <c r="AI486" i="1"/>
  <c r="AM478" i="1"/>
  <c r="AI478" i="1"/>
  <c r="AM470" i="1"/>
  <c r="AI470" i="1"/>
  <c r="AM462" i="1"/>
  <c r="AI462" i="1"/>
  <c r="AM454" i="1"/>
  <c r="AI454" i="1"/>
  <c r="AM446" i="1"/>
  <c r="AI446" i="1"/>
  <c r="AM438" i="1"/>
  <c r="AI438" i="1"/>
  <c r="AM430" i="1"/>
  <c r="AI430" i="1"/>
  <c r="AM422" i="1"/>
  <c r="AI422" i="1"/>
  <c r="AM414" i="1"/>
  <c r="AI414" i="1"/>
  <c r="AM406" i="1"/>
  <c r="AI406" i="1"/>
  <c r="AM398" i="1"/>
  <c r="AI398" i="1"/>
  <c r="AM390" i="1"/>
  <c r="AI390" i="1"/>
  <c r="AM382" i="1"/>
  <c r="AI382" i="1"/>
  <c r="AM374" i="1"/>
  <c r="AI374" i="1"/>
  <c r="AM366" i="1"/>
  <c r="AI366" i="1"/>
  <c r="AM358" i="1"/>
  <c r="AI358" i="1"/>
  <c r="AM350" i="1"/>
  <c r="AI350" i="1"/>
  <c r="AM342" i="1"/>
  <c r="AI342" i="1"/>
  <c r="AM334" i="1"/>
  <c r="AI334" i="1"/>
  <c r="AM326" i="1"/>
  <c r="AI326" i="1"/>
  <c r="AM318" i="1"/>
  <c r="AI318" i="1"/>
  <c r="AM310" i="1"/>
  <c r="AI310" i="1"/>
  <c r="AM302" i="1"/>
  <c r="AI302" i="1"/>
  <c r="AM294" i="1"/>
  <c r="AI294" i="1"/>
  <c r="AM286" i="1"/>
  <c r="AI286" i="1"/>
  <c r="AM278" i="1"/>
  <c r="AI278" i="1"/>
  <c r="AM270" i="1"/>
  <c r="AI270" i="1"/>
  <c r="AM262" i="1"/>
  <c r="AI262" i="1"/>
  <c r="AM254" i="1"/>
  <c r="AI254" i="1"/>
  <c r="AM246" i="1"/>
  <c r="AI246" i="1"/>
  <c r="AM238" i="1"/>
  <c r="AI238" i="1"/>
  <c r="AM230" i="1"/>
  <c r="AI230" i="1"/>
  <c r="AM222" i="1"/>
  <c r="AI222" i="1"/>
  <c r="AM214" i="1"/>
  <c r="AI214" i="1"/>
  <c r="AM206" i="1"/>
  <c r="AI206" i="1"/>
  <c r="AM198" i="1"/>
  <c r="AI198" i="1"/>
  <c r="AM190" i="1"/>
  <c r="AI190" i="1"/>
  <c r="AM182" i="1"/>
  <c r="AI182" i="1"/>
  <c r="AM174" i="1"/>
  <c r="AI174" i="1"/>
  <c r="AM166" i="1"/>
  <c r="AI166" i="1"/>
  <c r="AM158" i="1"/>
  <c r="AI158" i="1"/>
  <c r="AM150" i="1"/>
  <c r="AI150" i="1"/>
  <c r="AM142" i="1"/>
  <c r="AI142" i="1"/>
  <c r="AM134" i="1"/>
  <c r="AI134" i="1"/>
  <c r="AM126" i="1"/>
  <c r="AI126" i="1"/>
  <c r="AM118" i="1"/>
  <c r="AI118" i="1"/>
  <c r="AM110" i="1"/>
  <c r="AI110" i="1"/>
  <c r="AM102" i="1"/>
  <c r="AI102" i="1"/>
  <c r="AM94" i="1"/>
  <c r="AI94" i="1"/>
  <c r="AM86" i="1"/>
  <c r="AI86" i="1"/>
  <c r="AM78" i="1"/>
  <c r="AI78" i="1"/>
  <c r="AM70" i="1"/>
  <c r="AI70" i="1"/>
  <c r="AM62" i="1"/>
  <c r="AI62" i="1"/>
  <c r="AM54" i="1"/>
  <c r="AI54" i="1"/>
  <c r="AM46" i="1"/>
  <c r="AI46" i="1"/>
  <c r="AM38" i="1"/>
  <c r="AI38" i="1"/>
  <c r="AM30" i="1"/>
  <c r="AI30" i="1"/>
  <c r="AM22" i="1"/>
  <c r="AI22" i="1"/>
  <c r="AM14" i="1"/>
  <c r="AI14" i="1"/>
  <c r="AM6" i="1"/>
  <c r="AI6" i="1"/>
  <c r="AM913" i="1"/>
  <c r="AI913" i="1"/>
  <c r="AM901" i="1"/>
  <c r="AI901" i="1"/>
  <c r="AM893" i="1"/>
  <c r="AI893" i="1"/>
  <c r="AM885" i="1"/>
  <c r="AI885" i="1"/>
  <c r="AM877" i="1"/>
  <c r="AI877" i="1"/>
  <c r="AM869" i="1"/>
  <c r="AI869" i="1"/>
  <c r="AM861" i="1"/>
  <c r="AI861" i="1"/>
  <c r="AM853" i="1"/>
  <c r="AI853" i="1"/>
  <c r="AM845" i="1"/>
  <c r="AI845" i="1"/>
  <c r="AM837" i="1"/>
  <c r="AI837" i="1"/>
  <c r="AM829" i="1"/>
  <c r="AI829" i="1"/>
  <c r="AM821" i="1"/>
  <c r="AI821" i="1"/>
  <c r="AM813" i="1"/>
  <c r="AI813" i="1"/>
  <c r="AM805" i="1"/>
  <c r="AI805" i="1"/>
  <c r="AM797" i="1"/>
  <c r="AI797" i="1"/>
  <c r="AM789" i="1"/>
  <c r="AI789" i="1"/>
  <c r="AM781" i="1"/>
  <c r="AI781" i="1"/>
  <c r="AM773" i="1"/>
  <c r="AI773" i="1"/>
  <c r="AM765" i="1"/>
  <c r="AI765" i="1"/>
  <c r="AM757" i="1"/>
  <c r="AI757" i="1"/>
  <c r="AM749" i="1"/>
  <c r="AI749" i="1"/>
  <c r="AM741" i="1"/>
  <c r="AI741" i="1"/>
  <c r="AM733" i="1"/>
  <c r="AI733" i="1"/>
  <c r="AM725" i="1"/>
  <c r="AI725" i="1"/>
  <c r="AM717" i="1"/>
  <c r="AI717" i="1"/>
  <c r="AM709" i="1"/>
  <c r="AI709" i="1"/>
  <c r="AM701" i="1"/>
  <c r="AI701" i="1"/>
  <c r="AM693" i="1"/>
  <c r="AI693" i="1"/>
  <c r="AM685" i="1"/>
  <c r="AI685" i="1"/>
  <c r="AM677" i="1"/>
  <c r="AI677" i="1"/>
  <c r="AM669" i="1"/>
  <c r="AI669" i="1"/>
  <c r="AM661" i="1"/>
  <c r="AI661" i="1"/>
  <c r="AM653" i="1"/>
  <c r="AI653" i="1"/>
  <c r="AM645" i="1"/>
  <c r="AI645" i="1"/>
  <c r="AM637" i="1"/>
  <c r="AI637" i="1"/>
  <c r="AM629" i="1"/>
  <c r="AI629" i="1"/>
  <c r="AM621" i="1"/>
  <c r="AI621" i="1"/>
  <c r="AM613" i="1"/>
  <c r="AI613" i="1"/>
  <c r="AM605" i="1"/>
  <c r="AI605" i="1"/>
  <c r="AM597" i="1"/>
  <c r="AI597" i="1"/>
  <c r="AM589" i="1"/>
  <c r="AI589" i="1"/>
  <c r="AM581" i="1"/>
  <c r="AI581" i="1"/>
  <c r="AM912" i="1"/>
  <c r="AI912" i="1"/>
  <c r="AM565" i="1"/>
  <c r="AI565" i="1"/>
  <c r="AM557" i="1"/>
  <c r="AI557" i="1"/>
  <c r="AM549" i="1"/>
  <c r="AI549" i="1"/>
  <c r="AM541" i="1"/>
  <c r="AI541" i="1"/>
  <c r="AM533" i="1"/>
  <c r="AI533" i="1"/>
  <c r="AM525" i="1"/>
  <c r="AI525" i="1"/>
  <c r="AM517" i="1"/>
  <c r="AI517" i="1"/>
  <c r="AM509" i="1"/>
  <c r="AI509" i="1"/>
  <c r="AM501" i="1"/>
  <c r="AI501" i="1"/>
  <c r="AM493" i="1"/>
  <c r="AI493" i="1"/>
  <c r="AM485" i="1"/>
  <c r="AI485" i="1"/>
  <c r="AM477" i="1"/>
  <c r="AI477" i="1"/>
  <c r="AM469" i="1"/>
  <c r="AI469" i="1"/>
  <c r="AM461" i="1"/>
  <c r="AI461" i="1"/>
  <c r="AM453" i="1"/>
  <c r="AI453" i="1"/>
  <c r="AM445" i="1"/>
  <c r="AI445" i="1"/>
  <c r="AM437" i="1"/>
  <c r="AI437" i="1"/>
  <c r="AM429" i="1"/>
  <c r="AI429" i="1"/>
  <c r="AM421" i="1"/>
  <c r="AI421" i="1"/>
  <c r="AM413" i="1"/>
  <c r="AI413" i="1"/>
  <c r="AM405" i="1"/>
  <c r="AI405" i="1"/>
  <c r="AM397" i="1"/>
  <c r="AI397" i="1"/>
  <c r="AM389" i="1"/>
  <c r="AI389" i="1"/>
  <c r="AM381" i="1"/>
  <c r="AI381" i="1"/>
  <c r="AM373" i="1"/>
  <c r="AI373" i="1"/>
  <c r="AM365" i="1"/>
  <c r="AI365" i="1"/>
  <c r="AM357" i="1"/>
  <c r="AI357" i="1"/>
  <c r="AM349" i="1"/>
  <c r="AI349" i="1"/>
  <c r="AM341" i="1"/>
  <c r="AI341" i="1"/>
  <c r="AM316" i="1"/>
  <c r="AI316" i="1"/>
  <c r="AM325" i="1"/>
  <c r="AI325" i="1"/>
  <c r="AM317" i="1"/>
  <c r="AI317" i="1"/>
  <c r="AM309" i="1"/>
  <c r="AI309" i="1"/>
  <c r="AM301" i="1"/>
  <c r="AI301" i="1"/>
  <c r="AM293" i="1"/>
  <c r="AI293" i="1"/>
  <c r="AM285" i="1"/>
  <c r="AI285" i="1"/>
  <c r="AM277" i="1"/>
  <c r="AI277" i="1"/>
  <c r="AM269" i="1"/>
  <c r="AI269" i="1"/>
  <c r="AM261" i="1"/>
  <c r="AI261" i="1"/>
  <c r="AM253" i="1"/>
  <c r="AI253" i="1"/>
  <c r="AM245" i="1"/>
  <c r="AI245" i="1"/>
  <c r="AM237" i="1"/>
  <c r="AI237" i="1"/>
  <c r="AM229" i="1"/>
  <c r="AI229" i="1"/>
  <c r="AM221" i="1"/>
  <c r="AI221" i="1"/>
  <c r="AM213" i="1"/>
  <c r="AI213" i="1"/>
  <c r="AM205" i="1"/>
  <c r="AI205" i="1"/>
  <c r="AM197" i="1"/>
  <c r="AI197" i="1"/>
  <c r="AM189" i="1"/>
  <c r="AI189" i="1"/>
  <c r="AM181" i="1"/>
  <c r="AI181" i="1"/>
  <c r="AM173" i="1"/>
  <c r="AI173" i="1"/>
  <c r="AM165" i="1"/>
  <c r="AI165" i="1"/>
  <c r="AM157" i="1"/>
  <c r="AI157" i="1"/>
  <c r="AM149" i="1"/>
  <c r="AI149" i="1"/>
  <c r="AM141" i="1"/>
  <c r="AI141" i="1"/>
  <c r="AM133" i="1"/>
  <c r="AI133" i="1"/>
  <c r="AM92" i="1"/>
  <c r="AI92" i="1"/>
  <c r="AM117" i="1"/>
  <c r="AI117" i="1"/>
  <c r="AM109" i="1"/>
  <c r="AI109" i="1"/>
  <c r="AM101" i="1"/>
  <c r="AI101" i="1"/>
  <c r="AM93" i="1"/>
  <c r="AI93" i="1"/>
  <c r="AM85" i="1"/>
  <c r="AI85" i="1"/>
  <c r="AM77" i="1"/>
  <c r="AI77" i="1"/>
  <c r="AM69" i="1"/>
  <c r="AI69" i="1"/>
  <c r="AM61" i="1"/>
  <c r="AI61" i="1"/>
  <c r="AM53" i="1"/>
  <c r="AI53" i="1"/>
  <c r="AM45" i="1"/>
  <c r="AI45" i="1"/>
  <c r="AM37" i="1"/>
  <c r="AI37" i="1"/>
  <c r="AM29" i="1"/>
  <c r="AI29" i="1"/>
  <c r="AM21" i="1"/>
  <c r="AI21" i="1"/>
  <c r="AM13" i="1"/>
  <c r="AI13" i="1"/>
  <c r="AM5" i="1"/>
  <c r="AI5" i="1"/>
  <c r="AM375" i="1"/>
  <c r="AI375" i="1"/>
  <c r="AM900" i="1"/>
  <c r="AI900" i="1"/>
  <c r="AM892" i="1"/>
  <c r="AI892" i="1"/>
  <c r="AM884" i="1"/>
  <c r="AI884" i="1"/>
  <c r="AM876" i="1"/>
  <c r="AI876" i="1"/>
  <c r="AM868" i="1"/>
  <c r="AI868" i="1"/>
  <c r="AM860" i="1"/>
  <c r="AI860" i="1"/>
  <c r="AM852" i="1"/>
  <c r="AI852" i="1"/>
  <c r="AM844" i="1"/>
  <c r="AI844" i="1"/>
  <c r="AM836" i="1"/>
  <c r="AI836" i="1"/>
  <c r="AM828" i="1"/>
  <c r="AI828" i="1"/>
  <c r="AM820" i="1"/>
  <c r="AI820" i="1"/>
  <c r="AM812" i="1"/>
  <c r="AI812" i="1"/>
  <c r="AM804" i="1"/>
  <c r="AI804" i="1"/>
  <c r="AM796" i="1"/>
  <c r="AI796" i="1"/>
  <c r="AM788" i="1"/>
  <c r="AI788" i="1"/>
  <c r="AM780" i="1"/>
  <c r="AI780" i="1"/>
  <c r="AM772" i="1"/>
  <c r="AI772" i="1"/>
  <c r="AM764" i="1"/>
  <c r="AI764" i="1"/>
  <c r="AM756" i="1"/>
  <c r="AI756" i="1"/>
  <c r="AM748" i="1"/>
  <c r="AI748" i="1"/>
  <c r="AM740" i="1"/>
  <c r="AI740" i="1"/>
  <c r="AM732" i="1"/>
  <c r="AI732" i="1"/>
  <c r="AM724" i="1"/>
  <c r="AI724" i="1"/>
  <c r="AM716" i="1"/>
  <c r="AI716" i="1"/>
  <c r="AM708" i="1"/>
  <c r="AI708" i="1"/>
  <c r="AM700" i="1"/>
  <c r="AI700" i="1"/>
  <c r="AM692" i="1"/>
  <c r="AI692" i="1"/>
  <c r="AM684" i="1"/>
  <c r="AI684" i="1"/>
  <c r="AM676" i="1"/>
  <c r="AI676" i="1"/>
  <c r="AM668" i="1"/>
  <c r="AI668" i="1"/>
  <c r="AM660" i="1"/>
  <c r="AI660" i="1"/>
  <c r="AM652" i="1"/>
  <c r="AI652" i="1"/>
  <c r="AM644" i="1"/>
  <c r="AI644" i="1"/>
  <c r="AM636" i="1"/>
  <c r="AI636" i="1"/>
  <c r="AM628" i="1"/>
  <c r="AI628" i="1"/>
  <c r="AM620" i="1"/>
  <c r="AI620" i="1"/>
  <c r="AM612" i="1"/>
  <c r="AI612" i="1"/>
  <c r="AM604" i="1"/>
  <c r="AI604" i="1"/>
  <c r="AM596" i="1"/>
  <c r="AI596" i="1"/>
  <c r="AM588" i="1"/>
  <c r="AI588" i="1"/>
  <c r="AM580" i="1"/>
  <c r="AI580" i="1"/>
  <c r="AM572" i="1"/>
  <c r="AI572" i="1"/>
  <c r="AM564" i="1"/>
  <c r="AI564" i="1"/>
  <c r="AM556" i="1"/>
  <c r="AI556" i="1"/>
  <c r="AM548" i="1"/>
  <c r="AI548" i="1"/>
  <c r="AM540" i="1"/>
  <c r="AI540" i="1"/>
  <c r="AM532" i="1"/>
  <c r="AI532" i="1"/>
  <c r="AM524" i="1"/>
  <c r="AI524" i="1"/>
  <c r="AM516" i="1"/>
  <c r="AI516" i="1"/>
  <c r="AM508" i="1"/>
  <c r="AI508" i="1"/>
  <c r="AM500" i="1"/>
  <c r="AI500" i="1"/>
  <c r="AM492" i="1"/>
  <c r="AI492" i="1"/>
  <c r="AM484" i="1"/>
  <c r="AI484" i="1"/>
  <c r="AM476" i="1"/>
  <c r="AI476" i="1"/>
  <c r="AM468" i="1"/>
  <c r="AI468" i="1"/>
  <c r="AM460" i="1"/>
  <c r="AI460" i="1"/>
  <c r="AM452" i="1"/>
  <c r="AI452" i="1"/>
  <c r="AM444" i="1"/>
  <c r="AI444" i="1"/>
  <c r="AM436" i="1"/>
  <c r="AI436" i="1"/>
  <c r="AM428" i="1"/>
  <c r="AI428" i="1"/>
  <c r="AM420" i="1"/>
  <c r="AI420" i="1"/>
  <c r="AM412" i="1"/>
  <c r="AI412" i="1"/>
  <c r="AM404" i="1"/>
  <c r="AI404" i="1"/>
  <c r="AM396" i="1"/>
  <c r="AI396" i="1"/>
  <c r="AM388" i="1"/>
  <c r="AI388" i="1"/>
  <c r="AM380" i="1"/>
  <c r="AI380" i="1"/>
  <c r="AM372" i="1"/>
  <c r="AI372" i="1"/>
  <c r="AM364" i="1"/>
  <c r="AI364" i="1"/>
  <c r="AM356" i="1"/>
  <c r="AI356" i="1"/>
  <c r="AM348" i="1"/>
  <c r="AI348" i="1"/>
  <c r="AM340" i="1"/>
  <c r="AI340" i="1"/>
  <c r="AM332" i="1"/>
  <c r="AI332" i="1"/>
  <c r="AM324" i="1"/>
  <c r="AI324" i="1"/>
  <c r="AM906" i="1"/>
  <c r="AI906" i="1"/>
  <c r="AM308" i="1"/>
  <c r="AI308" i="1"/>
  <c r="AM300" i="1"/>
  <c r="AI300" i="1"/>
  <c r="AM292" i="1"/>
  <c r="AI292" i="1"/>
  <c r="AM284" i="1"/>
  <c r="AI284" i="1"/>
  <c r="AM276" i="1"/>
  <c r="AI276" i="1"/>
  <c r="AM268" i="1"/>
  <c r="AI268" i="1"/>
  <c r="AM260" i="1"/>
  <c r="AI260" i="1"/>
  <c r="AM252" i="1"/>
  <c r="AI252" i="1"/>
  <c r="AM244" i="1"/>
  <c r="AI244" i="1"/>
  <c r="AM236" i="1"/>
  <c r="AI236" i="1"/>
  <c r="AM228" i="1"/>
  <c r="AI228" i="1"/>
  <c r="AM220" i="1"/>
  <c r="AI220" i="1"/>
  <c r="AM212" i="1"/>
  <c r="AI212" i="1"/>
  <c r="AM204" i="1"/>
  <c r="AI204" i="1"/>
  <c r="AM196" i="1"/>
  <c r="AI196" i="1"/>
  <c r="AM188" i="1"/>
  <c r="AI188" i="1"/>
  <c r="AM180" i="1"/>
  <c r="AI180" i="1"/>
  <c r="AM902" i="1"/>
  <c r="AI902" i="1"/>
  <c r="AM164" i="1"/>
  <c r="AI164" i="1"/>
  <c r="AM156" i="1"/>
  <c r="AI156" i="1"/>
  <c r="AM148" i="1"/>
  <c r="AI148" i="1"/>
  <c r="AM140" i="1"/>
  <c r="AI140" i="1"/>
  <c r="AM132" i="1"/>
  <c r="AI132" i="1"/>
  <c r="AM124" i="1"/>
  <c r="AI124" i="1"/>
  <c r="AM116" i="1"/>
  <c r="AI116" i="1"/>
  <c r="AM108" i="1"/>
  <c r="AI108" i="1"/>
  <c r="AM100" i="1"/>
  <c r="AI100" i="1"/>
  <c r="AM425" i="1"/>
  <c r="AI425" i="1"/>
  <c r="AM84" i="1"/>
  <c r="AI84" i="1"/>
  <c r="AM76" i="1"/>
  <c r="AI76" i="1"/>
  <c r="AM68" i="1"/>
  <c r="AI68" i="1"/>
  <c r="AM60" i="1"/>
  <c r="AI60" i="1"/>
  <c r="AM52" i="1"/>
  <c r="AI52" i="1"/>
  <c r="AM44" i="1"/>
  <c r="AI44" i="1"/>
  <c r="AM36" i="1"/>
  <c r="AI36" i="1"/>
  <c r="AM28" i="1"/>
  <c r="AI28" i="1"/>
  <c r="AM20" i="1"/>
  <c r="AI20" i="1"/>
  <c r="AM12" i="1"/>
  <c r="AI12" i="1"/>
  <c r="AM4" i="1"/>
  <c r="AI4" i="1"/>
  <c r="AM903" i="1"/>
  <c r="AI903" i="1"/>
  <c r="AM899" i="1"/>
  <c r="AI899" i="1"/>
  <c r="AM891" i="1"/>
  <c r="AI891" i="1"/>
  <c r="AM883" i="1"/>
  <c r="AI883" i="1"/>
  <c r="AM875" i="1"/>
  <c r="AI875" i="1"/>
  <c r="AM867" i="1"/>
  <c r="AI867" i="1"/>
  <c r="AM859" i="1"/>
  <c r="AI859" i="1"/>
  <c r="AM851" i="1"/>
  <c r="AI851" i="1"/>
  <c r="AM843" i="1"/>
  <c r="AI843" i="1"/>
  <c r="AM835" i="1"/>
  <c r="AI835" i="1"/>
  <c r="AM827" i="1"/>
  <c r="AI827" i="1"/>
  <c r="AM819" i="1"/>
  <c r="AI819" i="1"/>
  <c r="AM811" i="1"/>
  <c r="AI811" i="1"/>
  <c r="AM803" i="1"/>
  <c r="AI803" i="1"/>
  <c r="AM795" i="1"/>
  <c r="AI795" i="1"/>
  <c r="AM787" i="1"/>
  <c r="AI787" i="1"/>
  <c r="AM779" i="1"/>
  <c r="AI779" i="1"/>
  <c r="AM771" i="1"/>
  <c r="AI771" i="1"/>
  <c r="AM763" i="1"/>
  <c r="AI763" i="1"/>
  <c r="AM755" i="1"/>
  <c r="AI755" i="1"/>
  <c r="AM747" i="1"/>
  <c r="AI747" i="1"/>
  <c r="AM739" i="1"/>
  <c r="AI739" i="1"/>
  <c r="AM731" i="1"/>
  <c r="AI731" i="1"/>
  <c r="AM723" i="1"/>
  <c r="AI723" i="1"/>
  <c r="AM715" i="1"/>
  <c r="AI715" i="1"/>
  <c r="AM707" i="1"/>
  <c r="AI707" i="1"/>
  <c r="AM699" i="1"/>
  <c r="AI699" i="1"/>
  <c r="AM691" i="1"/>
  <c r="AI691" i="1"/>
  <c r="AM683" i="1"/>
  <c r="AI683" i="1"/>
  <c r="AM675" i="1"/>
  <c r="AI675" i="1"/>
  <c r="AM667" i="1"/>
  <c r="AI667" i="1"/>
  <c r="AM659" i="1"/>
  <c r="AI659" i="1"/>
  <c r="AM651" i="1"/>
  <c r="AI651" i="1"/>
  <c r="AM643" i="1"/>
  <c r="AI643" i="1"/>
  <c r="AM635" i="1"/>
  <c r="AI635" i="1"/>
  <c r="AM627" i="1"/>
  <c r="AI627" i="1"/>
  <c r="AM619" i="1"/>
  <c r="AI619" i="1"/>
  <c r="AM611" i="1"/>
  <c r="AI611" i="1"/>
  <c r="AM603" i="1"/>
  <c r="AI603" i="1"/>
  <c r="AM595" i="1"/>
  <c r="AI595" i="1"/>
  <c r="AM587" i="1"/>
  <c r="AI587" i="1"/>
  <c r="AM579" i="1"/>
  <c r="AI579" i="1"/>
  <c r="AM571" i="1"/>
  <c r="AI571" i="1"/>
  <c r="AM563" i="1"/>
  <c r="AI563" i="1"/>
  <c r="AM555" i="1"/>
  <c r="AI555" i="1"/>
  <c r="AM547" i="1"/>
  <c r="AI547" i="1"/>
  <c r="AM539" i="1"/>
  <c r="AI539" i="1"/>
  <c r="AM531" i="1"/>
  <c r="AI531" i="1"/>
  <c r="AM523" i="1"/>
  <c r="AI523" i="1"/>
  <c r="AM515" i="1"/>
  <c r="AI515" i="1"/>
  <c r="AM507" i="1"/>
  <c r="AI507" i="1"/>
  <c r="AM499" i="1"/>
  <c r="AI499" i="1"/>
  <c r="AM491" i="1"/>
  <c r="AI491" i="1"/>
  <c r="AM483" i="1"/>
  <c r="AI483" i="1"/>
  <c r="AM475" i="1"/>
  <c r="AI475" i="1"/>
  <c r="AM467" i="1"/>
  <c r="AI467" i="1"/>
  <c r="AM459" i="1"/>
  <c r="AI459" i="1"/>
  <c r="AM451" i="1"/>
  <c r="AI451" i="1"/>
  <c r="AM443" i="1"/>
  <c r="AI443" i="1"/>
  <c r="AM435" i="1"/>
  <c r="AI435" i="1"/>
  <c r="AM427" i="1"/>
  <c r="AI427" i="1"/>
  <c r="AM419" i="1"/>
  <c r="AI419" i="1"/>
  <c r="AM411" i="1"/>
  <c r="AI411" i="1"/>
  <c r="AM403" i="1"/>
  <c r="AI403" i="1"/>
  <c r="AM395" i="1"/>
  <c r="AI395" i="1"/>
  <c r="AM387" i="1"/>
  <c r="AI387" i="1"/>
  <c r="AM379" i="1"/>
  <c r="AI379" i="1"/>
  <c r="AM371" i="1"/>
  <c r="AI371" i="1"/>
  <c r="AM363" i="1"/>
  <c r="AI363" i="1"/>
  <c r="AM355" i="1"/>
  <c r="AI355" i="1"/>
  <c r="AM347" i="1"/>
  <c r="AI347" i="1"/>
  <c r="AM339" i="1"/>
  <c r="AI339" i="1"/>
  <c r="AM331" i="1"/>
  <c r="AI331" i="1"/>
  <c r="AM323" i="1"/>
  <c r="AI323" i="1"/>
  <c r="AM315" i="1"/>
  <c r="AI315" i="1"/>
  <c r="AM307" i="1"/>
  <c r="AI307" i="1"/>
  <c r="AM299" i="1"/>
  <c r="AI299" i="1"/>
  <c r="AM291" i="1"/>
  <c r="AI291" i="1"/>
  <c r="AM283" i="1"/>
  <c r="AI283" i="1"/>
  <c r="AM275" i="1"/>
  <c r="AI275" i="1"/>
  <c r="AM267" i="1"/>
  <c r="AI267" i="1"/>
  <c r="AM259" i="1"/>
  <c r="AI259" i="1"/>
  <c r="AM251" i="1"/>
  <c r="AI251" i="1"/>
  <c r="AM243" i="1"/>
  <c r="AI243" i="1"/>
  <c r="AM235" i="1"/>
  <c r="AI235" i="1"/>
  <c r="AM227" i="1"/>
  <c r="AI227" i="1"/>
  <c r="AM219" i="1"/>
  <c r="AI219" i="1"/>
  <c r="AM211" i="1"/>
  <c r="AI211" i="1"/>
  <c r="AM203" i="1"/>
  <c r="AI203" i="1"/>
  <c r="AM195" i="1"/>
  <c r="AI195" i="1"/>
  <c r="AM187" i="1"/>
  <c r="AI187" i="1"/>
  <c r="AM179" i="1"/>
  <c r="AI179" i="1"/>
  <c r="AM171" i="1"/>
  <c r="AI171" i="1"/>
  <c r="AM163" i="1"/>
  <c r="AI163" i="1"/>
  <c r="AM155" i="1"/>
  <c r="AI155" i="1"/>
  <c r="AM147" i="1"/>
  <c r="AI147" i="1"/>
  <c r="AM139" i="1"/>
  <c r="AI139" i="1"/>
  <c r="AM131" i="1"/>
  <c r="AI131" i="1"/>
  <c r="AM123" i="1"/>
  <c r="AI123" i="1"/>
  <c r="AM115" i="1"/>
  <c r="AI115" i="1"/>
  <c r="AM107" i="1"/>
  <c r="AI107" i="1"/>
  <c r="AM99" i="1"/>
  <c r="AI99" i="1"/>
  <c r="AM91" i="1"/>
  <c r="AI91" i="1"/>
  <c r="AM83" i="1"/>
  <c r="AI83" i="1"/>
  <c r="AM75" i="1"/>
  <c r="AI75" i="1"/>
  <c r="AM67" i="1"/>
  <c r="AI67" i="1"/>
  <c r="AM59" i="1"/>
  <c r="AI59" i="1"/>
  <c r="AM51" i="1"/>
  <c r="AI51" i="1"/>
  <c r="AM43" i="1"/>
  <c r="AI43" i="1"/>
  <c r="AM35" i="1"/>
  <c r="AI35" i="1"/>
  <c r="AM27" i="1"/>
  <c r="AI27" i="1"/>
  <c r="AM19" i="1"/>
  <c r="AI19" i="1"/>
  <c r="AM11" i="1"/>
  <c r="AI11" i="1"/>
  <c r="AM3" i="1"/>
  <c r="AI3" i="1"/>
  <c r="AO59" i="1" l="1"/>
  <c r="AX59" i="1" s="1"/>
  <c r="AO187" i="1"/>
  <c r="AX187" i="1" s="1"/>
  <c r="AO507" i="1"/>
  <c r="AX507" i="1" s="1"/>
  <c r="AO635" i="1"/>
  <c r="AX635" i="1" s="1"/>
  <c r="AO763" i="1"/>
  <c r="AX763" i="1" s="1"/>
  <c r="AO236" i="1"/>
  <c r="AX236" i="1" s="1"/>
  <c r="AO300" i="1"/>
  <c r="AX300" i="1" s="1"/>
  <c r="AO334" i="1"/>
  <c r="AX334" i="1" s="1"/>
  <c r="AO718" i="1"/>
  <c r="AX718" i="1" s="1"/>
  <c r="AO782" i="1"/>
  <c r="AX782" i="1" s="1"/>
  <c r="AO846" i="1"/>
  <c r="AX846" i="1" s="1"/>
  <c r="AO127" i="1"/>
  <c r="AX127" i="1" s="1"/>
  <c r="AO575" i="1"/>
  <c r="AX575" i="1" s="1"/>
  <c r="AO703" i="1"/>
  <c r="AX703" i="1" s="1"/>
  <c r="AO560" i="1"/>
  <c r="AX560" i="1" s="1"/>
  <c r="AO688" i="1"/>
  <c r="AX688" i="1" s="1"/>
  <c r="AO752" i="1"/>
  <c r="AX752" i="1" s="1"/>
  <c r="AO3" i="1"/>
  <c r="AX3" i="1" s="1"/>
  <c r="AO67" i="1"/>
  <c r="AX67" i="1" s="1"/>
  <c r="AO131" i="1"/>
  <c r="AX131" i="1" s="1"/>
  <c r="AO195" i="1"/>
  <c r="AX195" i="1" s="1"/>
  <c r="AO259" i="1"/>
  <c r="AX259" i="1" s="1"/>
  <c r="AO323" i="1"/>
  <c r="AX323" i="1" s="1"/>
  <c r="AO387" i="1"/>
  <c r="AX387" i="1" s="1"/>
  <c r="AO451" i="1"/>
  <c r="AX451" i="1" s="1"/>
  <c r="AO515" i="1"/>
  <c r="AX515" i="1" s="1"/>
  <c r="AO579" i="1"/>
  <c r="AX579" i="1" s="1"/>
  <c r="AO643" i="1"/>
  <c r="AX643" i="1" s="1"/>
  <c r="AO707" i="1"/>
  <c r="AX707" i="1" s="1"/>
  <c r="AO771" i="1"/>
  <c r="AX771" i="1" s="1"/>
  <c r="AO835" i="1"/>
  <c r="AX835" i="1" s="1"/>
  <c r="AO899" i="1"/>
  <c r="AX899" i="1" s="1"/>
  <c r="AO52" i="1"/>
  <c r="AX52" i="1" s="1"/>
  <c r="AO116" i="1"/>
  <c r="AX116" i="1" s="1"/>
  <c r="AO180" i="1"/>
  <c r="AX180" i="1" s="1"/>
  <c r="AO244" i="1"/>
  <c r="AX244" i="1" s="1"/>
  <c r="AO308" i="1"/>
  <c r="AX308" i="1" s="1"/>
  <c r="AO372" i="1"/>
  <c r="AX372" i="1" s="1"/>
  <c r="AO436" i="1"/>
  <c r="AX436" i="1" s="1"/>
  <c r="AO500" i="1"/>
  <c r="AX500" i="1" s="1"/>
  <c r="AO564" i="1"/>
  <c r="AX564" i="1" s="1"/>
  <c r="AO628" i="1"/>
  <c r="AX628" i="1" s="1"/>
  <c r="AO692" i="1"/>
  <c r="AX692" i="1" s="1"/>
  <c r="AO756" i="1"/>
  <c r="AX756" i="1" s="1"/>
  <c r="AO820" i="1"/>
  <c r="AX820" i="1" s="1"/>
  <c r="AO884" i="1"/>
  <c r="AX884" i="1" s="1"/>
  <c r="AO37" i="1"/>
  <c r="AX37" i="1" s="1"/>
  <c r="AO101" i="1"/>
  <c r="AX101" i="1" s="1"/>
  <c r="AO165" i="1"/>
  <c r="AX165" i="1" s="1"/>
  <c r="AO229" i="1"/>
  <c r="AX229" i="1" s="1"/>
  <c r="AO293" i="1"/>
  <c r="AX293" i="1" s="1"/>
  <c r="AO357" i="1"/>
  <c r="AX357" i="1" s="1"/>
  <c r="AO421" i="1"/>
  <c r="AX421" i="1" s="1"/>
  <c r="AO485" i="1"/>
  <c r="AX485" i="1" s="1"/>
  <c r="AO549" i="1"/>
  <c r="AX549" i="1" s="1"/>
  <c r="AO613" i="1"/>
  <c r="AX613" i="1" s="1"/>
  <c r="AO677" i="1"/>
  <c r="AX677" i="1" s="1"/>
  <c r="AO741" i="1"/>
  <c r="AX741" i="1" s="1"/>
  <c r="AO805" i="1"/>
  <c r="AX805" i="1" s="1"/>
  <c r="AO869" i="1"/>
  <c r="AX869" i="1" s="1"/>
  <c r="AO22" i="1"/>
  <c r="AX22" i="1" s="1"/>
  <c r="AO86" i="1"/>
  <c r="AX86" i="1" s="1"/>
  <c r="AO150" i="1"/>
  <c r="AX150" i="1" s="1"/>
  <c r="AO214" i="1"/>
  <c r="AX214" i="1" s="1"/>
  <c r="AO278" i="1"/>
  <c r="AX278" i="1" s="1"/>
  <c r="AO342" i="1"/>
  <c r="AX342" i="1" s="1"/>
  <c r="AO406" i="1"/>
  <c r="AX406" i="1" s="1"/>
  <c r="AO470" i="1"/>
  <c r="AX470" i="1" s="1"/>
  <c r="AO534" i="1"/>
  <c r="AX534" i="1" s="1"/>
  <c r="AO598" i="1"/>
  <c r="AX598" i="1" s="1"/>
  <c r="AO662" i="1"/>
  <c r="AX662" i="1" s="1"/>
  <c r="AO726" i="1"/>
  <c r="AX726" i="1" s="1"/>
  <c r="AO790" i="1"/>
  <c r="AX790" i="1" s="1"/>
  <c r="AO854" i="1"/>
  <c r="AX854" i="1" s="1"/>
  <c r="AO7" i="1"/>
  <c r="AX7" i="1" s="1"/>
  <c r="AO71" i="1"/>
  <c r="AX71" i="1" s="1"/>
  <c r="AO135" i="1"/>
  <c r="AX135" i="1" s="1"/>
  <c r="AO199" i="1"/>
  <c r="AX199" i="1" s="1"/>
  <c r="AO263" i="1"/>
  <c r="AX263" i="1" s="1"/>
  <c r="AO327" i="1"/>
  <c r="AX327" i="1" s="1"/>
  <c r="AO391" i="1"/>
  <c r="AX391" i="1" s="1"/>
  <c r="AO455" i="1"/>
  <c r="AX455" i="1" s="1"/>
  <c r="AO519" i="1"/>
  <c r="AX519" i="1" s="1"/>
  <c r="AO583" i="1"/>
  <c r="AX583" i="1" s="1"/>
  <c r="AO647" i="1"/>
  <c r="AX647" i="1" s="1"/>
  <c r="AO711" i="1"/>
  <c r="AX711" i="1" s="1"/>
  <c r="AO775" i="1"/>
  <c r="AX775" i="1" s="1"/>
  <c r="AO839" i="1"/>
  <c r="AX839" i="1" s="1"/>
  <c r="AO573" i="1"/>
  <c r="AX573" i="1" s="1"/>
  <c r="AO56" i="1"/>
  <c r="AX56" i="1" s="1"/>
  <c r="AO120" i="1"/>
  <c r="AX120" i="1" s="1"/>
  <c r="AO184" i="1"/>
  <c r="AX184" i="1" s="1"/>
  <c r="AO248" i="1"/>
  <c r="AX248" i="1" s="1"/>
  <c r="AO312" i="1"/>
  <c r="AX312" i="1" s="1"/>
  <c r="AO376" i="1"/>
  <c r="AX376" i="1" s="1"/>
  <c r="AO440" i="1"/>
  <c r="AX440" i="1" s="1"/>
  <c r="AO504" i="1"/>
  <c r="AX504" i="1" s="1"/>
  <c r="AO568" i="1"/>
  <c r="AX568" i="1" s="1"/>
  <c r="AO632" i="1"/>
  <c r="AX632" i="1" s="1"/>
  <c r="AO696" i="1"/>
  <c r="AX696" i="1" s="1"/>
  <c r="AO760" i="1"/>
  <c r="AX760" i="1" s="1"/>
  <c r="AO824" i="1"/>
  <c r="AX824" i="1" s="1"/>
  <c r="AO888" i="1"/>
  <c r="AX888" i="1" s="1"/>
  <c r="AO41" i="1"/>
  <c r="AX41" i="1" s="1"/>
  <c r="AO105" i="1"/>
  <c r="AX105" i="1" s="1"/>
  <c r="AO169" i="1"/>
  <c r="AX169" i="1" s="1"/>
  <c r="AO233" i="1"/>
  <c r="AX233" i="1" s="1"/>
  <c r="AO297" i="1"/>
  <c r="AX297" i="1" s="1"/>
  <c r="AO361" i="1"/>
  <c r="AX361" i="1" s="1"/>
  <c r="AO337" i="1"/>
  <c r="AX337" i="1" s="1"/>
  <c r="AO489" i="1"/>
  <c r="AX489" i="1" s="1"/>
  <c r="AO553" i="1"/>
  <c r="AX553" i="1" s="1"/>
  <c r="AO617" i="1"/>
  <c r="AX617" i="1" s="1"/>
  <c r="AO681" i="1"/>
  <c r="AX681" i="1" s="1"/>
  <c r="AO745" i="1"/>
  <c r="AX745" i="1" s="1"/>
  <c r="AO809" i="1"/>
  <c r="AX809" i="1" s="1"/>
  <c r="AO873" i="1"/>
  <c r="AX873" i="1" s="1"/>
  <c r="AO26" i="1"/>
  <c r="AX26" i="1" s="1"/>
  <c r="AO90" i="1"/>
  <c r="AX90" i="1" s="1"/>
  <c r="AO154" i="1"/>
  <c r="AX154" i="1" s="1"/>
  <c r="AO218" i="1"/>
  <c r="AX218" i="1" s="1"/>
  <c r="AO282" i="1"/>
  <c r="AX282" i="1" s="1"/>
  <c r="AO346" i="1"/>
  <c r="AX346" i="1" s="1"/>
  <c r="AO410" i="1"/>
  <c r="AX410" i="1" s="1"/>
  <c r="AO474" i="1"/>
  <c r="AX474" i="1" s="1"/>
  <c r="AO538" i="1"/>
  <c r="AX538" i="1" s="1"/>
  <c r="AO602" i="1"/>
  <c r="AX602" i="1" s="1"/>
  <c r="AO666" i="1"/>
  <c r="AX666" i="1" s="1"/>
  <c r="AO730" i="1"/>
  <c r="AX730" i="1" s="1"/>
  <c r="AO794" i="1"/>
  <c r="AX794" i="1" s="1"/>
  <c r="AO858" i="1"/>
  <c r="AX858" i="1" s="1"/>
  <c r="AO123" i="1"/>
  <c r="AX123" i="1" s="1"/>
  <c r="AO492" i="1"/>
  <c r="AX492" i="1" s="1"/>
  <c r="AO157" i="1"/>
  <c r="AX157" i="1" s="1"/>
  <c r="AO349" i="1"/>
  <c r="AX349" i="1" s="1"/>
  <c r="AO861" i="1"/>
  <c r="AX861" i="1" s="1"/>
  <c r="AO255" i="1"/>
  <c r="AX255" i="1" s="1"/>
  <c r="AO319" i="1"/>
  <c r="AX319" i="1" s="1"/>
  <c r="AO48" i="1"/>
  <c r="AX48" i="1" s="1"/>
  <c r="AO432" i="1"/>
  <c r="AX432" i="1" s="1"/>
  <c r="AO496" i="1"/>
  <c r="AX496" i="1" s="1"/>
  <c r="AO27" i="1"/>
  <c r="AX27" i="1" s="1"/>
  <c r="AO91" i="1"/>
  <c r="AX91" i="1" s="1"/>
  <c r="AO155" i="1"/>
  <c r="AX155" i="1" s="1"/>
  <c r="AO219" i="1"/>
  <c r="AX219" i="1" s="1"/>
  <c r="AO283" i="1"/>
  <c r="AX283" i="1" s="1"/>
  <c r="AO347" i="1"/>
  <c r="AX347" i="1" s="1"/>
  <c r="AO411" i="1"/>
  <c r="AX411" i="1" s="1"/>
  <c r="AO475" i="1"/>
  <c r="AX475" i="1" s="1"/>
  <c r="AO539" i="1"/>
  <c r="AX539" i="1" s="1"/>
  <c r="AO603" i="1"/>
  <c r="AX603" i="1" s="1"/>
  <c r="AO667" i="1"/>
  <c r="AX667" i="1" s="1"/>
  <c r="AO731" i="1"/>
  <c r="AX731" i="1" s="1"/>
  <c r="AO795" i="1"/>
  <c r="AX795" i="1" s="1"/>
  <c r="AO859" i="1"/>
  <c r="AX859" i="1" s="1"/>
  <c r="AO12" i="1"/>
  <c r="AX12" i="1" s="1"/>
  <c r="AO76" i="1"/>
  <c r="AX76" i="1" s="1"/>
  <c r="AO140" i="1"/>
  <c r="AX140" i="1" s="1"/>
  <c r="AO204" i="1"/>
  <c r="AX204" i="1" s="1"/>
  <c r="AO268" i="1"/>
  <c r="AX268" i="1" s="1"/>
  <c r="AO332" i="1"/>
  <c r="AX332" i="1" s="1"/>
  <c r="AO396" i="1"/>
  <c r="AX396" i="1" s="1"/>
  <c r="AO460" i="1"/>
  <c r="AX460" i="1" s="1"/>
  <c r="AO524" i="1"/>
  <c r="AX524" i="1" s="1"/>
  <c r="AO588" i="1"/>
  <c r="AX588" i="1" s="1"/>
  <c r="AO652" i="1"/>
  <c r="AX652" i="1" s="1"/>
  <c r="AO716" i="1"/>
  <c r="AX716" i="1" s="1"/>
  <c r="AO780" i="1"/>
  <c r="AX780" i="1" s="1"/>
  <c r="AO844" i="1"/>
  <c r="AX844" i="1" s="1"/>
  <c r="AO375" i="1"/>
  <c r="AX375" i="1" s="1"/>
  <c r="AO61" i="1"/>
  <c r="AX61" i="1" s="1"/>
  <c r="AO92" i="1"/>
  <c r="AX92" i="1" s="1"/>
  <c r="AO189" i="1"/>
  <c r="AX189" i="1" s="1"/>
  <c r="AO253" i="1"/>
  <c r="AX253" i="1" s="1"/>
  <c r="AO317" i="1"/>
  <c r="AX317" i="1" s="1"/>
  <c r="AO381" i="1"/>
  <c r="AX381" i="1" s="1"/>
  <c r="AO445" i="1"/>
  <c r="AX445" i="1" s="1"/>
  <c r="AO509" i="1"/>
  <c r="AX509" i="1" s="1"/>
  <c r="AO912" i="1"/>
  <c r="AX912" i="1" s="1"/>
  <c r="AO637" i="1"/>
  <c r="AX637" i="1" s="1"/>
  <c r="AO701" i="1"/>
  <c r="AX701" i="1" s="1"/>
  <c r="AO765" i="1"/>
  <c r="AX765" i="1" s="1"/>
  <c r="AO829" i="1"/>
  <c r="AX829" i="1" s="1"/>
  <c r="AO893" i="1"/>
  <c r="AX893" i="1" s="1"/>
  <c r="AO46" i="1"/>
  <c r="AX46" i="1" s="1"/>
  <c r="AO110" i="1"/>
  <c r="AX110" i="1" s="1"/>
  <c r="AO174" i="1"/>
  <c r="AX174" i="1" s="1"/>
  <c r="AO238" i="1"/>
  <c r="AX238" i="1" s="1"/>
  <c r="AO302" i="1"/>
  <c r="AX302" i="1" s="1"/>
  <c r="AO366" i="1"/>
  <c r="AX366" i="1" s="1"/>
  <c r="AO430" i="1"/>
  <c r="AX430" i="1" s="1"/>
  <c r="AO494" i="1"/>
  <c r="AX494" i="1" s="1"/>
  <c r="AO558" i="1"/>
  <c r="AX558" i="1" s="1"/>
  <c r="AO622" i="1"/>
  <c r="AX622" i="1" s="1"/>
  <c r="AO686" i="1"/>
  <c r="AX686" i="1" s="1"/>
  <c r="AO750" i="1"/>
  <c r="AX750" i="1" s="1"/>
  <c r="AO814" i="1"/>
  <c r="AX814" i="1" s="1"/>
  <c r="AO878" i="1"/>
  <c r="AX878" i="1" s="1"/>
  <c r="AO31" i="1"/>
  <c r="AX31" i="1" s="1"/>
  <c r="AO95" i="1"/>
  <c r="AX95" i="1" s="1"/>
  <c r="AO159" i="1"/>
  <c r="AX159" i="1" s="1"/>
  <c r="AO223" i="1"/>
  <c r="AX223" i="1" s="1"/>
  <c r="AO287" i="1"/>
  <c r="AX287" i="1" s="1"/>
  <c r="AO351" i="1"/>
  <c r="AX351" i="1" s="1"/>
  <c r="AO415" i="1"/>
  <c r="AX415" i="1" s="1"/>
  <c r="AO479" i="1"/>
  <c r="AX479" i="1" s="1"/>
  <c r="AO543" i="1"/>
  <c r="AX543" i="1" s="1"/>
  <c r="AO607" i="1"/>
  <c r="AX607" i="1" s="1"/>
  <c r="AO671" i="1"/>
  <c r="AX671" i="1" s="1"/>
  <c r="AO735" i="1"/>
  <c r="AX735" i="1" s="1"/>
  <c r="AO799" i="1"/>
  <c r="AX799" i="1" s="1"/>
  <c r="AO863" i="1"/>
  <c r="AX863" i="1" s="1"/>
  <c r="AO16" i="1"/>
  <c r="AX16" i="1" s="1"/>
  <c r="AO80" i="1"/>
  <c r="AX80" i="1" s="1"/>
  <c r="AO144" i="1"/>
  <c r="AX144" i="1" s="1"/>
  <c r="AO208" i="1"/>
  <c r="AX208" i="1" s="1"/>
  <c r="AO272" i="1"/>
  <c r="AX272" i="1" s="1"/>
  <c r="AO336" i="1"/>
  <c r="AX336" i="1" s="1"/>
  <c r="AO400" i="1"/>
  <c r="AX400" i="1" s="1"/>
  <c r="AO464" i="1"/>
  <c r="AX464" i="1" s="1"/>
  <c r="AO528" i="1"/>
  <c r="AX528" i="1" s="1"/>
  <c r="AO592" i="1"/>
  <c r="AX592" i="1" s="1"/>
  <c r="AO656" i="1"/>
  <c r="AX656" i="1" s="1"/>
  <c r="AO720" i="1"/>
  <c r="AX720" i="1" s="1"/>
  <c r="AO784" i="1"/>
  <c r="AX784" i="1" s="1"/>
  <c r="AO848" i="1"/>
  <c r="AX848" i="1" s="1"/>
  <c r="AO125" i="1"/>
  <c r="AX125" i="1" s="1"/>
  <c r="AO65" i="1"/>
  <c r="AX65" i="1" s="1"/>
  <c r="AO129" i="1"/>
  <c r="AX129" i="1" s="1"/>
  <c r="AO193" i="1"/>
  <c r="AX193" i="1" s="1"/>
  <c r="AO257" i="1"/>
  <c r="AX257" i="1" s="1"/>
  <c r="AO321" i="1"/>
  <c r="AX321" i="1" s="1"/>
  <c r="AO385" i="1"/>
  <c r="AX385" i="1" s="1"/>
  <c r="AO449" i="1"/>
  <c r="AX449" i="1" s="1"/>
  <c r="AO513" i="1"/>
  <c r="AX513" i="1" s="1"/>
  <c r="AO577" i="1"/>
  <c r="AX577" i="1" s="1"/>
  <c r="AO641" i="1"/>
  <c r="AX641" i="1" s="1"/>
  <c r="AO705" i="1"/>
  <c r="AX705" i="1" s="1"/>
  <c r="AO769" i="1"/>
  <c r="AX769" i="1" s="1"/>
  <c r="AO833" i="1"/>
  <c r="AX833" i="1" s="1"/>
  <c r="AO897" i="1"/>
  <c r="AX897" i="1" s="1"/>
  <c r="AO50" i="1"/>
  <c r="AX50" i="1" s="1"/>
  <c r="AO114" i="1"/>
  <c r="AX114" i="1" s="1"/>
  <c r="AO178" i="1"/>
  <c r="AX178" i="1" s="1"/>
  <c r="AO242" i="1"/>
  <c r="AX242" i="1" s="1"/>
  <c r="AO306" i="1"/>
  <c r="AX306" i="1" s="1"/>
  <c r="AO370" i="1"/>
  <c r="AX370" i="1" s="1"/>
  <c r="AO434" i="1"/>
  <c r="AX434" i="1" s="1"/>
  <c r="AO498" i="1"/>
  <c r="AX498" i="1" s="1"/>
  <c r="AO562" i="1"/>
  <c r="AX562" i="1" s="1"/>
  <c r="AO626" i="1"/>
  <c r="AX626" i="1" s="1"/>
  <c r="AO690" i="1"/>
  <c r="AX690" i="1" s="1"/>
  <c r="AO754" i="1"/>
  <c r="AX754" i="1" s="1"/>
  <c r="AO818" i="1"/>
  <c r="AX818" i="1" s="1"/>
  <c r="AO882" i="1"/>
  <c r="AX882" i="1" s="1"/>
  <c r="AO364" i="1"/>
  <c r="AX364" i="1" s="1"/>
  <c r="AO876" i="1"/>
  <c r="AX876" i="1" s="1"/>
  <c r="AO93" i="1"/>
  <c r="AX93" i="1" s="1"/>
  <c r="AO477" i="1"/>
  <c r="AX477" i="1" s="1"/>
  <c r="AO605" i="1"/>
  <c r="AX605" i="1" s="1"/>
  <c r="AO398" i="1"/>
  <c r="AX398" i="1" s="1"/>
  <c r="AO526" i="1"/>
  <c r="AX526" i="1" s="1"/>
  <c r="AO63" i="1"/>
  <c r="AX63" i="1" s="1"/>
  <c r="AO51" i="1"/>
  <c r="AX51" i="1" s="1"/>
  <c r="AO115" i="1"/>
  <c r="AX115" i="1" s="1"/>
  <c r="AO179" i="1"/>
  <c r="AX179" i="1" s="1"/>
  <c r="AO243" i="1"/>
  <c r="AX243" i="1" s="1"/>
  <c r="AO307" i="1"/>
  <c r="AX307" i="1" s="1"/>
  <c r="AO371" i="1"/>
  <c r="AX371" i="1" s="1"/>
  <c r="AO435" i="1"/>
  <c r="AX435" i="1" s="1"/>
  <c r="AO499" i="1"/>
  <c r="AX499" i="1" s="1"/>
  <c r="AO563" i="1"/>
  <c r="AX563" i="1" s="1"/>
  <c r="AO627" i="1"/>
  <c r="AX627" i="1" s="1"/>
  <c r="AO691" i="1"/>
  <c r="AX691" i="1" s="1"/>
  <c r="AO755" i="1"/>
  <c r="AX755" i="1" s="1"/>
  <c r="AO819" i="1"/>
  <c r="AX819" i="1" s="1"/>
  <c r="AO883" i="1"/>
  <c r="AX883" i="1" s="1"/>
  <c r="AO36" i="1"/>
  <c r="AX36" i="1" s="1"/>
  <c r="AO100" i="1"/>
  <c r="AX100" i="1" s="1"/>
  <c r="AO164" i="1"/>
  <c r="AX164" i="1" s="1"/>
  <c r="AO228" i="1"/>
  <c r="AX228" i="1" s="1"/>
  <c r="AO292" i="1"/>
  <c r="AX292" i="1" s="1"/>
  <c r="AO356" i="1"/>
  <c r="AX356" i="1" s="1"/>
  <c r="AO420" i="1"/>
  <c r="AX420" i="1" s="1"/>
  <c r="AO484" i="1"/>
  <c r="AX484" i="1" s="1"/>
  <c r="AO548" i="1"/>
  <c r="AX548" i="1" s="1"/>
  <c r="AO612" i="1"/>
  <c r="AX612" i="1" s="1"/>
  <c r="AO676" i="1"/>
  <c r="AX676" i="1" s="1"/>
  <c r="AO740" i="1"/>
  <c r="AX740" i="1" s="1"/>
  <c r="AO804" i="1"/>
  <c r="AX804" i="1" s="1"/>
  <c r="AO868" i="1"/>
  <c r="AX868" i="1" s="1"/>
  <c r="AO21" i="1"/>
  <c r="AX21" i="1" s="1"/>
  <c r="AO85" i="1"/>
  <c r="AX85" i="1" s="1"/>
  <c r="AO149" i="1"/>
  <c r="AX149" i="1" s="1"/>
  <c r="AO213" i="1"/>
  <c r="AX213" i="1" s="1"/>
  <c r="AO277" i="1"/>
  <c r="AX277" i="1" s="1"/>
  <c r="AO341" i="1"/>
  <c r="AX341" i="1" s="1"/>
  <c r="AO405" i="1"/>
  <c r="AX405" i="1" s="1"/>
  <c r="AO469" i="1"/>
  <c r="AX469" i="1" s="1"/>
  <c r="AO533" i="1"/>
  <c r="AX533" i="1" s="1"/>
  <c r="AO597" i="1"/>
  <c r="AX597" i="1" s="1"/>
  <c r="AO661" i="1"/>
  <c r="AX661" i="1" s="1"/>
  <c r="AO725" i="1"/>
  <c r="AX725" i="1" s="1"/>
  <c r="AO789" i="1"/>
  <c r="AX789" i="1" s="1"/>
  <c r="AO853" i="1"/>
  <c r="AX853" i="1" s="1"/>
  <c r="AO6" i="1"/>
  <c r="AX6" i="1" s="1"/>
  <c r="AO70" i="1"/>
  <c r="AX70" i="1" s="1"/>
  <c r="AO134" i="1"/>
  <c r="AX134" i="1" s="1"/>
  <c r="AO198" i="1"/>
  <c r="AX198" i="1" s="1"/>
  <c r="AO262" i="1"/>
  <c r="AX262" i="1" s="1"/>
  <c r="AO326" i="1"/>
  <c r="AX326" i="1" s="1"/>
  <c r="AO390" i="1"/>
  <c r="AX390" i="1" s="1"/>
  <c r="AO454" i="1"/>
  <c r="AX454" i="1" s="1"/>
  <c r="AO518" i="1"/>
  <c r="AX518" i="1" s="1"/>
  <c r="AO582" i="1"/>
  <c r="AX582" i="1" s="1"/>
  <c r="AO646" i="1"/>
  <c r="AX646" i="1" s="1"/>
  <c r="AO710" i="1"/>
  <c r="AX710" i="1" s="1"/>
  <c r="AO774" i="1"/>
  <c r="AX774" i="1" s="1"/>
  <c r="AO838" i="1"/>
  <c r="AX838" i="1" s="1"/>
  <c r="AO333" i="1"/>
  <c r="AX333" i="1" s="1"/>
  <c r="AO55" i="1"/>
  <c r="AX55" i="1" s="1"/>
  <c r="AO119" i="1"/>
  <c r="AX119" i="1" s="1"/>
  <c r="AO183" i="1"/>
  <c r="AX183" i="1" s="1"/>
  <c r="AO247" i="1"/>
  <c r="AX247" i="1" s="1"/>
  <c r="AO311" i="1"/>
  <c r="AX311" i="1" s="1"/>
  <c r="AO910" i="1"/>
  <c r="AX910" i="1" s="1"/>
  <c r="AO439" i="1"/>
  <c r="AX439" i="1" s="1"/>
  <c r="AO503" i="1"/>
  <c r="AX503" i="1" s="1"/>
  <c r="AO567" i="1"/>
  <c r="AX567" i="1" s="1"/>
  <c r="AO631" i="1"/>
  <c r="AX631" i="1" s="1"/>
  <c r="AO695" i="1"/>
  <c r="AX695" i="1" s="1"/>
  <c r="AO759" i="1"/>
  <c r="AX759" i="1" s="1"/>
  <c r="AO823" i="1"/>
  <c r="AX823" i="1" s="1"/>
  <c r="AO887" i="1"/>
  <c r="AX887" i="1" s="1"/>
  <c r="AO40" i="1"/>
  <c r="AX40" i="1" s="1"/>
  <c r="AO104" i="1"/>
  <c r="AX104" i="1" s="1"/>
  <c r="AO168" i="1"/>
  <c r="AX168" i="1" s="1"/>
  <c r="AO232" i="1"/>
  <c r="AX232" i="1" s="1"/>
  <c r="AO296" i="1"/>
  <c r="AX296" i="1" s="1"/>
  <c r="AO360" i="1"/>
  <c r="AX360" i="1" s="1"/>
  <c r="AO424" i="1"/>
  <c r="AX424" i="1" s="1"/>
  <c r="AO488" i="1"/>
  <c r="AX488" i="1" s="1"/>
  <c r="AO552" i="1"/>
  <c r="AX552" i="1" s="1"/>
  <c r="AO616" i="1"/>
  <c r="AX616" i="1" s="1"/>
  <c r="AO680" i="1"/>
  <c r="AX680" i="1" s="1"/>
  <c r="AO744" i="1"/>
  <c r="AX744" i="1" s="1"/>
  <c r="AO808" i="1"/>
  <c r="AX808" i="1" s="1"/>
  <c r="AO872" i="1"/>
  <c r="AX872" i="1" s="1"/>
  <c r="AO25" i="1"/>
  <c r="AX25" i="1" s="1"/>
  <c r="AO89" i="1"/>
  <c r="AX89" i="1" s="1"/>
  <c r="AO153" i="1"/>
  <c r="AX153" i="1" s="1"/>
  <c r="AO217" i="1"/>
  <c r="AX217" i="1" s="1"/>
  <c r="AO281" i="1"/>
  <c r="AX281" i="1" s="1"/>
  <c r="AO345" i="1"/>
  <c r="AX345" i="1" s="1"/>
  <c r="AO409" i="1"/>
  <c r="AX409" i="1" s="1"/>
  <c r="AO473" i="1"/>
  <c r="AX473" i="1" s="1"/>
  <c r="AO537" i="1"/>
  <c r="AX537" i="1" s="1"/>
  <c r="AO601" i="1"/>
  <c r="AX601" i="1" s="1"/>
  <c r="AO665" i="1"/>
  <c r="AX665" i="1" s="1"/>
  <c r="AO729" i="1"/>
  <c r="AX729" i="1" s="1"/>
  <c r="AO793" i="1"/>
  <c r="AX793" i="1" s="1"/>
  <c r="AO857" i="1"/>
  <c r="AX857" i="1" s="1"/>
  <c r="AO10" i="1"/>
  <c r="AX10" i="1" s="1"/>
  <c r="AO74" i="1"/>
  <c r="AX74" i="1" s="1"/>
  <c r="AO138" i="1"/>
  <c r="AX138" i="1" s="1"/>
  <c r="AO202" i="1"/>
  <c r="AX202" i="1" s="1"/>
  <c r="AO266" i="1"/>
  <c r="AX266" i="1" s="1"/>
  <c r="AO330" i="1"/>
  <c r="AX330" i="1" s="1"/>
  <c r="AO394" i="1"/>
  <c r="AX394" i="1" s="1"/>
  <c r="AO458" i="1"/>
  <c r="AX458" i="1" s="1"/>
  <c r="AO522" i="1"/>
  <c r="AX522" i="1" s="1"/>
  <c r="AO586" i="1"/>
  <c r="AX586" i="1" s="1"/>
  <c r="AO650" i="1"/>
  <c r="AX650" i="1" s="1"/>
  <c r="AO714" i="1"/>
  <c r="AX714" i="1" s="1"/>
  <c r="AO778" i="1"/>
  <c r="AX778" i="1" s="1"/>
  <c r="AO842" i="1"/>
  <c r="AX842" i="1" s="1"/>
  <c r="AO907" i="1"/>
  <c r="AX907" i="1" s="1"/>
  <c r="AO699" i="1"/>
  <c r="AX699" i="1" s="1"/>
  <c r="AO827" i="1"/>
  <c r="AX827" i="1" s="1"/>
  <c r="AO891" i="1"/>
  <c r="AX891" i="1" s="1"/>
  <c r="AO44" i="1"/>
  <c r="AX44" i="1" s="1"/>
  <c r="AO108" i="1"/>
  <c r="AX108" i="1" s="1"/>
  <c r="AO428" i="1"/>
  <c r="AX428" i="1" s="1"/>
  <c r="AO620" i="1"/>
  <c r="AX620" i="1" s="1"/>
  <c r="AO684" i="1"/>
  <c r="AX684" i="1" s="1"/>
  <c r="AO748" i="1"/>
  <c r="AX748" i="1" s="1"/>
  <c r="AO285" i="1"/>
  <c r="AX285" i="1" s="1"/>
  <c r="AO541" i="1"/>
  <c r="AX541" i="1" s="1"/>
  <c r="AO797" i="1"/>
  <c r="AX797" i="1" s="1"/>
  <c r="AO14" i="1"/>
  <c r="AX14" i="1" s="1"/>
  <c r="AO270" i="1"/>
  <c r="AX270" i="1" s="1"/>
  <c r="AO462" i="1"/>
  <c r="AX462" i="1" s="1"/>
  <c r="AO172" i="1"/>
  <c r="AX172" i="1" s="1"/>
  <c r="AO240" i="1"/>
  <c r="AX240" i="1" s="1"/>
  <c r="AO304" i="1"/>
  <c r="AX304" i="1" s="1"/>
  <c r="AO368" i="1"/>
  <c r="AX368" i="1" s="1"/>
  <c r="AO816" i="1"/>
  <c r="AX816" i="1" s="1"/>
  <c r="AO11" i="1"/>
  <c r="AX11" i="1" s="1"/>
  <c r="AO75" i="1"/>
  <c r="AX75" i="1" s="1"/>
  <c r="AO139" i="1"/>
  <c r="AX139" i="1" s="1"/>
  <c r="AO203" i="1"/>
  <c r="AX203" i="1" s="1"/>
  <c r="AO267" i="1"/>
  <c r="AX267" i="1" s="1"/>
  <c r="AO331" i="1"/>
  <c r="AX331" i="1" s="1"/>
  <c r="AO395" i="1"/>
  <c r="AX395" i="1" s="1"/>
  <c r="AO459" i="1"/>
  <c r="AX459" i="1" s="1"/>
  <c r="AO523" i="1"/>
  <c r="AX523" i="1" s="1"/>
  <c r="AO587" i="1"/>
  <c r="AX587" i="1" s="1"/>
  <c r="AO651" i="1"/>
  <c r="AX651" i="1" s="1"/>
  <c r="AO715" i="1"/>
  <c r="AX715" i="1" s="1"/>
  <c r="AO779" i="1"/>
  <c r="AX779" i="1" s="1"/>
  <c r="AO843" i="1"/>
  <c r="AX843" i="1" s="1"/>
  <c r="AO903" i="1"/>
  <c r="AX903" i="1" s="1"/>
  <c r="AO60" i="1"/>
  <c r="AX60" i="1" s="1"/>
  <c r="AO124" i="1"/>
  <c r="AX124" i="1" s="1"/>
  <c r="AO188" i="1"/>
  <c r="AX188" i="1" s="1"/>
  <c r="AO252" i="1"/>
  <c r="AX252" i="1" s="1"/>
  <c r="AO906" i="1"/>
  <c r="AX906" i="1" s="1"/>
  <c r="AO380" i="1"/>
  <c r="AX380" i="1" s="1"/>
  <c r="AO444" i="1"/>
  <c r="AX444" i="1" s="1"/>
  <c r="AO508" i="1"/>
  <c r="AX508" i="1" s="1"/>
  <c r="AO572" i="1"/>
  <c r="AX572" i="1" s="1"/>
  <c r="AO636" i="1"/>
  <c r="AX636" i="1" s="1"/>
  <c r="AO700" i="1"/>
  <c r="AX700" i="1" s="1"/>
  <c r="AO764" i="1"/>
  <c r="AX764" i="1" s="1"/>
  <c r="AO828" i="1"/>
  <c r="AX828" i="1" s="1"/>
  <c r="AO892" i="1"/>
  <c r="AX892" i="1" s="1"/>
  <c r="AO45" i="1"/>
  <c r="AX45" i="1" s="1"/>
  <c r="AO109" i="1"/>
  <c r="AX109" i="1" s="1"/>
  <c r="AO173" i="1"/>
  <c r="AX173" i="1" s="1"/>
  <c r="AO237" i="1"/>
  <c r="AX237" i="1" s="1"/>
  <c r="AO301" i="1"/>
  <c r="AX301" i="1" s="1"/>
  <c r="AO365" i="1"/>
  <c r="AX365" i="1" s="1"/>
  <c r="AO429" i="1"/>
  <c r="AX429" i="1" s="1"/>
  <c r="AO493" i="1"/>
  <c r="AX493" i="1" s="1"/>
  <c r="AO557" i="1"/>
  <c r="AX557" i="1" s="1"/>
  <c r="AO621" i="1"/>
  <c r="AX621" i="1" s="1"/>
  <c r="AO685" i="1"/>
  <c r="AX685" i="1" s="1"/>
  <c r="AO749" i="1"/>
  <c r="AX749" i="1" s="1"/>
  <c r="AO813" i="1"/>
  <c r="AX813" i="1" s="1"/>
  <c r="AO877" i="1"/>
  <c r="AX877" i="1" s="1"/>
  <c r="AO30" i="1"/>
  <c r="AX30" i="1" s="1"/>
  <c r="AO94" i="1"/>
  <c r="AX94" i="1" s="1"/>
  <c r="AO158" i="1"/>
  <c r="AX158" i="1" s="1"/>
  <c r="AO222" i="1"/>
  <c r="AX222" i="1" s="1"/>
  <c r="AO286" i="1"/>
  <c r="AX286" i="1" s="1"/>
  <c r="AO350" i="1"/>
  <c r="AX350" i="1" s="1"/>
  <c r="AO414" i="1"/>
  <c r="AX414" i="1" s="1"/>
  <c r="AO478" i="1"/>
  <c r="AX478" i="1" s="1"/>
  <c r="AO542" i="1"/>
  <c r="AX542" i="1" s="1"/>
  <c r="AO606" i="1"/>
  <c r="AX606" i="1" s="1"/>
  <c r="AO670" i="1"/>
  <c r="AX670" i="1" s="1"/>
  <c r="AO734" i="1"/>
  <c r="AX734" i="1" s="1"/>
  <c r="AO798" i="1"/>
  <c r="AX798" i="1" s="1"/>
  <c r="AO862" i="1"/>
  <c r="AX862" i="1" s="1"/>
  <c r="AO15" i="1"/>
  <c r="AX15" i="1" s="1"/>
  <c r="AO79" i="1"/>
  <c r="AX79" i="1" s="1"/>
  <c r="AO143" i="1"/>
  <c r="AX143" i="1" s="1"/>
  <c r="AO207" i="1"/>
  <c r="AX207" i="1" s="1"/>
  <c r="AO271" i="1"/>
  <c r="AX271" i="1" s="1"/>
  <c r="AO335" i="1"/>
  <c r="AX335" i="1" s="1"/>
  <c r="AO399" i="1"/>
  <c r="AX399" i="1" s="1"/>
  <c r="AO463" i="1"/>
  <c r="AX463" i="1" s="1"/>
  <c r="AO527" i="1"/>
  <c r="AX527" i="1" s="1"/>
  <c r="AO591" i="1"/>
  <c r="AX591" i="1" s="1"/>
  <c r="AO655" i="1"/>
  <c r="AX655" i="1" s="1"/>
  <c r="AO719" i="1"/>
  <c r="AX719" i="1" s="1"/>
  <c r="AO783" i="1"/>
  <c r="AX783" i="1" s="1"/>
  <c r="AO847" i="1"/>
  <c r="AX847" i="1" s="1"/>
  <c r="AO274" i="1"/>
  <c r="AX274" i="1" s="1"/>
  <c r="AO64" i="1"/>
  <c r="AX64" i="1" s="1"/>
  <c r="AO128" i="1"/>
  <c r="AX128" i="1" s="1"/>
  <c r="AO192" i="1"/>
  <c r="AX192" i="1" s="1"/>
  <c r="AO256" i="1"/>
  <c r="AX256" i="1" s="1"/>
  <c r="AO320" i="1"/>
  <c r="AX320" i="1" s="1"/>
  <c r="AO384" i="1"/>
  <c r="AX384" i="1" s="1"/>
  <c r="AO448" i="1"/>
  <c r="AX448" i="1" s="1"/>
  <c r="AO512" i="1"/>
  <c r="AX512" i="1" s="1"/>
  <c r="AO576" i="1"/>
  <c r="AX576" i="1" s="1"/>
  <c r="AO640" i="1"/>
  <c r="AX640" i="1" s="1"/>
  <c r="AO704" i="1"/>
  <c r="AX704" i="1" s="1"/>
  <c r="AO768" i="1"/>
  <c r="AX768" i="1" s="1"/>
  <c r="AO832" i="1"/>
  <c r="AX832" i="1" s="1"/>
  <c r="AO896" i="1"/>
  <c r="AX896" i="1" s="1"/>
  <c r="AO49" i="1"/>
  <c r="AX49" i="1" s="1"/>
  <c r="AO113" i="1"/>
  <c r="AX113" i="1" s="1"/>
  <c r="AO177" i="1"/>
  <c r="AX177" i="1" s="1"/>
  <c r="AO241" i="1"/>
  <c r="AX241" i="1" s="1"/>
  <c r="AO305" i="1"/>
  <c r="AX305" i="1" s="1"/>
  <c r="AO369" i="1"/>
  <c r="AX369" i="1" s="1"/>
  <c r="AO433" i="1"/>
  <c r="AX433" i="1" s="1"/>
  <c r="AO497" i="1"/>
  <c r="AX497" i="1" s="1"/>
  <c r="AO561" i="1"/>
  <c r="AX561" i="1" s="1"/>
  <c r="AO625" i="1"/>
  <c r="AX625" i="1" s="1"/>
  <c r="AO689" i="1"/>
  <c r="AX689" i="1" s="1"/>
  <c r="AO753" i="1"/>
  <c r="AX753" i="1" s="1"/>
  <c r="AO817" i="1"/>
  <c r="AX817" i="1" s="1"/>
  <c r="AO881" i="1"/>
  <c r="AX881" i="1" s="1"/>
  <c r="AO34" i="1"/>
  <c r="AX34" i="1" s="1"/>
  <c r="AO98" i="1"/>
  <c r="AX98" i="1" s="1"/>
  <c r="AO162" i="1"/>
  <c r="AX162" i="1" s="1"/>
  <c r="AO904" i="1"/>
  <c r="AX904" i="1" s="1"/>
  <c r="AO290" i="1"/>
  <c r="AX290" i="1" s="1"/>
  <c r="AO354" i="1"/>
  <c r="AX354" i="1" s="1"/>
  <c r="AO418" i="1"/>
  <c r="AX418" i="1" s="1"/>
  <c r="AO482" i="1"/>
  <c r="AX482" i="1" s="1"/>
  <c r="AO546" i="1"/>
  <c r="AX546" i="1" s="1"/>
  <c r="AO610" i="1"/>
  <c r="AX610" i="1" s="1"/>
  <c r="AO674" i="1"/>
  <c r="AX674" i="1" s="1"/>
  <c r="AO738" i="1"/>
  <c r="AX738" i="1" s="1"/>
  <c r="AO802" i="1"/>
  <c r="AX802" i="1" s="1"/>
  <c r="AO866" i="1"/>
  <c r="AX866" i="1" s="1"/>
  <c r="AO176" i="1"/>
  <c r="AX176" i="1" s="1"/>
  <c r="AO35" i="1"/>
  <c r="AX35" i="1" s="1"/>
  <c r="AO99" i="1"/>
  <c r="AX99" i="1" s="1"/>
  <c r="AO163" i="1"/>
  <c r="AX163" i="1" s="1"/>
  <c r="AO227" i="1"/>
  <c r="AX227" i="1" s="1"/>
  <c r="AO291" i="1"/>
  <c r="AX291" i="1" s="1"/>
  <c r="AO355" i="1"/>
  <c r="AX355" i="1" s="1"/>
  <c r="AO419" i="1"/>
  <c r="AX419" i="1" s="1"/>
  <c r="AO483" i="1"/>
  <c r="AX483" i="1" s="1"/>
  <c r="AO547" i="1"/>
  <c r="AX547" i="1" s="1"/>
  <c r="AO611" i="1"/>
  <c r="AX611" i="1" s="1"/>
  <c r="AO675" i="1"/>
  <c r="AX675" i="1" s="1"/>
  <c r="AO739" i="1"/>
  <c r="AX739" i="1" s="1"/>
  <c r="AO803" i="1"/>
  <c r="AX803" i="1" s="1"/>
  <c r="AO867" i="1"/>
  <c r="AX867" i="1" s="1"/>
  <c r="AO20" i="1"/>
  <c r="AX20" i="1" s="1"/>
  <c r="AO84" i="1"/>
  <c r="AX84" i="1" s="1"/>
  <c r="AO148" i="1"/>
  <c r="AX148" i="1" s="1"/>
  <c r="AO212" i="1"/>
  <c r="AX212" i="1" s="1"/>
  <c r="AO276" i="1"/>
  <c r="AX276" i="1" s="1"/>
  <c r="AO340" i="1"/>
  <c r="AX340" i="1" s="1"/>
  <c r="AO404" i="1"/>
  <c r="AX404" i="1" s="1"/>
  <c r="AO468" i="1"/>
  <c r="AX468" i="1" s="1"/>
  <c r="AO532" i="1"/>
  <c r="AX532" i="1" s="1"/>
  <c r="AO596" i="1"/>
  <c r="AX596" i="1" s="1"/>
  <c r="AO660" i="1"/>
  <c r="AX660" i="1" s="1"/>
  <c r="AO724" i="1"/>
  <c r="AX724" i="1" s="1"/>
  <c r="AO788" i="1"/>
  <c r="AX788" i="1" s="1"/>
  <c r="AO852" i="1"/>
  <c r="AX852" i="1" s="1"/>
  <c r="AO5" i="1"/>
  <c r="AX5" i="1" s="1"/>
  <c r="AO69" i="1"/>
  <c r="AX69" i="1" s="1"/>
  <c r="AO133" i="1"/>
  <c r="AX133" i="1" s="1"/>
  <c r="AO197" i="1"/>
  <c r="AX197" i="1" s="1"/>
  <c r="AO261" i="1"/>
  <c r="AX261" i="1" s="1"/>
  <c r="AO325" i="1"/>
  <c r="AX325" i="1" s="1"/>
  <c r="AO389" i="1"/>
  <c r="AX389" i="1" s="1"/>
  <c r="AO453" i="1"/>
  <c r="AX453" i="1" s="1"/>
  <c r="AO517" i="1"/>
  <c r="AX517" i="1" s="1"/>
  <c r="AO581" i="1"/>
  <c r="AX581" i="1" s="1"/>
  <c r="AO645" i="1"/>
  <c r="AX645" i="1" s="1"/>
  <c r="AO709" i="1"/>
  <c r="AX709" i="1" s="1"/>
  <c r="AO773" i="1"/>
  <c r="AX773" i="1" s="1"/>
  <c r="AO837" i="1"/>
  <c r="AX837" i="1" s="1"/>
  <c r="AO901" i="1"/>
  <c r="AX901" i="1" s="1"/>
  <c r="AO54" i="1"/>
  <c r="AX54" i="1" s="1"/>
  <c r="AO118" i="1"/>
  <c r="AX118" i="1" s="1"/>
  <c r="AO182" i="1"/>
  <c r="AX182" i="1" s="1"/>
  <c r="AO246" i="1"/>
  <c r="AX246" i="1" s="1"/>
  <c r="AO310" i="1"/>
  <c r="AX310" i="1" s="1"/>
  <c r="AO374" i="1"/>
  <c r="AX374" i="1" s="1"/>
  <c r="AO438" i="1"/>
  <c r="AX438" i="1" s="1"/>
  <c r="AO502" i="1"/>
  <c r="AX502" i="1" s="1"/>
  <c r="AO566" i="1"/>
  <c r="AX566" i="1" s="1"/>
  <c r="AO630" i="1"/>
  <c r="AX630" i="1" s="1"/>
  <c r="AO694" i="1"/>
  <c r="AX694" i="1" s="1"/>
  <c r="AO758" i="1"/>
  <c r="AX758" i="1" s="1"/>
  <c r="AO822" i="1"/>
  <c r="AX822" i="1" s="1"/>
  <c r="AO886" i="1"/>
  <c r="AX886" i="1" s="1"/>
  <c r="AO39" i="1"/>
  <c r="AX39" i="1" s="1"/>
  <c r="AO103" i="1"/>
  <c r="AX103" i="1" s="1"/>
  <c r="AO167" i="1"/>
  <c r="AX167" i="1" s="1"/>
  <c r="AO231" i="1"/>
  <c r="AX231" i="1" s="1"/>
  <c r="AO295" i="1"/>
  <c r="AX295" i="1" s="1"/>
  <c r="AO359" i="1"/>
  <c r="AX359" i="1" s="1"/>
  <c r="AO423" i="1"/>
  <c r="AX423" i="1" s="1"/>
  <c r="AO487" i="1"/>
  <c r="AX487" i="1" s="1"/>
  <c r="AO551" i="1"/>
  <c r="AX551" i="1" s="1"/>
  <c r="AO615" i="1"/>
  <c r="AX615" i="1" s="1"/>
  <c r="AO679" i="1"/>
  <c r="AX679" i="1" s="1"/>
  <c r="AO743" i="1"/>
  <c r="AX743" i="1" s="1"/>
  <c r="AO807" i="1"/>
  <c r="AX807" i="1" s="1"/>
  <c r="AO871" i="1"/>
  <c r="AX871" i="1" s="1"/>
  <c r="AO24" i="1"/>
  <c r="AX24" i="1" s="1"/>
  <c r="AO88" i="1"/>
  <c r="AX88" i="1" s="1"/>
  <c r="AO152" i="1"/>
  <c r="AX152" i="1" s="1"/>
  <c r="AO216" i="1"/>
  <c r="AX216" i="1" s="1"/>
  <c r="AO280" i="1"/>
  <c r="AX280" i="1" s="1"/>
  <c r="AO344" i="1"/>
  <c r="AX344" i="1" s="1"/>
  <c r="AO408" i="1"/>
  <c r="AX408" i="1" s="1"/>
  <c r="AO472" i="1"/>
  <c r="AX472" i="1" s="1"/>
  <c r="AO536" i="1"/>
  <c r="AX536" i="1" s="1"/>
  <c r="AO600" i="1"/>
  <c r="AX600" i="1" s="1"/>
  <c r="AO664" i="1"/>
  <c r="AX664" i="1" s="1"/>
  <c r="AO728" i="1"/>
  <c r="AX728" i="1" s="1"/>
  <c r="AO792" i="1"/>
  <c r="AX792" i="1" s="1"/>
  <c r="AO856" i="1"/>
  <c r="AX856" i="1" s="1"/>
  <c r="AO9" i="1"/>
  <c r="AX9" i="1" s="1"/>
  <c r="AO73" i="1"/>
  <c r="AX73" i="1" s="1"/>
  <c r="AO137" i="1"/>
  <c r="AX137" i="1" s="1"/>
  <c r="AO201" i="1"/>
  <c r="AX201" i="1" s="1"/>
  <c r="AO265" i="1"/>
  <c r="AX265" i="1" s="1"/>
  <c r="AO329" i="1"/>
  <c r="AX329" i="1" s="1"/>
  <c r="AO393" i="1"/>
  <c r="AX393" i="1" s="1"/>
  <c r="AO457" i="1"/>
  <c r="AX457" i="1" s="1"/>
  <c r="AO521" i="1"/>
  <c r="AX521" i="1" s="1"/>
  <c r="AO585" i="1"/>
  <c r="AX585" i="1" s="1"/>
  <c r="AO649" i="1"/>
  <c r="AX649" i="1" s="1"/>
  <c r="AO713" i="1"/>
  <c r="AX713" i="1" s="1"/>
  <c r="AO777" i="1"/>
  <c r="AX777" i="1" s="1"/>
  <c r="AO841" i="1"/>
  <c r="AX841" i="1" s="1"/>
  <c r="AO905" i="1"/>
  <c r="AX905" i="1" s="1"/>
  <c r="AO58" i="1"/>
  <c r="AX58" i="1" s="1"/>
  <c r="AO122" i="1"/>
  <c r="AX122" i="1" s="1"/>
  <c r="AO186" i="1"/>
  <c r="AX186" i="1" s="1"/>
  <c r="AO250" i="1"/>
  <c r="AX250" i="1" s="1"/>
  <c r="AO314" i="1"/>
  <c r="AX314" i="1" s="1"/>
  <c r="AO378" i="1"/>
  <c r="AX378" i="1" s="1"/>
  <c r="AO442" i="1"/>
  <c r="AX442" i="1" s="1"/>
  <c r="AO506" i="1"/>
  <c r="AX506" i="1" s="1"/>
  <c r="AO570" i="1"/>
  <c r="AX570" i="1" s="1"/>
  <c r="AO634" i="1"/>
  <c r="AX634" i="1" s="1"/>
  <c r="AO698" i="1"/>
  <c r="AX698" i="1" s="1"/>
  <c r="AO762" i="1"/>
  <c r="AX762" i="1" s="1"/>
  <c r="AO826" i="1"/>
  <c r="AX826" i="1" s="1"/>
  <c r="AO890" i="1"/>
  <c r="AX890" i="1" s="1"/>
  <c r="AO880" i="1"/>
  <c r="AX880" i="1" s="1"/>
  <c r="AO33" i="1"/>
  <c r="AX33" i="1" s="1"/>
  <c r="AO97" i="1"/>
  <c r="AX97" i="1" s="1"/>
  <c r="AO161" i="1"/>
  <c r="AX161" i="1" s="1"/>
  <c r="AO225" i="1"/>
  <c r="AX225" i="1" s="1"/>
  <c r="AO289" i="1"/>
  <c r="AX289" i="1" s="1"/>
  <c r="AO353" i="1"/>
  <c r="AX353" i="1" s="1"/>
  <c r="AO417" i="1"/>
  <c r="AX417" i="1" s="1"/>
  <c r="AO481" i="1"/>
  <c r="AX481" i="1" s="1"/>
  <c r="AO545" i="1"/>
  <c r="AX545" i="1" s="1"/>
  <c r="AO609" i="1"/>
  <c r="AX609" i="1" s="1"/>
  <c r="AO673" i="1"/>
  <c r="AX673" i="1" s="1"/>
  <c r="AO737" i="1"/>
  <c r="AX737" i="1" s="1"/>
  <c r="AO801" i="1"/>
  <c r="AX801" i="1" s="1"/>
  <c r="AO865" i="1"/>
  <c r="AX865" i="1" s="1"/>
  <c r="AO18" i="1"/>
  <c r="AX18" i="1" s="1"/>
  <c r="AO82" i="1"/>
  <c r="AX82" i="1" s="1"/>
  <c r="AO146" i="1"/>
  <c r="AX146" i="1" s="1"/>
  <c r="AO210" i="1"/>
  <c r="AX210" i="1" s="1"/>
  <c r="AO226" i="1"/>
  <c r="AX226" i="1" s="1"/>
  <c r="AO338" i="1"/>
  <c r="AX338" i="1" s="1"/>
  <c r="AO402" i="1"/>
  <c r="AX402" i="1" s="1"/>
  <c r="AO466" i="1"/>
  <c r="AX466" i="1" s="1"/>
  <c r="AO530" i="1"/>
  <c r="AX530" i="1" s="1"/>
  <c r="AO594" i="1"/>
  <c r="AX594" i="1" s="1"/>
  <c r="AO658" i="1"/>
  <c r="AX658" i="1" s="1"/>
  <c r="AO722" i="1"/>
  <c r="AX722" i="1" s="1"/>
  <c r="AO786" i="1"/>
  <c r="AX786" i="1" s="1"/>
  <c r="AO850" i="1"/>
  <c r="AX850" i="1" s="1"/>
  <c r="AO2" i="1"/>
  <c r="AX2" i="1" s="1"/>
  <c r="AO251" i="1"/>
  <c r="AX251" i="1" s="1"/>
  <c r="AO379" i="1"/>
  <c r="AX379" i="1" s="1"/>
  <c r="AO902" i="1"/>
  <c r="AX902" i="1" s="1"/>
  <c r="AO556" i="1"/>
  <c r="AX556" i="1" s="1"/>
  <c r="AO812" i="1"/>
  <c r="AX812" i="1" s="1"/>
  <c r="AO29" i="1"/>
  <c r="AX29" i="1" s="1"/>
  <c r="AO669" i="1"/>
  <c r="AX669" i="1" s="1"/>
  <c r="AO733" i="1"/>
  <c r="AX733" i="1" s="1"/>
  <c r="AO142" i="1"/>
  <c r="AX142" i="1" s="1"/>
  <c r="AO590" i="1"/>
  <c r="AX590" i="1" s="1"/>
  <c r="AO654" i="1"/>
  <c r="AX654" i="1" s="1"/>
  <c r="AO191" i="1"/>
  <c r="AX191" i="1" s="1"/>
  <c r="AO447" i="1"/>
  <c r="AX447" i="1" s="1"/>
  <c r="AO511" i="1"/>
  <c r="AX511" i="1" s="1"/>
  <c r="AO639" i="1"/>
  <c r="AX639" i="1" s="1"/>
  <c r="AO767" i="1"/>
  <c r="AX767" i="1" s="1"/>
  <c r="AO831" i="1"/>
  <c r="AX831" i="1" s="1"/>
  <c r="AO895" i="1"/>
  <c r="AX895" i="1" s="1"/>
  <c r="AO112" i="1"/>
  <c r="AX112" i="1" s="1"/>
  <c r="AO624" i="1"/>
  <c r="AX624" i="1" s="1"/>
  <c r="AO19" i="1"/>
  <c r="AX19" i="1" s="1"/>
  <c r="AO83" i="1"/>
  <c r="AX83" i="1" s="1"/>
  <c r="AO147" i="1"/>
  <c r="AX147" i="1" s="1"/>
  <c r="AO211" i="1"/>
  <c r="AX211" i="1" s="1"/>
  <c r="AO275" i="1"/>
  <c r="AX275" i="1" s="1"/>
  <c r="AO339" i="1"/>
  <c r="AX339" i="1" s="1"/>
  <c r="AO403" i="1"/>
  <c r="AX403" i="1" s="1"/>
  <c r="AO467" i="1"/>
  <c r="AX467" i="1" s="1"/>
  <c r="AO531" i="1"/>
  <c r="AX531" i="1" s="1"/>
  <c r="AO595" i="1"/>
  <c r="AX595" i="1" s="1"/>
  <c r="AO659" i="1"/>
  <c r="AX659" i="1" s="1"/>
  <c r="AO723" i="1"/>
  <c r="AX723" i="1" s="1"/>
  <c r="AO787" i="1"/>
  <c r="AX787" i="1" s="1"/>
  <c r="AO851" i="1"/>
  <c r="AX851" i="1" s="1"/>
  <c r="AO4" i="1"/>
  <c r="AX4" i="1" s="1"/>
  <c r="AO68" i="1"/>
  <c r="AX68" i="1" s="1"/>
  <c r="AO132" i="1"/>
  <c r="AX132" i="1" s="1"/>
  <c r="AO196" i="1"/>
  <c r="AX196" i="1" s="1"/>
  <c r="AO260" i="1"/>
  <c r="AX260" i="1" s="1"/>
  <c r="AO324" i="1"/>
  <c r="AX324" i="1" s="1"/>
  <c r="AO388" i="1"/>
  <c r="AX388" i="1" s="1"/>
  <c r="AO452" i="1"/>
  <c r="AX452" i="1" s="1"/>
  <c r="AO516" i="1"/>
  <c r="AX516" i="1" s="1"/>
  <c r="AO580" i="1"/>
  <c r="AX580" i="1" s="1"/>
  <c r="AO644" i="1"/>
  <c r="AX644" i="1" s="1"/>
  <c r="AO708" i="1"/>
  <c r="AX708" i="1" s="1"/>
  <c r="AO772" i="1"/>
  <c r="AX772" i="1" s="1"/>
  <c r="AO836" i="1"/>
  <c r="AX836" i="1" s="1"/>
  <c r="AO900" i="1"/>
  <c r="AX900" i="1" s="1"/>
  <c r="AO53" i="1"/>
  <c r="AX53" i="1" s="1"/>
  <c r="AO117" i="1"/>
  <c r="AX117" i="1" s="1"/>
  <c r="AO181" i="1"/>
  <c r="AX181" i="1" s="1"/>
  <c r="AO245" i="1"/>
  <c r="AX245" i="1" s="1"/>
  <c r="AO309" i="1"/>
  <c r="AX309" i="1" s="1"/>
  <c r="AO373" i="1"/>
  <c r="AX373" i="1" s="1"/>
  <c r="AO437" i="1"/>
  <c r="AX437" i="1" s="1"/>
  <c r="AO501" i="1"/>
  <c r="AX501" i="1" s="1"/>
  <c r="AO565" i="1"/>
  <c r="AX565" i="1" s="1"/>
  <c r="AO629" i="1"/>
  <c r="AX629" i="1" s="1"/>
  <c r="AO693" i="1"/>
  <c r="AX693" i="1" s="1"/>
  <c r="AO757" i="1"/>
  <c r="AX757" i="1" s="1"/>
  <c r="AO821" i="1"/>
  <c r="AX821" i="1" s="1"/>
  <c r="AO885" i="1"/>
  <c r="AX885" i="1" s="1"/>
  <c r="AO38" i="1"/>
  <c r="AX38" i="1" s="1"/>
  <c r="AO102" i="1"/>
  <c r="AX102" i="1" s="1"/>
  <c r="AO166" i="1"/>
  <c r="AX166" i="1" s="1"/>
  <c r="AO230" i="1"/>
  <c r="AX230" i="1" s="1"/>
  <c r="AO294" i="1"/>
  <c r="AX294" i="1" s="1"/>
  <c r="AO358" i="1"/>
  <c r="AX358" i="1" s="1"/>
  <c r="AO422" i="1"/>
  <c r="AX422" i="1" s="1"/>
  <c r="AO486" i="1"/>
  <c r="AX486" i="1" s="1"/>
  <c r="AO550" i="1"/>
  <c r="AX550" i="1" s="1"/>
  <c r="AO614" i="1"/>
  <c r="AX614" i="1" s="1"/>
  <c r="AO678" i="1"/>
  <c r="AX678" i="1" s="1"/>
  <c r="AO742" i="1"/>
  <c r="AX742" i="1" s="1"/>
  <c r="AO806" i="1"/>
  <c r="AX806" i="1" s="1"/>
  <c r="AO870" i="1"/>
  <c r="AX870" i="1" s="1"/>
  <c r="AO23" i="1"/>
  <c r="AX23" i="1" s="1"/>
  <c r="AO87" i="1"/>
  <c r="AX87" i="1" s="1"/>
  <c r="AO151" i="1"/>
  <c r="AX151" i="1" s="1"/>
  <c r="AO215" i="1"/>
  <c r="AX215" i="1" s="1"/>
  <c r="AO279" i="1"/>
  <c r="AX279" i="1" s="1"/>
  <c r="AO343" i="1"/>
  <c r="AX343" i="1" s="1"/>
  <c r="AO407" i="1"/>
  <c r="AX407" i="1" s="1"/>
  <c r="AO471" i="1"/>
  <c r="AX471" i="1" s="1"/>
  <c r="AO535" i="1"/>
  <c r="AX535" i="1" s="1"/>
  <c r="AO599" i="1"/>
  <c r="AX599" i="1" s="1"/>
  <c r="AO663" i="1"/>
  <c r="AX663" i="1" s="1"/>
  <c r="AO727" i="1"/>
  <c r="AX727" i="1" s="1"/>
  <c r="AO791" i="1"/>
  <c r="AX791" i="1" s="1"/>
  <c r="AO855" i="1"/>
  <c r="AX855" i="1" s="1"/>
  <c r="AO8" i="1"/>
  <c r="AX8" i="1" s="1"/>
  <c r="AO72" i="1"/>
  <c r="AX72" i="1" s="1"/>
  <c r="AO136" i="1"/>
  <c r="AX136" i="1" s="1"/>
  <c r="AO200" i="1"/>
  <c r="AX200" i="1" s="1"/>
  <c r="AO264" i="1"/>
  <c r="AX264" i="1" s="1"/>
  <c r="AO328" i="1"/>
  <c r="AX328" i="1" s="1"/>
  <c r="AO392" i="1"/>
  <c r="AX392" i="1" s="1"/>
  <c r="AO456" i="1"/>
  <c r="AX456" i="1" s="1"/>
  <c r="AO520" i="1"/>
  <c r="AX520" i="1" s="1"/>
  <c r="AO584" i="1"/>
  <c r="AX584" i="1" s="1"/>
  <c r="AO648" i="1"/>
  <c r="AX648" i="1" s="1"/>
  <c r="AO712" i="1"/>
  <c r="AX712" i="1" s="1"/>
  <c r="AO776" i="1"/>
  <c r="AX776" i="1" s="1"/>
  <c r="AO840" i="1"/>
  <c r="AX840" i="1" s="1"/>
  <c r="AO911" i="1"/>
  <c r="AX911" i="1" s="1"/>
  <c r="AO57" i="1"/>
  <c r="AX57" i="1" s="1"/>
  <c r="AO121" i="1"/>
  <c r="AX121" i="1" s="1"/>
  <c r="AO185" i="1"/>
  <c r="AX185" i="1" s="1"/>
  <c r="AO249" i="1"/>
  <c r="AX249" i="1" s="1"/>
  <c r="AO313" i="1"/>
  <c r="AX313" i="1" s="1"/>
  <c r="AO377" i="1"/>
  <c r="AX377" i="1" s="1"/>
  <c r="AO441" i="1"/>
  <c r="AX441" i="1" s="1"/>
  <c r="AO505" i="1"/>
  <c r="AX505" i="1" s="1"/>
  <c r="AO569" i="1"/>
  <c r="AX569" i="1" s="1"/>
  <c r="AO633" i="1"/>
  <c r="AX633" i="1" s="1"/>
  <c r="AO697" i="1"/>
  <c r="AX697" i="1" s="1"/>
  <c r="AO761" i="1"/>
  <c r="AX761" i="1" s="1"/>
  <c r="AO825" i="1"/>
  <c r="AX825" i="1" s="1"/>
  <c r="AO889" i="1"/>
  <c r="AX889" i="1" s="1"/>
  <c r="AO42" i="1"/>
  <c r="AX42" i="1" s="1"/>
  <c r="AO106" i="1"/>
  <c r="AX106" i="1" s="1"/>
  <c r="AO170" i="1"/>
  <c r="AX170" i="1" s="1"/>
  <c r="AO234" i="1"/>
  <c r="AX234" i="1" s="1"/>
  <c r="AO298" i="1"/>
  <c r="AX298" i="1" s="1"/>
  <c r="AO362" i="1"/>
  <c r="AX362" i="1" s="1"/>
  <c r="AO426" i="1"/>
  <c r="AX426" i="1" s="1"/>
  <c r="AO490" i="1"/>
  <c r="AX490" i="1" s="1"/>
  <c r="AO554" i="1"/>
  <c r="AX554" i="1" s="1"/>
  <c r="AO618" i="1"/>
  <c r="AX618" i="1" s="1"/>
  <c r="AO682" i="1"/>
  <c r="AX682" i="1" s="1"/>
  <c r="AO746" i="1"/>
  <c r="AX746" i="1" s="1"/>
  <c r="AO810" i="1"/>
  <c r="AX810" i="1" s="1"/>
  <c r="AO874" i="1"/>
  <c r="AX874" i="1" s="1"/>
  <c r="AO315" i="1"/>
  <c r="AX315" i="1" s="1"/>
  <c r="AO443" i="1"/>
  <c r="AX443" i="1" s="1"/>
  <c r="AO571" i="1"/>
  <c r="AX571" i="1" s="1"/>
  <c r="AO221" i="1"/>
  <c r="AX221" i="1" s="1"/>
  <c r="AO413" i="1"/>
  <c r="AX413" i="1" s="1"/>
  <c r="AO78" i="1"/>
  <c r="AX78" i="1" s="1"/>
  <c r="AO206" i="1"/>
  <c r="AX206" i="1" s="1"/>
  <c r="AO383" i="1"/>
  <c r="AX383" i="1" s="1"/>
  <c r="AO43" i="1"/>
  <c r="AX43" i="1" s="1"/>
  <c r="AO107" i="1"/>
  <c r="AX107" i="1" s="1"/>
  <c r="AO171" i="1"/>
  <c r="AX171" i="1" s="1"/>
  <c r="AO235" i="1"/>
  <c r="AX235" i="1" s="1"/>
  <c r="AO299" i="1"/>
  <c r="AX299" i="1" s="1"/>
  <c r="AO363" i="1"/>
  <c r="AX363" i="1" s="1"/>
  <c r="AO427" i="1"/>
  <c r="AX427" i="1" s="1"/>
  <c r="AO491" i="1"/>
  <c r="AX491" i="1" s="1"/>
  <c r="AO555" i="1"/>
  <c r="AX555" i="1" s="1"/>
  <c r="AO619" i="1"/>
  <c r="AX619" i="1" s="1"/>
  <c r="AO683" i="1"/>
  <c r="AX683" i="1" s="1"/>
  <c r="AO747" i="1"/>
  <c r="AX747" i="1" s="1"/>
  <c r="AO811" i="1"/>
  <c r="AX811" i="1" s="1"/>
  <c r="AO875" i="1"/>
  <c r="AX875" i="1" s="1"/>
  <c r="AO28" i="1"/>
  <c r="AX28" i="1" s="1"/>
  <c r="AO425" i="1"/>
  <c r="AX425" i="1" s="1"/>
  <c r="AO156" i="1"/>
  <c r="AX156" i="1" s="1"/>
  <c r="AO220" i="1"/>
  <c r="AX220" i="1" s="1"/>
  <c r="AO284" i="1"/>
  <c r="AX284" i="1" s="1"/>
  <c r="AO348" i="1"/>
  <c r="AX348" i="1" s="1"/>
  <c r="AO412" i="1"/>
  <c r="AX412" i="1" s="1"/>
  <c r="AO476" i="1"/>
  <c r="AX476" i="1" s="1"/>
  <c r="AO540" i="1"/>
  <c r="AX540" i="1" s="1"/>
  <c r="AO604" i="1"/>
  <c r="AX604" i="1" s="1"/>
  <c r="AO668" i="1"/>
  <c r="AX668" i="1" s="1"/>
  <c r="AO732" i="1"/>
  <c r="AX732" i="1" s="1"/>
  <c r="AO796" i="1"/>
  <c r="AX796" i="1" s="1"/>
  <c r="AO860" i="1"/>
  <c r="AX860" i="1" s="1"/>
  <c r="AO13" i="1"/>
  <c r="AX13" i="1" s="1"/>
  <c r="AO77" i="1"/>
  <c r="AX77" i="1" s="1"/>
  <c r="AO141" i="1"/>
  <c r="AX141" i="1" s="1"/>
  <c r="AO205" i="1"/>
  <c r="AX205" i="1" s="1"/>
  <c r="AO269" i="1"/>
  <c r="AX269" i="1" s="1"/>
  <c r="AO316" i="1"/>
  <c r="AX316" i="1" s="1"/>
  <c r="AO397" i="1"/>
  <c r="AX397" i="1" s="1"/>
  <c r="AO461" i="1"/>
  <c r="AX461" i="1" s="1"/>
  <c r="AO525" i="1"/>
  <c r="AX525" i="1" s="1"/>
  <c r="AO589" i="1"/>
  <c r="AX589" i="1" s="1"/>
  <c r="AO653" i="1"/>
  <c r="AX653" i="1" s="1"/>
  <c r="AO717" i="1"/>
  <c r="AX717" i="1" s="1"/>
  <c r="AO781" i="1"/>
  <c r="AX781" i="1" s="1"/>
  <c r="AO845" i="1"/>
  <c r="AX845" i="1" s="1"/>
  <c r="AO913" i="1"/>
  <c r="AX913" i="1" s="1"/>
  <c r="AO62" i="1"/>
  <c r="AX62" i="1" s="1"/>
  <c r="AO126" i="1"/>
  <c r="AX126" i="1" s="1"/>
  <c r="AO190" i="1"/>
  <c r="AX190" i="1" s="1"/>
  <c r="AO254" i="1"/>
  <c r="AX254" i="1" s="1"/>
  <c r="AO318" i="1"/>
  <c r="AX318" i="1" s="1"/>
  <c r="AO382" i="1"/>
  <c r="AX382" i="1" s="1"/>
  <c r="AO446" i="1"/>
  <c r="AX446" i="1" s="1"/>
  <c r="AO510" i="1"/>
  <c r="AX510" i="1" s="1"/>
  <c r="AO574" i="1"/>
  <c r="AX574" i="1" s="1"/>
  <c r="AO638" i="1"/>
  <c r="AX638" i="1" s="1"/>
  <c r="AO702" i="1"/>
  <c r="AX702" i="1" s="1"/>
  <c r="AO766" i="1"/>
  <c r="AX766" i="1" s="1"/>
  <c r="AO830" i="1"/>
  <c r="AX830" i="1" s="1"/>
  <c r="AO894" i="1"/>
  <c r="AX894" i="1" s="1"/>
  <c r="AO47" i="1"/>
  <c r="AX47" i="1" s="1"/>
  <c r="AO111" i="1"/>
  <c r="AX111" i="1" s="1"/>
  <c r="AO175" i="1"/>
  <c r="AX175" i="1" s="1"/>
  <c r="AO239" i="1"/>
  <c r="AX239" i="1" s="1"/>
  <c r="AO303" i="1"/>
  <c r="AX303" i="1" s="1"/>
  <c r="AO367" i="1"/>
  <c r="AX367" i="1" s="1"/>
  <c r="AO431" i="1"/>
  <c r="AX431" i="1" s="1"/>
  <c r="AO495" i="1"/>
  <c r="AX495" i="1" s="1"/>
  <c r="AO559" i="1"/>
  <c r="AX559" i="1" s="1"/>
  <c r="AO623" i="1"/>
  <c r="AX623" i="1" s="1"/>
  <c r="AO687" i="1"/>
  <c r="AX687" i="1" s="1"/>
  <c r="AO751" i="1"/>
  <c r="AX751" i="1" s="1"/>
  <c r="AO815" i="1"/>
  <c r="AX815" i="1" s="1"/>
  <c r="AO879" i="1"/>
  <c r="AX879" i="1" s="1"/>
  <c r="AO32" i="1"/>
  <c r="AX32" i="1" s="1"/>
  <c r="AO96" i="1"/>
  <c r="AX96" i="1" s="1"/>
  <c r="AO160" i="1"/>
  <c r="AX160" i="1" s="1"/>
  <c r="AO224" i="1"/>
  <c r="AX224" i="1" s="1"/>
  <c r="AO288" i="1"/>
  <c r="AX288" i="1" s="1"/>
  <c r="AO352" i="1"/>
  <c r="AX352" i="1" s="1"/>
  <c r="AO416" i="1"/>
  <c r="AX416" i="1" s="1"/>
  <c r="AO480" i="1"/>
  <c r="AX480" i="1" s="1"/>
  <c r="AO544" i="1"/>
  <c r="AX544" i="1" s="1"/>
  <c r="AO608" i="1"/>
  <c r="AX608" i="1" s="1"/>
  <c r="AO672" i="1"/>
  <c r="AX672" i="1" s="1"/>
  <c r="AO736" i="1"/>
  <c r="AX736" i="1" s="1"/>
  <c r="AO800" i="1"/>
  <c r="AX800" i="1" s="1"/>
  <c r="AO864" i="1"/>
  <c r="AX864" i="1" s="1"/>
  <c r="AO17" i="1"/>
  <c r="AX17" i="1" s="1"/>
  <c r="AO81" i="1"/>
  <c r="AX81" i="1" s="1"/>
  <c r="AO145" i="1"/>
  <c r="AX145" i="1" s="1"/>
  <c r="AO209" i="1"/>
  <c r="AX209" i="1" s="1"/>
  <c r="AO273" i="1"/>
  <c r="AX273" i="1" s="1"/>
  <c r="AO908" i="1"/>
  <c r="AX908" i="1" s="1"/>
  <c r="AO401" i="1"/>
  <c r="AX401" i="1" s="1"/>
  <c r="AO465" i="1"/>
  <c r="AX465" i="1" s="1"/>
  <c r="AO529" i="1"/>
  <c r="AX529" i="1" s="1"/>
  <c r="AO593" i="1"/>
  <c r="AX593" i="1" s="1"/>
  <c r="AO657" i="1"/>
  <c r="AX657" i="1" s="1"/>
  <c r="AO721" i="1"/>
  <c r="AX721" i="1" s="1"/>
  <c r="AO785" i="1"/>
  <c r="AX785" i="1" s="1"/>
  <c r="AO849" i="1"/>
  <c r="AX849" i="1" s="1"/>
  <c r="AO909" i="1"/>
  <c r="AX909" i="1" s="1"/>
  <c r="AO66" i="1"/>
  <c r="AX66" i="1" s="1"/>
  <c r="AO130" i="1"/>
  <c r="AX130" i="1" s="1"/>
  <c r="AO194" i="1"/>
  <c r="AX194" i="1" s="1"/>
  <c r="AO258" i="1"/>
  <c r="AX258" i="1" s="1"/>
  <c r="AO322" i="1"/>
  <c r="AX322" i="1" s="1"/>
  <c r="AO386" i="1"/>
  <c r="AX386" i="1" s="1"/>
  <c r="AO450" i="1"/>
  <c r="AX450" i="1" s="1"/>
  <c r="AO514" i="1"/>
  <c r="AX514" i="1" s="1"/>
  <c r="AO578" i="1"/>
  <c r="AX578" i="1" s="1"/>
  <c r="AO642" i="1"/>
  <c r="AX642" i="1" s="1"/>
  <c r="AO706" i="1"/>
  <c r="AX706" i="1" s="1"/>
  <c r="AO770" i="1"/>
  <c r="AX770" i="1" s="1"/>
  <c r="AO834" i="1"/>
  <c r="AX834" i="1" s="1"/>
  <c r="AO898" i="1"/>
  <c r="AX898" i="1" s="1"/>
  <c r="AP578" i="1" l="1"/>
  <c r="AP864" i="1"/>
  <c r="AP751" i="1"/>
  <c r="AP126" i="1"/>
  <c r="AP412" i="1"/>
  <c r="AP413" i="1"/>
  <c r="AP569" i="1"/>
  <c r="AP855" i="1"/>
  <c r="AP516" i="1"/>
  <c r="AP514" i="1"/>
  <c r="AP401" i="1"/>
  <c r="AP288" i="1"/>
  <c r="AP175" i="1"/>
  <c r="AP461" i="1"/>
  <c r="AP747" i="1"/>
  <c r="AP618" i="1"/>
  <c r="AP505" i="1"/>
  <c r="AP791" i="1"/>
  <c r="AP678" i="1"/>
  <c r="AP565" i="1"/>
  <c r="AP851" i="1"/>
  <c r="AP590" i="1"/>
  <c r="AP18" i="1"/>
  <c r="AP378" i="1"/>
  <c r="AP664" i="1"/>
  <c r="AP551" i="1"/>
  <c r="AP837" i="1"/>
  <c r="AP611" i="1"/>
  <c r="AP433" i="1"/>
  <c r="AP748" i="1"/>
  <c r="AP450" i="1"/>
  <c r="AP908" i="1"/>
  <c r="AP224" i="1"/>
  <c r="AP623" i="1"/>
  <c r="AP510" i="1"/>
  <c r="AP397" i="1"/>
  <c r="AP284" i="1"/>
  <c r="AP683" i="1"/>
  <c r="AP571" i="1"/>
  <c r="AP42" i="1"/>
  <c r="AP840" i="1"/>
  <c r="AP727" i="1"/>
  <c r="AP614" i="1"/>
  <c r="AP102" i="1"/>
  <c r="AP900" i="1"/>
  <c r="AP787" i="1"/>
  <c r="AP831" i="1"/>
  <c r="AP251" i="1"/>
  <c r="AP466" i="1"/>
  <c r="AP353" i="1"/>
  <c r="AP314" i="1"/>
  <c r="AP201" i="1"/>
  <c r="AP88" i="1"/>
  <c r="AP886" i="1"/>
  <c r="AP773" i="1"/>
  <c r="AP660" i="1"/>
  <c r="AP148" i="1"/>
  <c r="AP35" i="1"/>
  <c r="AP881" i="1"/>
  <c r="AP369" i="1"/>
  <c r="AP256" i="1"/>
  <c r="AP143" i="1"/>
  <c r="AP30" i="1"/>
  <c r="AP828" i="1"/>
  <c r="AP715" i="1"/>
  <c r="AP203" i="1"/>
  <c r="AP684" i="1"/>
  <c r="AP394" i="1"/>
  <c r="AP740" i="1"/>
  <c r="AP898" i="1"/>
  <c r="AP386" i="1"/>
  <c r="AP785" i="1"/>
  <c r="AP273" i="1"/>
  <c r="AP672" i="1"/>
  <c r="AP160" i="1"/>
  <c r="AP559" i="1"/>
  <c r="AP47" i="1"/>
  <c r="AP446" i="1"/>
  <c r="AP845" i="1"/>
  <c r="AP316" i="1"/>
  <c r="AP732" i="1"/>
  <c r="AP220" i="1"/>
  <c r="AP619" i="1"/>
  <c r="AP107" i="1"/>
  <c r="AP443" i="1"/>
  <c r="AP490" i="1"/>
  <c r="AP889" i="1"/>
  <c r="AP377" i="1"/>
  <c r="AP776" i="1"/>
  <c r="AP264" i="1"/>
  <c r="AP663" i="1"/>
  <c r="AP151" i="1"/>
  <c r="AP550" i="1"/>
  <c r="AP38" i="1"/>
  <c r="AP437" i="1"/>
  <c r="AP836" i="1"/>
  <c r="AP324" i="1"/>
  <c r="AP723" i="1"/>
  <c r="AP211" i="1"/>
  <c r="AP767" i="1"/>
  <c r="AP733" i="1"/>
  <c r="AP2" i="1"/>
  <c r="AP402" i="1"/>
  <c r="AP801" i="1"/>
  <c r="AP289" i="1"/>
  <c r="AP762" i="1"/>
  <c r="AP250" i="1"/>
  <c r="AP649" i="1"/>
  <c r="AP137" i="1"/>
  <c r="AP536" i="1"/>
  <c r="AP24" i="1"/>
  <c r="AP423" i="1"/>
  <c r="AP822" i="1"/>
  <c r="AP310" i="1"/>
  <c r="AP709" i="1"/>
  <c r="AP197" i="1"/>
  <c r="AP596" i="1"/>
  <c r="AP84" i="1"/>
  <c r="AP483" i="1"/>
  <c r="AP176" i="1"/>
  <c r="AP418" i="1"/>
  <c r="AP817" i="1"/>
  <c r="AP305" i="1"/>
  <c r="AP704" i="1"/>
  <c r="AP192" i="1"/>
  <c r="AP591" i="1"/>
  <c r="AP79" i="1"/>
  <c r="AP478" i="1"/>
  <c r="AP877" i="1"/>
  <c r="AP365" i="1"/>
  <c r="AP764" i="1"/>
  <c r="AP252" i="1"/>
  <c r="AP651" i="1"/>
  <c r="AP139" i="1"/>
  <c r="AP462" i="1"/>
  <c r="AP620" i="1"/>
  <c r="AP842" i="1"/>
  <c r="AP330" i="1"/>
  <c r="AP729" i="1"/>
  <c r="AP217" i="1"/>
  <c r="AP616" i="1"/>
  <c r="AP104" i="1"/>
  <c r="AP503" i="1"/>
  <c r="AP333" i="1"/>
  <c r="AP390" i="1"/>
  <c r="AP789" i="1"/>
  <c r="AP277" i="1"/>
  <c r="AP676" i="1"/>
  <c r="AP164" i="1"/>
  <c r="AP563" i="1"/>
  <c r="AP51" i="1"/>
  <c r="AP364" i="1"/>
  <c r="AP434" i="1"/>
  <c r="AP833" i="1"/>
  <c r="AP321" i="1"/>
  <c r="AP720" i="1"/>
  <c r="AP208" i="1"/>
  <c r="AP607" i="1"/>
  <c r="AP95" i="1"/>
  <c r="AP494" i="1"/>
  <c r="AP893" i="1"/>
  <c r="AP381" i="1"/>
  <c r="AP780" i="1"/>
  <c r="AP268" i="1"/>
  <c r="AP667" i="1"/>
  <c r="AP155" i="1"/>
  <c r="AP861" i="1"/>
  <c r="AP666" i="1"/>
  <c r="AP154" i="1"/>
  <c r="AP553" i="1"/>
  <c r="AP41" i="1"/>
  <c r="AP440" i="1"/>
  <c r="AP839" i="1"/>
  <c r="AP327" i="1"/>
  <c r="AP726" i="1"/>
  <c r="AP214" i="1"/>
  <c r="AP613" i="1"/>
  <c r="AP101" i="1"/>
  <c r="AP500" i="1"/>
  <c r="AP899" i="1"/>
  <c r="AP387" i="1"/>
  <c r="AP688" i="1"/>
  <c r="AP334" i="1"/>
  <c r="AP209" i="1"/>
  <c r="AP781" i="1"/>
  <c r="AP43" i="1"/>
  <c r="AP313" i="1"/>
  <c r="AP87" i="1"/>
  <c r="AP486" i="1"/>
  <c r="AP885" i="1"/>
  <c r="AP772" i="1"/>
  <c r="AP147" i="1"/>
  <c r="AP639" i="1"/>
  <c r="AP669" i="1"/>
  <c r="AP850" i="1"/>
  <c r="AP338" i="1"/>
  <c r="AP737" i="1"/>
  <c r="AP225" i="1"/>
  <c r="AP698" i="1"/>
  <c r="AP186" i="1"/>
  <c r="AP585" i="1"/>
  <c r="AP73" i="1"/>
  <c r="AP472" i="1"/>
  <c r="AP871" i="1"/>
  <c r="AP359" i="1"/>
  <c r="AP758" i="1"/>
  <c r="AP246" i="1"/>
  <c r="AP645" i="1"/>
  <c r="AP133" i="1"/>
  <c r="AP532" i="1"/>
  <c r="AP20" i="1"/>
  <c r="AP419" i="1"/>
  <c r="AP866" i="1"/>
  <c r="AP354" i="1"/>
  <c r="AP753" i="1"/>
  <c r="AP241" i="1"/>
  <c r="AP640" i="1"/>
  <c r="AP128" i="1"/>
  <c r="AP527" i="1"/>
  <c r="AP15" i="1"/>
  <c r="AP414" i="1"/>
  <c r="AP813" i="1"/>
  <c r="AP301" i="1"/>
  <c r="AP700" i="1"/>
  <c r="AP188" i="1"/>
  <c r="AP587" i="1"/>
  <c r="AP75" i="1"/>
  <c r="AP270" i="1"/>
  <c r="AP428" i="1"/>
  <c r="AP778" i="1"/>
  <c r="AP266" i="1"/>
  <c r="AP665" i="1"/>
  <c r="AP153" i="1"/>
  <c r="AP552" i="1"/>
  <c r="AP40" i="1"/>
  <c r="AP439" i="1"/>
  <c r="AP838" i="1"/>
  <c r="AP326" i="1"/>
  <c r="AP725" i="1"/>
  <c r="AP213" i="1"/>
  <c r="AP612" i="1"/>
  <c r="AP100" i="1"/>
  <c r="AP499" i="1"/>
  <c r="AP63" i="1"/>
  <c r="AP882" i="1"/>
  <c r="AP370" i="1"/>
  <c r="AP769" i="1"/>
  <c r="AP257" i="1"/>
  <c r="AP656" i="1"/>
  <c r="AP144" i="1"/>
  <c r="AP543" i="1"/>
  <c r="AP31" i="1"/>
  <c r="AP430" i="1"/>
  <c r="AP829" i="1"/>
  <c r="AP317" i="1"/>
  <c r="AP716" i="1"/>
  <c r="AP204" i="1"/>
  <c r="AP603" i="1"/>
  <c r="AP91" i="1"/>
  <c r="AP349" i="1"/>
  <c r="AP602" i="1"/>
  <c r="AP90" i="1"/>
  <c r="AP489" i="1"/>
  <c r="AP888" i="1"/>
  <c r="AP376" i="1"/>
  <c r="AP775" i="1"/>
  <c r="AP263" i="1"/>
  <c r="AP662" i="1"/>
  <c r="AP150" i="1"/>
  <c r="AP549" i="1"/>
  <c r="AP37" i="1"/>
  <c r="AP436" i="1"/>
  <c r="AP835" i="1"/>
  <c r="AP323" i="1"/>
  <c r="AP560" i="1"/>
  <c r="AP300" i="1"/>
  <c r="AP721" i="1"/>
  <c r="AP495" i="1"/>
  <c r="AP668" i="1"/>
  <c r="AP315" i="1"/>
  <c r="AP200" i="1"/>
  <c r="AP260" i="1"/>
  <c r="AP657" i="1"/>
  <c r="AP32" i="1"/>
  <c r="AP318" i="1"/>
  <c r="AP604" i="1"/>
  <c r="AP383" i="1"/>
  <c r="AP648" i="1"/>
  <c r="AP422" i="1"/>
  <c r="AP708" i="1"/>
  <c r="AP83" i="1"/>
  <c r="AP226" i="1"/>
  <c r="AP122" i="1"/>
  <c r="AP408" i="1"/>
  <c r="AP182" i="1"/>
  <c r="AP468" i="1"/>
  <c r="AP355" i="1"/>
  <c r="AP802" i="1"/>
  <c r="AP177" i="1"/>
  <c r="AP576" i="1"/>
  <c r="AP64" i="1"/>
  <c r="AP463" i="1"/>
  <c r="AP862" i="1"/>
  <c r="AP350" i="1"/>
  <c r="AP749" i="1"/>
  <c r="AP237" i="1"/>
  <c r="AP636" i="1"/>
  <c r="AP124" i="1"/>
  <c r="AP523" i="1"/>
  <c r="AP108" i="1"/>
  <c r="AP714" i="1"/>
  <c r="AP202" i="1"/>
  <c r="AP601" i="1"/>
  <c r="AP89" i="1"/>
  <c r="AP488" i="1"/>
  <c r="AP887" i="1"/>
  <c r="AP910" i="1"/>
  <c r="AP774" i="1"/>
  <c r="AP262" i="1"/>
  <c r="AP661" i="1"/>
  <c r="AP149" i="1"/>
  <c r="AP548" i="1"/>
  <c r="AP36" i="1"/>
  <c r="AP435" i="1"/>
  <c r="AP526" i="1"/>
  <c r="AP818" i="1"/>
  <c r="AP306" i="1"/>
  <c r="AP705" i="1"/>
  <c r="AP193" i="1"/>
  <c r="AP592" i="1"/>
  <c r="AP80" i="1"/>
  <c r="AP479" i="1"/>
  <c r="AP878" i="1"/>
  <c r="AP366" i="1"/>
  <c r="AP765" i="1"/>
  <c r="AP253" i="1"/>
  <c r="AP652" i="1"/>
  <c r="AP140" i="1"/>
  <c r="AP539" i="1"/>
  <c r="AP27" i="1"/>
  <c r="AP157" i="1"/>
  <c r="AP538" i="1"/>
  <c r="AP26" i="1"/>
  <c r="AP337" i="1"/>
  <c r="AP824" i="1"/>
  <c r="AP312" i="1"/>
  <c r="AP711" i="1"/>
  <c r="AP199" i="1"/>
  <c r="AP598" i="1"/>
  <c r="AP86" i="1"/>
  <c r="AP485" i="1"/>
  <c r="AP884" i="1"/>
  <c r="AP372" i="1"/>
  <c r="AP771" i="1"/>
  <c r="AP259" i="1"/>
  <c r="AP703" i="1"/>
  <c r="AP236" i="1"/>
  <c r="AP322" i="1"/>
  <c r="AP96" i="1"/>
  <c r="AP382" i="1"/>
  <c r="AP156" i="1"/>
  <c r="AP825" i="1"/>
  <c r="AP599" i="1"/>
  <c r="AP373" i="1"/>
  <c r="AP770" i="1"/>
  <c r="AP145" i="1"/>
  <c r="AP830" i="1"/>
  <c r="AP205" i="1"/>
  <c r="AP491" i="1"/>
  <c r="AP362" i="1"/>
  <c r="AP249" i="1"/>
  <c r="AP535" i="1"/>
  <c r="AP309" i="1"/>
  <c r="AP595" i="1"/>
  <c r="AP29" i="1"/>
  <c r="AP673" i="1"/>
  <c r="AP634" i="1"/>
  <c r="AP521" i="1"/>
  <c r="AP807" i="1"/>
  <c r="AP694" i="1"/>
  <c r="AP69" i="1"/>
  <c r="AP689" i="1"/>
  <c r="AP11" i="1"/>
  <c r="AP194" i="1"/>
  <c r="AP81" i="1"/>
  <c r="AP879" i="1"/>
  <c r="AP766" i="1"/>
  <c r="AP653" i="1"/>
  <c r="AP540" i="1"/>
  <c r="AP427" i="1"/>
  <c r="AP810" i="1"/>
  <c r="AP697" i="1"/>
  <c r="AP584" i="1"/>
  <c r="AP870" i="1"/>
  <c r="AP757" i="1"/>
  <c r="AP644" i="1"/>
  <c r="AP531" i="1"/>
  <c r="AP447" i="1"/>
  <c r="AP722" i="1"/>
  <c r="AP97" i="1"/>
  <c r="AP58" i="1"/>
  <c r="AP856" i="1"/>
  <c r="AP743" i="1"/>
  <c r="AP630" i="1"/>
  <c r="AP517" i="1"/>
  <c r="AP803" i="1"/>
  <c r="AP738" i="1"/>
  <c r="AP113" i="1"/>
  <c r="AP274" i="1"/>
  <c r="AP798" i="1"/>
  <c r="AP685" i="1"/>
  <c r="AP60" i="1"/>
  <c r="AP816" i="1"/>
  <c r="AP44" i="1"/>
  <c r="AP650" i="1"/>
  <c r="AP537" i="1"/>
  <c r="AP25" i="1"/>
  <c r="AP424" i="1"/>
  <c r="AP823" i="1"/>
  <c r="AP311" i="1"/>
  <c r="AP710" i="1"/>
  <c r="AP198" i="1"/>
  <c r="AP597" i="1"/>
  <c r="AP85" i="1"/>
  <c r="AP883" i="1"/>
  <c r="AP371" i="1"/>
  <c r="AP398" i="1"/>
  <c r="AP754" i="1"/>
  <c r="AP242" i="1"/>
  <c r="AP641" i="1"/>
  <c r="AP129" i="1"/>
  <c r="AP528" i="1"/>
  <c r="AP16" i="1"/>
  <c r="AP415" i="1"/>
  <c r="AP814" i="1"/>
  <c r="AP302" i="1"/>
  <c r="AP701" i="1"/>
  <c r="AP189" i="1"/>
  <c r="AP588" i="1"/>
  <c r="AP76" i="1"/>
  <c r="AP475" i="1"/>
  <c r="AP496" i="1"/>
  <c r="AP492" i="1"/>
  <c r="AP474" i="1"/>
  <c r="AP873" i="1"/>
  <c r="AP361" i="1"/>
  <c r="AP760" i="1"/>
  <c r="AP248" i="1"/>
  <c r="AP647" i="1"/>
  <c r="AP135" i="1"/>
  <c r="AP534" i="1"/>
  <c r="AP22" i="1"/>
  <c r="AP421" i="1"/>
  <c r="AP820" i="1"/>
  <c r="AP308" i="1"/>
  <c r="AP707" i="1"/>
  <c r="AP195" i="1"/>
  <c r="AP575" i="1"/>
  <c r="AP763" i="1"/>
  <c r="AP834" i="1"/>
  <c r="AP608" i="1"/>
  <c r="AP894" i="1"/>
  <c r="AP269" i="1"/>
  <c r="AP555" i="1"/>
  <c r="AP426" i="1"/>
  <c r="AP712" i="1"/>
  <c r="AP659" i="1"/>
  <c r="AP258" i="1"/>
  <c r="AP544" i="1"/>
  <c r="AP431" i="1"/>
  <c r="AP717" i="1"/>
  <c r="AP425" i="1"/>
  <c r="AP874" i="1"/>
  <c r="AP761" i="1"/>
  <c r="AP136" i="1"/>
  <c r="AP23" i="1"/>
  <c r="AP821" i="1"/>
  <c r="AP196" i="1"/>
  <c r="AP511" i="1"/>
  <c r="AP786" i="1"/>
  <c r="AP161" i="1"/>
  <c r="AP9" i="1"/>
  <c r="AP295" i="1"/>
  <c r="AP581" i="1"/>
  <c r="AP867" i="1"/>
  <c r="AP290" i="1"/>
  <c r="AP14" i="1"/>
  <c r="AP706" i="1"/>
  <c r="AP593" i="1"/>
  <c r="AP480" i="1"/>
  <c r="AP367" i="1"/>
  <c r="AP254" i="1"/>
  <c r="AP141" i="1"/>
  <c r="AP28" i="1"/>
  <c r="AP206" i="1"/>
  <c r="AP298" i="1"/>
  <c r="AP185" i="1"/>
  <c r="AP72" i="1"/>
  <c r="AP471" i="1"/>
  <c r="AP358" i="1"/>
  <c r="AP245" i="1"/>
  <c r="AP132" i="1"/>
  <c r="AP19" i="1"/>
  <c r="AP812" i="1"/>
  <c r="AP210" i="1"/>
  <c r="AP609" i="1"/>
  <c r="AP570" i="1"/>
  <c r="AP457" i="1"/>
  <c r="AP344" i="1"/>
  <c r="AP231" i="1"/>
  <c r="AP118" i="1"/>
  <c r="AP5" i="1"/>
  <c r="AP404" i="1"/>
  <c r="AP291" i="1"/>
  <c r="AP904" i="1"/>
  <c r="AP625" i="1"/>
  <c r="AP512" i="1"/>
  <c r="AP399" i="1"/>
  <c r="AP286" i="1"/>
  <c r="AP173" i="1"/>
  <c r="AP572" i="1"/>
  <c r="AP459" i="1"/>
  <c r="AP797" i="1"/>
  <c r="AP138" i="1"/>
  <c r="AP484" i="1"/>
  <c r="AP642" i="1"/>
  <c r="AP130" i="1"/>
  <c r="AP529" i="1"/>
  <c r="AP17" i="1"/>
  <c r="AP416" i="1"/>
  <c r="AP815" i="1"/>
  <c r="AP303" i="1"/>
  <c r="AP702" i="1"/>
  <c r="AP190" i="1"/>
  <c r="AP589" i="1"/>
  <c r="AP77" i="1"/>
  <c r="AP476" i="1"/>
  <c r="AP875" i="1"/>
  <c r="AP363" i="1"/>
  <c r="AP78" i="1"/>
  <c r="AP746" i="1"/>
  <c r="AP234" i="1"/>
  <c r="AP633" i="1"/>
  <c r="AP121" i="1"/>
  <c r="AP520" i="1"/>
  <c r="AP8" i="1"/>
  <c r="AP407" i="1"/>
  <c r="AP806" i="1"/>
  <c r="AP294" i="1"/>
  <c r="AP693" i="1"/>
  <c r="AP181" i="1"/>
  <c r="AP580" i="1"/>
  <c r="AP68" i="1"/>
  <c r="AP467" i="1"/>
  <c r="AP624" i="1"/>
  <c r="AP191" i="1"/>
  <c r="AP556" i="1"/>
  <c r="AP658" i="1"/>
  <c r="AP146" i="1"/>
  <c r="AP545" i="1"/>
  <c r="AP33" i="1"/>
  <c r="AP506" i="1"/>
  <c r="AP905" i="1"/>
  <c r="AP393" i="1"/>
  <c r="AP792" i="1"/>
  <c r="AP280" i="1"/>
  <c r="AP679" i="1"/>
  <c r="AP167" i="1"/>
  <c r="AP566" i="1"/>
  <c r="AP54" i="1"/>
  <c r="AP453" i="1"/>
  <c r="AP852" i="1"/>
  <c r="AP340" i="1"/>
  <c r="AP739" i="1"/>
  <c r="AP227" i="1"/>
  <c r="AP674" i="1"/>
  <c r="AP162" i="1"/>
  <c r="AP561" i="1"/>
  <c r="AP49" i="1"/>
  <c r="AP448" i="1"/>
  <c r="AP847" i="1"/>
  <c r="AP335" i="1"/>
  <c r="AP734" i="1"/>
  <c r="AP222" i="1"/>
  <c r="AP621" i="1"/>
  <c r="AP109" i="1"/>
  <c r="AP508" i="1"/>
  <c r="AP903" i="1"/>
  <c r="AP395" i="1"/>
  <c r="AP368" i="1"/>
  <c r="AP541" i="1"/>
  <c r="AP891" i="1"/>
  <c r="AP586" i="1"/>
  <c r="AP74" i="1"/>
  <c r="AP473" i="1"/>
  <c r="AP872" i="1"/>
  <c r="AP360" i="1"/>
  <c r="AP759" i="1"/>
  <c r="AP247" i="1"/>
  <c r="AP646" i="1"/>
  <c r="AP134" i="1"/>
  <c r="AP533" i="1"/>
  <c r="AP21" i="1"/>
  <c r="AP420" i="1"/>
  <c r="AP819" i="1"/>
  <c r="AP307" i="1"/>
  <c r="AP605" i="1"/>
  <c r="AP690" i="1"/>
  <c r="AP178" i="1"/>
  <c r="AP577" i="1"/>
  <c r="AP65" i="1"/>
  <c r="AP464" i="1"/>
  <c r="AP863" i="1"/>
  <c r="AP351" i="1"/>
  <c r="AP750" i="1"/>
  <c r="AP238" i="1"/>
  <c r="AP637" i="1"/>
  <c r="AP92" i="1"/>
  <c r="AP524" i="1"/>
  <c r="AP12" i="1"/>
  <c r="AP411" i="1"/>
  <c r="AP432" i="1"/>
  <c r="AP123" i="1"/>
  <c r="AP410" i="1"/>
  <c r="AP809" i="1"/>
  <c r="AP297" i="1"/>
  <c r="AP696" i="1"/>
  <c r="AP184" i="1"/>
  <c r="AP583" i="1"/>
  <c r="AP71" i="1"/>
  <c r="AP470" i="1"/>
  <c r="AP869" i="1"/>
  <c r="AP357" i="1"/>
  <c r="AP756" i="1"/>
  <c r="AP244" i="1"/>
  <c r="AP643" i="1"/>
  <c r="AP131" i="1"/>
  <c r="AP127" i="1"/>
  <c r="AP635" i="1"/>
  <c r="AP465" i="1"/>
  <c r="AP239" i="1"/>
  <c r="AP525" i="1"/>
  <c r="AP811" i="1"/>
  <c r="AP682" i="1"/>
  <c r="AP57" i="1"/>
  <c r="AP343" i="1"/>
  <c r="AP742" i="1"/>
  <c r="AP230" i="1"/>
  <c r="AP629" i="1"/>
  <c r="AP117" i="1"/>
  <c r="AP403" i="1"/>
  <c r="AP112" i="1"/>
  <c r="AP654" i="1"/>
  <c r="AP902" i="1"/>
  <c r="AP594" i="1"/>
  <c r="AP82" i="1"/>
  <c r="AP481" i="1"/>
  <c r="AP880" i="1"/>
  <c r="AP442" i="1"/>
  <c r="AP841" i="1"/>
  <c r="AP329" i="1"/>
  <c r="AP728" i="1"/>
  <c r="AP216" i="1"/>
  <c r="AP615" i="1"/>
  <c r="AP103" i="1"/>
  <c r="AP502" i="1"/>
  <c r="AP901" i="1"/>
  <c r="AP389" i="1"/>
  <c r="AP788" i="1"/>
  <c r="AP276" i="1"/>
  <c r="AP675" i="1"/>
  <c r="AP163" i="1"/>
  <c r="AP610" i="1"/>
  <c r="AP98" i="1"/>
  <c r="AP497" i="1"/>
  <c r="AP896" i="1"/>
  <c r="AP384" i="1"/>
  <c r="AP783" i="1"/>
  <c r="AP271" i="1"/>
  <c r="AP670" i="1"/>
  <c r="AP158" i="1"/>
  <c r="AP557" i="1"/>
  <c r="AP45" i="1"/>
  <c r="AP444" i="1"/>
  <c r="AP843" i="1"/>
  <c r="AP331" i="1"/>
  <c r="AP304" i="1"/>
  <c r="AP285" i="1"/>
  <c r="AP827" i="1"/>
  <c r="AP522" i="1"/>
  <c r="AP10" i="1"/>
  <c r="AP409" i="1"/>
  <c r="AP808" i="1"/>
  <c r="AP296" i="1"/>
  <c r="AP695" i="1"/>
  <c r="AP183" i="1"/>
  <c r="AP582" i="1"/>
  <c r="AP70" i="1"/>
  <c r="AP469" i="1"/>
  <c r="AP868" i="1"/>
  <c r="AP356" i="1"/>
  <c r="AP755" i="1"/>
  <c r="AP243" i="1"/>
  <c r="AP477" i="1"/>
  <c r="AP626" i="1"/>
  <c r="AP114" i="1"/>
  <c r="AP513" i="1"/>
  <c r="AP125" i="1"/>
  <c r="AP400" i="1"/>
  <c r="AP799" i="1"/>
  <c r="AP287" i="1"/>
  <c r="AP686" i="1"/>
  <c r="AP174" i="1"/>
  <c r="AP912" i="1"/>
  <c r="AP61" i="1"/>
  <c r="AP460" i="1"/>
  <c r="AP859" i="1"/>
  <c r="AP347" i="1"/>
  <c r="AP48" i="1"/>
  <c r="AP858" i="1"/>
  <c r="AP346" i="1"/>
  <c r="AP745" i="1"/>
  <c r="AP233" i="1"/>
  <c r="AP632" i="1"/>
  <c r="AP120" i="1"/>
  <c r="AP519" i="1"/>
  <c r="AP7" i="1"/>
  <c r="AP406" i="1"/>
  <c r="AP805" i="1"/>
  <c r="AP293" i="1"/>
  <c r="AP692" i="1"/>
  <c r="AP180" i="1"/>
  <c r="AP579" i="1"/>
  <c r="AP67" i="1"/>
  <c r="AP846" i="1"/>
  <c r="AP507" i="1"/>
  <c r="AP66" i="1"/>
  <c r="AP352" i="1"/>
  <c r="AP638" i="1"/>
  <c r="AP13" i="1"/>
  <c r="AP299" i="1"/>
  <c r="AP170" i="1"/>
  <c r="AP456" i="1"/>
  <c r="AP4" i="1"/>
  <c r="AP909" i="1"/>
  <c r="AP687" i="1"/>
  <c r="AP62" i="1"/>
  <c r="AP348" i="1"/>
  <c r="AP221" i="1"/>
  <c r="AP392" i="1"/>
  <c r="AP166" i="1"/>
  <c r="AP452" i="1"/>
  <c r="AP895" i="1"/>
  <c r="AP530" i="1"/>
  <c r="AP890" i="1"/>
  <c r="AP265" i="1"/>
  <c r="AP39" i="1"/>
  <c r="AP325" i="1"/>
  <c r="AP212" i="1"/>
  <c r="AP99" i="1"/>
  <c r="AP546" i="1"/>
  <c r="AP832" i="1"/>
  <c r="AP320" i="1"/>
  <c r="AP719" i="1"/>
  <c r="AP207" i="1"/>
  <c r="AP606" i="1"/>
  <c r="AP94" i="1"/>
  <c r="AP493" i="1"/>
  <c r="AP892" i="1"/>
  <c r="AP380" i="1"/>
  <c r="AP779" i="1"/>
  <c r="AP267" i="1"/>
  <c r="AP699" i="1"/>
  <c r="AP458" i="1"/>
  <c r="AP857" i="1"/>
  <c r="AP345" i="1"/>
  <c r="AP744" i="1"/>
  <c r="AP232" i="1"/>
  <c r="AP631" i="1"/>
  <c r="AP119" i="1"/>
  <c r="AP518" i="1"/>
  <c r="AP6" i="1"/>
  <c r="AP405" i="1"/>
  <c r="AP804" i="1"/>
  <c r="AP292" i="1"/>
  <c r="AP691" i="1"/>
  <c r="AP179" i="1"/>
  <c r="AP93" i="1"/>
  <c r="AP562" i="1"/>
  <c r="AP50" i="1"/>
  <c r="AP449" i="1"/>
  <c r="AP848" i="1"/>
  <c r="AP336" i="1"/>
  <c r="AP735" i="1"/>
  <c r="AP223" i="1"/>
  <c r="AP622" i="1"/>
  <c r="AP110" i="1"/>
  <c r="AP509" i="1"/>
  <c r="AP375" i="1"/>
  <c r="AP396" i="1"/>
  <c r="AP795" i="1"/>
  <c r="AP283" i="1"/>
  <c r="AP319" i="1"/>
  <c r="AP794" i="1"/>
  <c r="AP282" i="1"/>
  <c r="AP681" i="1"/>
  <c r="AP169" i="1"/>
  <c r="AP568" i="1"/>
  <c r="AP56" i="1"/>
  <c r="AP455" i="1"/>
  <c r="AP854" i="1"/>
  <c r="AP342" i="1"/>
  <c r="AP741" i="1"/>
  <c r="AP229" i="1"/>
  <c r="AP628" i="1"/>
  <c r="AP116" i="1"/>
  <c r="AP515" i="1"/>
  <c r="AP3" i="1"/>
  <c r="AP782" i="1"/>
  <c r="AP187" i="1"/>
  <c r="AP800" i="1"/>
  <c r="AP574" i="1"/>
  <c r="AP860" i="1"/>
  <c r="AP235" i="1"/>
  <c r="AP106" i="1"/>
  <c r="AP911" i="1"/>
  <c r="AP279" i="1"/>
  <c r="AP53" i="1"/>
  <c r="AP339" i="1"/>
  <c r="AP379" i="1"/>
  <c r="AP417" i="1"/>
  <c r="AP777" i="1"/>
  <c r="AP152" i="1"/>
  <c r="AP438" i="1"/>
  <c r="AP724" i="1"/>
  <c r="AP34" i="1"/>
  <c r="AP240" i="1"/>
  <c r="AP849" i="1"/>
  <c r="AP736" i="1"/>
  <c r="AP111" i="1"/>
  <c r="AP913" i="1"/>
  <c r="AP796" i="1"/>
  <c r="AP171" i="1"/>
  <c r="AP554" i="1"/>
  <c r="AP441" i="1"/>
  <c r="AP328" i="1"/>
  <c r="AP215" i="1"/>
  <c r="AP501" i="1"/>
  <c r="AP388" i="1"/>
  <c r="AP275" i="1"/>
  <c r="AP142" i="1"/>
  <c r="AP865" i="1"/>
  <c r="AP826" i="1"/>
  <c r="AP713" i="1"/>
  <c r="AP600" i="1"/>
  <c r="AP487" i="1"/>
  <c r="AP374" i="1"/>
  <c r="AP261" i="1"/>
  <c r="AP547" i="1"/>
  <c r="AP482" i="1"/>
  <c r="AP768" i="1"/>
  <c r="AP655" i="1"/>
  <c r="AP542" i="1"/>
  <c r="AP429" i="1"/>
  <c r="AP906" i="1"/>
  <c r="AP172" i="1"/>
  <c r="AP907" i="1"/>
  <c r="AP793" i="1"/>
  <c r="AP281" i="1"/>
  <c r="AP680" i="1"/>
  <c r="AP168" i="1"/>
  <c r="AP567" i="1"/>
  <c r="AP55" i="1"/>
  <c r="AP454" i="1"/>
  <c r="AP853" i="1"/>
  <c r="AP341" i="1"/>
  <c r="AP228" i="1"/>
  <c r="AP627" i="1"/>
  <c r="AP115" i="1"/>
  <c r="AP876" i="1"/>
  <c r="AP498" i="1"/>
  <c r="AP897" i="1"/>
  <c r="AP385" i="1"/>
  <c r="AP784" i="1"/>
  <c r="AP272" i="1"/>
  <c r="AP671" i="1"/>
  <c r="AP159" i="1"/>
  <c r="AP558" i="1"/>
  <c r="AP46" i="1"/>
  <c r="AP445" i="1"/>
  <c r="AP844" i="1"/>
  <c r="AP332" i="1"/>
  <c r="AP731" i="1"/>
  <c r="AP219" i="1"/>
  <c r="AP255" i="1"/>
  <c r="AP730" i="1"/>
  <c r="AP218" i="1"/>
  <c r="AP617" i="1"/>
  <c r="AP105" i="1"/>
  <c r="AP504" i="1"/>
  <c r="AP573" i="1"/>
  <c r="AP391" i="1"/>
  <c r="AP790" i="1"/>
  <c r="AP278" i="1"/>
  <c r="AP677" i="1"/>
  <c r="AP165" i="1"/>
  <c r="AP564" i="1"/>
  <c r="AP52" i="1"/>
  <c r="AP451" i="1"/>
  <c r="AP752" i="1"/>
  <c r="AP718" i="1"/>
  <c r="AP59" i="1"/>
</calcChain>
</file>

<file path=xl/sharedStrings.xml><?xml version="1.0" encoding="utf-8"?>
<sst xmlns="http://schemas.openxmlformats.org/spreadsheetml/2006/main" count="14635" uniqueCount="4139">
  <si>
    <t>order_id</t>
  </si>
  <si>
    <t>order_date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</si>
  <si>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</si>
  <si>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</si>
  <si>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</si>
  <si>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</si>
  <si>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</si>
  <si>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</si>
  <si>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</si>
  <si>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</si>
  <si>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</si>
  <si>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</si>
  <si>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</si>
  <si>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</si>
  <si>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</si>
  <si>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</si>
  <si>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</si>
  <si>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</si>
  <si>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</si>
  <si>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</si>
  <si>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</si>
  <si>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</si>
  <si>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</si>
  <si>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</si>
  <si>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</si>
  <si>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</si>
  <si>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</si>
  <si>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</si>
  <si>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</si>
  <si>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</si>
  <si>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</si>
  <si>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</si>
  <si>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</si>
  <si>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</si>
  <si>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</si>
  <si>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</si>
  <si>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</si>
  <si>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</si>
  <si>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</si>
  <si>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</si>
  <si>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</si>
  <si>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</si>
  <si>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</si>
  <si>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</si>
  <si>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</si>
  <si>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</si>
  <si>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</si>
  <si>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</si>
  <si>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</si>
  <si>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</si>
  <si>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</si>
  <si>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</si>
  <si>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</si>
  <si>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</si>
  <si>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</si>
  <si>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</si>
  <si>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</si>
  <si>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</si>
  <si>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</si>
  <si>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</si>
  <si>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</si>
  <si>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</si>
  <si>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</si>
  <si>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</si>
  <si>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</si>
  <si>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</si>
  <si>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</si>
  <si>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</si>
  <si>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</si>
  <si>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</si>
  <si>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</si>
  <si>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</si>
  <si>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</si>
  <si>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</si>
  <si>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</si>
  <si>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</si>
  <si>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</si>
  <si>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</si>
  <si>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</si>
  <si>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</si>
  <si>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</si>
  <si>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</si>
  <si>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</si>
  <si>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</si>
  <si>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</si>
  <si>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</si>
  <si>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</si>
  <si>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</si>
  <si>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</si>
  <si>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</si>
  <si>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</si>
  <si>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</si>
  <si>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</si>
  <si>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</si>
  <si>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</si>
  <si>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</si>
  <si>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</si>
  <si>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</si>
  <si>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</si>
  <si>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</si>
  <si>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</si>
  <si>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</si>
  <si>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</si>
  <si>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</si>
  <si>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</si>
  <si>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</si>
  <si>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</si>
  <si>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</si>
  <si>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</si>
  <si>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</si>
  <si>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</si>
  <si>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</si>
  <si>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</si>
  <si>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</si>
  <si>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</si>
  <si>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</si>
  <si>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</si>
  <si>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</si>
  <si>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</si>
  <si>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</si>
  <si>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</si>
  <si>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</si>
  <si>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</si>
  <si>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</si>
  <si>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</si>
  <si>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</si>
  <si>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</si>
  <si>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</si>
  <si>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</si>
  <si>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</si>
  <si>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</si>
  <si>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</si>
  <si>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</si>
  <si>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</si>
  <si>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</si>
  <si>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</si>
  <si>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</si>
  <si>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</si>
  <si>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</si>
  <si>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</si>
  <si>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</si>
  <si>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</si>
  <si>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</si>
  <si>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</si>
  <si>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</si>
  <si>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</si>
  <si>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</si>
  <si>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</si>
  <si>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</si>
  <si>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</si>
  <si>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</si>
  <si>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</si>
  <si>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</si>
  <si>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</si>
  <si>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</si>
  <si>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</si>
  <si>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</si>
  <si>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</si>
  <si>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</si>
  <si>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</si>
  <si>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</si>
  <si>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</si>
  <si>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</si>
  <si>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</si>
  <si>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</si>
  <si>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</si>
  <si>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</si>
  <si>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</si>
  <si>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</si>
  <si>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</si>
  <si>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</si>
  <si>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</si>
  <si>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</si>
  <si>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</si>
  <si>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</si>
  <si>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</si>
  <si>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</si>
  <si>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</si>
  <si>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</si>
  <si>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</si>
  <si>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</si>
  <si>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</si>
  <si>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</si>
  <si>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</si>
  <si>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</si>
  <si>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</si>
  <si>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</si>
  <si>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</si>
  <si>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</si>
  <si>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</si>
  <si>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</si>
  <si>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</si>
  <si>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</si>
  <si>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</si>
  <si>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</si>
  <si>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</si>
  <si>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</si>
  <si>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</si>
  <si>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</si>
  <si>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</si>
  <si>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</si>
  <si>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</si>
  <si>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</si>
  <si>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</si>
  <si>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</si>
  <si>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</si>
  <si>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</si>
  <si>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</si>
  <si>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</si>
  <si>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</si>
  <si>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</si>
  <si>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</si>
  <si>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</si>
  <si>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</si>
  <si>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</si>
  <si>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</si>
  <si>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</si>
  <si>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</si>
  <si>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</si>
  <si>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</si>
  <si>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</si>
  <si>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</si>
  <si>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</si>
  <si>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</si>
  <si>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</si>
  <si>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</si>
  <si>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</si>
  <si>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</si>
  <si>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</si>
  <si>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</si>
  <si>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</si>
  <si>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</si>
  <si>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</si>
  <si>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</si>
  <si>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</si>
  <si>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</si>
  <si>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</si>
  <si>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</si>
  <si>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</si>
  <si>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</si>
  <si>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</si>
  <si>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</si>
  <si>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</si>
  <si>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</si>
  <si>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</si>
  <si>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</si>
  <si>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</si>
  <si>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</si>
  <si>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</si>
  <si>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</si>
  <si>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</si>
  <si>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</si>
  <si>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</si>
  <si>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</si>
  <si>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</si>
  <si>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</si>
  <si>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</si>
  <si>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</si>
  <si>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</si>
  <si>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</si>
  <si>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</si>
  <si>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</si>
  <si>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</si>
  <si>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</si>
  <si>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</si>
  <si>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</si>
  <si>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</si>
  <si>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</si>
  <si>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</si>
  <si>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</si>
  <si>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</si>
  <si>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</si>
  <si>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</si>
  <si>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</si>
  <si>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</si>
  <si>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</si>
  <si>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</si>
  <si>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</si>
  <si>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</si>
  <si>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</si>
  <si>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</si>
  <si>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</si>
  <si>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</si>
  <si>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</si>
  <si>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</si>
  <si>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</si>
  <si>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</si>
  <si>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</si>
  <si>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</si>
  <si>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</si>
  <si>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</si>
  <si>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</si>
  <si>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</si>
  <si>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</si>
  <si>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</si>
  <si>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</si>
  <si>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</si>
  <si>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</si>
  <si>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</si>
  <si>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</si>
  <si>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</si>
  <si>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</si>
  <si>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</si>
  <si>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</si>
  <si>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</si>
  <si>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</si>
  <si>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</si>
  <si>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</si>
  <si>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</si>
  <si>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</si>
  <si>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</si>
  <si>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</si>
  <si>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</si>
  <si>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</si>
  <si>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</si>
  <si>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</si>
  <si>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</si>
  <si>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</si>
  <si>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</si>
  <si>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</si>
  <si>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</si>
  <si>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</si>
  <si>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</si>
  <si>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</si>
  <si>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</si>
  <si>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</si>
  <si>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</si>
  <si>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</si>
  <si>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</si>
  <si>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</si>
  <si>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</si>
  <si>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</si>
  <si>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</si>
  <si>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</si>
  <si>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</si>
  <si>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</si>
  <si>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</si>
  <si>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</si>
  <si>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</si>
  <si>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</si>
  <si>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</si>
  <si>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</si>
  <si>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</si>
  <si>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</si>
  <si>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</si>
  <si>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</si>
  <si>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</si>
  <si>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</si>
  <si>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</si>
  <si>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</si>
  <si>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</si>
  <si>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</si>
  <si>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</si>
  <si>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</si>
  <si>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</si>
  <si>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</si>
  <si>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</si>
  <si>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</si>
  <si>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</si>
  <si>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</si>
  <si>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</si>
  <si>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</si>
  <si>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</si>
  <si>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</si>
  <si>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</si>
  <si>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</si>
  <si>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</si>
  <si>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</si>
  <si>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</si>
  <si>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</si>
  <si>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</si>
  <si>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</si>
  <si>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</si>
  <si>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</si>
  <si>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</si>
  <si>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</si>
  <si>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</si>
  <si>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</si>
  <si>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</si>
  <si>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</si>
  <si>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</si>
  <si>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</si>
  <si>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</si>
  <si>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</si>
  <si>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</si>
  <si>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</si>
  <si>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</si>
  <si>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</si>
  <si>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</si>
  <si>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</si>
  <si>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</si>
  <si>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</si>
  <si>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</si>
  <si>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</si>
  <si>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</si>
  <si>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</si>
  <si>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</si>
  <si>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</si>
  <si>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</si>
  <si>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</si>
  <si>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</si>
  <si>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</si>
  <si>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</si>
  <si>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</si>
  <si>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</si>
  <si>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</si>
  <si>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</si>
  <si>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</si>
  <si>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</si>
  <si>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</si>
  <si>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</si>
  <si>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</si>
  <si>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</si>
  <si>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</si>
  <si>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</si>
  <si>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</si>
  <si>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</si>
  <si>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</si>
  <si>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</si>
  <si>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</si>
  <si>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</si>
  <si>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</si>
  <si>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</si>
  <si>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</si>
  <si>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</si>
  <si>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</si>
  <si>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</si>
  <si>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</si>
  <si>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</si>
  <si>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</si>
  <si>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</si>
  <si>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</si>
  <si>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</si>
  <si>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</si>
  <si>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</si>
  <si>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</si>
  <si>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</si>
  <si>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</si>
  <si>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</si>
  <si>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</si>
  <si>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</si>
  <si>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</si>
  <si>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</si>
  <si>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</si>
  <si>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</si>
  <si>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</si>
  <si>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</si>
  <si>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</si>
  <si>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</si>
  <si>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</si>
  <si>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</si>
  <si>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</si>
  <si>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</si>
  <si>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</si>
  <si>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</si>
  <si>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</si>
  <si>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</si>
  <si>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</si>
  <si>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</si>
  <si>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</si>
  <si>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</si>
  <si>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</si>
  <si>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</si>
  <si>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</si>
  <si>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</si>
  <si>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</si>
  <si>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</si>
  <si>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</si>
  <si>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</si>
  <si>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</si>
  <si>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</si>
  <si>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</si>
  <si>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</si>
  <si>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</si>
  <si>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</si>
  <si>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</si>
  <si>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</si>
  <si>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</si>
  <si>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</si>
  <si>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</si>
  <si>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</si>
  <si>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</si>
  <si>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</si>
  <si>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</si>
  <si>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</si>
  <si>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</si>
  <si>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</si>
  <si>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</si>
  <si>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</si>
  <si>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</si>
  <si>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</si>
  <si>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</si>
  <si>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</si>
  <si>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</si>
  <si>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</si>
  <si>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</si>
  <si>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</si>
  <si>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</si>
  <si>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</si>
  <si>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</si>
  <si>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</si>
  <si>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</si>
  <si>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</si>
  <si>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</si>
  <si>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</si>
  <si>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</si>
  <si>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</si>
  <si>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</si>
  <si>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</si>
  <si>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</si>
  <si>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</si>
  <si>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</si>
  <si>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</si>
  <si>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</si>
  <si>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</si>
  <si>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</si>
  <si>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</si>
  <si>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</si>
  <si>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</si>
  <si>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</si>
  <si>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</si>
  <si>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</si>
  <si>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</si>
  <si>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</si>
  <si>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</si>
  <si>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</si>
  <si>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</si>
  <si>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</si>
  <si>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</si>
  <si>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</si>
  <si>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</si>
  <si>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</si>
  <si>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</si>
  <si>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</si>
  <si>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</si>
  <si>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</si>
  <si>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</si>
  <si>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</si>
  <si>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</si>
  <si>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</si>
  <si>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</si>
  <si>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</si>
  <si>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</si>
  <si>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</si>
  <si>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</si>
  <si>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</si>
  <si>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</si>
  <si>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</si>
  <si>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</si>
  <si>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</si>
  <si>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</si>
  <si>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</si>
  <si>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</si>
  <si>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</si>
  <si>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</si>
  <si>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</si>
  <si>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</si>
  <si>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</si>
  <si>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</si>
  <si>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</si>
  <si>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</si>
  <si>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</si>
  <si>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</si>
  <si>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</si>
  <si>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</si>
  <si>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</si>
  <si>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</si>
  <si>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</si>
  <si>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</si>
  <si>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</si>
  <si>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</si>
  <si>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</si>
  <si>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</si>
  <si>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</si>
  <si>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</si>
  <si>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</si>
  <si>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</si>
  <si>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</si>
  <si>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</si>
  <si>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</si>
  <si>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</si>
  <si>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</si>
  <si>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</si>
  <si>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</si>
  <si>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</si>
  <si>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</si>
  <si>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</si>
  <si>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</si>
  <si>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</si>
  <si>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</si>
  <si>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</si>
  <si>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</si>
  <si>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</si>
  <si>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</si>
  <si>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</si>
  <si>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</si>
  <si>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</si>
  <si>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</si>
  <si>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</si>
  <si>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</si>
  <si>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</si>
  <si>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</si>
  <si>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</si>
  <si>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</si>
  <si>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</si>
  <si>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</si>
  <si>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</si>
  <si>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</si>
  <si>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</si>
  <si>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</si>
  <si>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</si>
  <si>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</si>
  <si>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</si>
  <si>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</si>
  <si>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</si>
  <si>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</si>
  <si>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</si>
  <si>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</si>
  <si>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</si>
  <si>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</si>
  <si>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</si>
  <si>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</si>
  <si>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</si>
  <si>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</si>
  <si>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</si>
  <si>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</si>
  <si>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</si>
  <si>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</si>
  <si>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</si>
  <si>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</si>
  <si>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</si>
  <si>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</si>
  <si>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</si>
  <si>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</si>
  <si>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</si>
  <si>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</si>
  <si>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</si>
  <si>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</si>
  <si>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</si>
  <si>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</si>
  <si>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</si>
  <si>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</si>
  <si>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</si>
  <si>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</si>
  <si>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</si>
  <si>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</si>
  <si>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</si>
  <si>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</si>
  <si>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</si>
  <si>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</si>
  <si>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</si>
  <si>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</si>
  <si>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</si>
  <si>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</si>
  <si>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</si>
  <si>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</si>
  <si>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</si>
  <si>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</si>
  <si>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</si>
  <si>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</si>
  <si>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</si>
  <si>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</si>
  <si>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</si>
  <si>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</si>
  <si>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</si>
  <si>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</si>
  <si>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</si>
  <si>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</si>
  <si>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</si>
  <si>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</si>
  <si>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</si>
  <si>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</si>
  <si>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</si>
  <si>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</si>
  <si>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</si>
  <si>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</si>
  <si>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</si>
  <si>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</si>
  <si>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</si>
  <si>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</si>
  <si>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</si>
  <si>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</si>
  <si>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</si>
  <si>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</si>
  <si>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</si>
  <si>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</si>
  <si>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</si>
  <si>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</si>
  <si>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</si>
  <si>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</si>
  <si>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</si>
  <si>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</si>
  <si>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</si>
  <si>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</si>
  <si>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</si>
  <si>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</si>
  <si>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</si>
  <si>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</si>
  <si>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</si>
  <si>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</si>
  <si>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</si>
  <si>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</si>
  <si>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</si>
  <si>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</si>
  <si>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</si>
  <si>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</si>
  <si>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</si>
  <si>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</si>
  <si>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</si>
  <si>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</si>
  <si>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</si>
  <si>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</si>
  <si>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</si>
  <si>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</si>
  <si>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</si>
  <si>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</si>
  <si>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</si>
  <si>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</si>
  <si>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</si>
  <si>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</si>
  <si>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</si>
  <si>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</si>
  <si>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</si>
  <si>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</si>
  <si>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</si>
  <si>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</si>
  <si>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</si>
  <si>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</si>
  <si>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</si>
  <si>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</si>
  <si>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</si>
  <si>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</si>
  <si>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</si>
  <si>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</si>
  <si>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</si>
  <si>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</si>
  <si>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</si>
  <si>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</si>
  <si>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</si>
  <si>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</si>
  <si>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</si>
  <si>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</si>
  <si>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</si>
  <si>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</si>
  <si>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</si>
  <si>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</si>
  <si>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</si>
  <si>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</si>
  <si>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</si>
  <si>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</si>
  <si>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</si>
  <si>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</si>
  <si>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</si>
  <si>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</si>
  <si>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</si>
  <si>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</si>
  <si>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</si>
  <si>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</si>
  <si>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</si>
  <si>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</si>
  <si>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</si>
  <si>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</si>
  <si>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</si>
  <si>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</si>
  <si>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</si>
  <si>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</si>
  <si>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</si>
  <si>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</si>
  <si>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</si>
  <si>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</si>
  <si>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</si>
  <si>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</si>
  <si>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</si>
  <si>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</si>
  <si>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</si>
  <si>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</si>
  <si>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</si>
  <si>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</si>
  <si>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</si>
  <si>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</si>
  <si>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</si>
  <si>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</si>
  <si>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</si>
  <si>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</si>
  <si>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</si>
  <si>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</si>
  <si>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</si>
  <si>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</si>
  <si>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</si>
  <si>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</si>
  <si>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</si>
  <si>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</si>
  <si>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</si>
  <si>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</si>
  <si>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</si>
  <si>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</si>
  <si>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</si>
  <si>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</si>
  <si>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</si>
  <si>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</si>
  <si>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</si>
  <si>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</si>
  <si>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</si>
  <si>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</si>
  <si>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</si>
  <si>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</si>
  <si>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</si>
  <si>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</si>
  <si>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</si>
  <si>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</si>
  <si>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</si>
  <si>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</si>
  <si>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</si>
  <si>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</si>
  <si>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</si>
  <si>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</si>
  <si>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</si>
  <si>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</si>
  <si>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</si>
  <si>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</si>
  <si>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</si>
  <si>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</si>
  <si>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</si>
  <si>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</si>
  <si>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</si>
  <si>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</si>
  <si>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</si>
  <si>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</si>
  <si>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</si>
  <si>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</si>
  <si>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</si>
  <si>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</si>
  <si>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</si>
  <si>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</si>
  <si>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</si>
  <si>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</si>
  <si>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</si>
  <si>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</si>
  <si>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</si>
  <si>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</si>
  <si>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</si>
  <si>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</si>
  <si>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</si>
  <si>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</si>
  <si>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</si>
  <si>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</si>
  <si>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</si>
  <si>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</si>
  <si>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</si>
  <si>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</si>
  <si>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</si>
  <si>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</si>
  <si>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</si>
  <si>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</si>
  <si>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</si>
  <si>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</si>
  <si>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</si>
  <si>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</si>
  <si>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</si>
  <si>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</si>
  <si>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</si>
  <si>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</si>
  <si>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</si>
  <si>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</si>
  <si>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</si>
  <si>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</si>
  <si>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</si>
  <si>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</si>
  <si>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</si>
  <si>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</si>
  <si>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</si>
  <si>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</si>
  <si>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</si>
  <si>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</si>
  <si>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</si>
  <si>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</si>
  <si>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</si>
  <si>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</si>
  <si>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</si>
  <si>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</si>
  <si>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</si>
  <si>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</si>
  <si>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</si>
  <si>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</si>
  <si>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</si>
  <si>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</si>
  <si>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</si>
  <si>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</si>
  <si>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</si>
  <si>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</si>
  <si>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</si>
  <si>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</si>
  <si>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</si>
  <si>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</si>
  <si>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</si>
  <si>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</si>
  <si>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</si>
  <si>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</si>
  <si>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</si>
  <si>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</si>
  <si>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</si>
  <si>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</si>
  <si>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</si>
  <si>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</si>
  <si>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</si>
  <si>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</si>
  <si>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</si>
  <si>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</si>
  <si>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</si>
  <si>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</si>
  <si>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</si>
  <si>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</si>
  <si>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</si>
  <si>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</si>
  <si>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</si>
  <si>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</si>
  <si>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</si>
  <si>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</si>
  <si>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</si>
  <si>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</si>
  <si>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</si>
  <si>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</si>
  <si>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</si>
  <si>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</si>
  <si>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</si>
  <si>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</si>
  <si>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</si>
  <si>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</si>
  <si>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</si>
  <si>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</si>
  <si>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</si>
  <si>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</si>
  <si>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</si>
  <si>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</si>
  <si>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</si>
  <si>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</si>
  <si>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</si>
  <si>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</si>
  <si>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</si>
  <si>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</si>
  <si>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</si>
  <si>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</si>
  <si>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</si>
  <si>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</si>
  <si>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</si>
  <si>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</si>
  <si>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</si>
  <si>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</si>
  <si>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</si>
  <si>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</si>
  <si>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</si>
  <si>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</si>
  <si>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</si>
  <si>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</si>
  <si>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</si>
  <si>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</si>
  <si>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</si>
  <si>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</si>
  <si>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</si>
  <si>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</si>
  <si>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</si>
  <si>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</si>
  <si>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</si>
  <si>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</si>
  <si>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</si>
  <si>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</si>
  <si>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</si>
  <si>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</si>
  <si>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</si>
  <si>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</si>
  <si>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</si>
  <si>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</si>
  <si>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</si>
  <si>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</si>
  <si>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</si>
  <si>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</si>
  <si>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</si>
  <si>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</si>
  <si>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</si>
  <si>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</si>
  <si>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</si>
  <si>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</si>
  <si>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</si>
  <si>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</si>
  <si>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</si>
  <si>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</si>
  <si>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</si>
  <si>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</si>
  <si>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</si>
  <si>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</si>
  <si>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</si>
  <si>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</si>
  <si>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</si>
  <si>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</si>
  <si>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</si>
  <si>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</si>
  <si>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</si>
  <si>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</si>
  <si>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</si>
  <si>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</si>
  <si>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</si>
  <si>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</si>
  <si>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</si>
  <si>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</si>
  <si>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</si>
  <si>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</si>
  <si>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</si>
  <si>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</si>
  <si>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</si>
  <si>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</si>
  <si>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</si>
  <si>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</si>
  <si>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</si>
  <si>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</si>
  <si>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</si>
  <si>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</si>
  <si>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</si>
  <si>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</si>
  <si>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</si>
  <si>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</si>
  <si>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</si>
  <si>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</si>
  <si>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</si>
  <si>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</si>
  <si>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</si>
  <si>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</si>
  <si>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</si>
  <si>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</si>
  <si>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</si>
  <si>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</si>
  <si>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</si>
  <si>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</si>
  <si>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</si>
  <si>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</si>
  <si>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</si>
  <si>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</si>
  <si>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</si>
  <si>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</si>
  <si>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</si>
  <si>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</si>
  <si>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</si>
  <si>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</si>
  <si>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</si>
  <si>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</si>
  <si>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</si>
  <si>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</si>
  <si>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</si>
  <si>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</si>
  <si>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</si>
  <si>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</si>
  <si>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</si>
  <si>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</si>
  <si>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</si>
  <si>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</si>
  <si>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</si>
  <si>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</si>
  <si>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</si>
  <si>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</si>
  <si>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</si>
  <si>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</si>
  <si>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</si>
  <si>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</si>
  <si>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</si>
  <si>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</si>
  <si>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</si>
  <si>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</si>
  <si>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</si>
  <si>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</si>
  <si>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</si>
  <si>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</si>
  <si>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</si>
  <si>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</si>
  <si>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</si>
  <si>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</si>
  <si>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</si>
  <si>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</si>
  <si>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</si>
  <si>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</si>
  <si>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</si>
  <si>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</si>
  <si>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</si>
  <si>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</si>
  <si>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</si>
  <si>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</si>
  <si>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</si>
  <si>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</si>
  <si>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</si>
  <si>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</si>
  <si>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</si>
  <si>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</si>
  <si>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</si>
  <si>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</si>
  <si>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</si>
  <si>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</si>
  <si>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</si>
  <si>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</si>
  <si>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</si>
  <si>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</si>
  <si>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</si>
  <si>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</si>
  <si>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</si>
  <si>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</si>
  <si>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</si>
  <si>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</si>
  <si>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</si>
  <si>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</si>
  <si>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</si>
  <si>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</si>
  <si>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</si>
  <si>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</si>
  <si>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</si>
  <si>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</si>
  <si>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</si>
  <si>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</si>
  <si>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</si>
  <si>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</si>
  <si>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</si>
  <si>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</si>
  <si>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</si>
  <si>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</si>
  <si>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</si>
  <si>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</si>
  <si>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</si>
  <si>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</si>
  <si>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</si>
  <si>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</si>
  <si>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</si>
  <si>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</si>
  <si>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</si>
  <si>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</si>
  <si>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</si>
  <si>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</si>
  <si>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</si>
  <si>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</si>
  <si>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</si>
  <si>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</si>
  <si>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</si>
  <si>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</si>
  <si>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</si>
  <si>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</si>
  <si>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</si>
  <si>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</si>
  <si>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</si>
  <si>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</si>
  <si>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</si>
  <si>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</si>
  <si>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</si>
  <si>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</si>
  <si>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</si>
  <si>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</si>
  <si>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</si>
  <si>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</si>
  <si>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</si>
  <si>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</si>
  <si>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</si>
  <si>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</si>
  <si>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</si>
  <si>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</si>
  <si>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</si>
  <si>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</si>
  <si>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</si>
  <si>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</si>
  <si>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</si>
  <si>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</si>
  <si>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</si>
  <si>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</si>
  <si>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</si>
  <si>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</si>
  <si>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</si>
  <si>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</si>
  <si>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</si>
  <si>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</si>
  <si>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</si>
  <si>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</si>
  <si>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</si>
  <si>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</si>
  <si>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</si>
  <si>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</si>
  <si>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</si>
  <si>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</si>
  <si>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</si>
  <si>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</si>
  <si>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</si>
  <si>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</si>
  <si>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</si>
  <si>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</si>
  <si>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</si>
  <si>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</si>
  <si>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</si>
  <si>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</si>
  <si>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</si>
  <si>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</si>
  <si>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</si>
  <si>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</si>
  <si>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</si>
  <si>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</si>
  <si>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</si>
  <si>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</si>
  <si>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</si>
  <si>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</si>
  <si>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</si>
  <si>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</si>
  <si>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</si>
  <si>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</si>
  <si>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</si>
  <si>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</si>
  <si>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</si>
  <si>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</si>
  <si>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</si>
  <si>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</si>
  <si>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</si>
  <si>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</si>
  <si>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</si>
  <si>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</si>
  <si>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</si>
  <si>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</si>
  <si>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</si>
  <si>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</si>
  <si>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</si>
  <si>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</si>
  <si>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</si>
  <si>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</si>
  <si>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</si>
  <si>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</si>
  <si>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</si>
  <si>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</si>
  <si>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</si>
  <si>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</si>
  <si>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</si>
  <si>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</si>
  <si>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</si>
  <si>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</si>
  <si>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</si>
  <si>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</si>
  <si>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</si>
  <si>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</si>
  <si>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</si>
  <si>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</si>
  <si>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</si>
  <si>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</si>
  <si>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</si>
  <si>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</si>
  <si>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</si>
  <si>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</si>
  <si>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</si>
  <si>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</si>
  <si>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</si>
  <si>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</si>
  <si>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</si>
  <si>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</si>
  <si>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</si>
  <si>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</si>
  <si>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</si>
  <si>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</si>
  <si>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</si>
  <si>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</si>
  <si>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</si>
  <si>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</si>
  <si>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</si>
  <si>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</si>
  <si>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</si>
  <si>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</si>
  <si>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</si>
  <si>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</si>
  <si>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</si>
  <si>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</si>
  <si>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</si>
  <si>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</si>
  <si>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</si>
  <si>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</si>
  <si>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</si>
  <si>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</si>
  <si>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</si>
  <si>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</si>
  <si>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</si>
  <si>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</si>
  <si>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</si>
  <si>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</si>
  <si>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</si>
  <si>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</si>
  <si>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</si>
  <si>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</si>
  <si>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</si>
  <si>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</si>
  <si>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</si>
  <si>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</si>
  <si>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</si>
  <si>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</si>
  <si>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</si>
  <si>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</si>
  <si>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</si>
  <si>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</si>
  <si>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</si>
  <si>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</si>
  <si>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</si>
  <si>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</si>
  <si>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</si>
  <si>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</si>
  <si>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</si>
  <si>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</si>
  <si>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</si>
  <si>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</si>
  <si>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</si>
  <si>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</si>
  <si>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</si>
  <si>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</si>
  <si>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</si>
  <si>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</si>
  <si>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</si>
  <si>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</si>
  <si>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</si>
  <si>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</si>
  <si>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</si>
  <si>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</si>
  <si>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</si>
  <si>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</si>
  <si>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</si>
  <si>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</si>
  <si>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</si>
  <si>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</si>
  <si>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</si>
  <si>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</si>
  <si>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</si>
  <si>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</si>
  <si>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</si>
  <si>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</si>
  <si>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</si>
  <si>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</si>
  <si>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</si>
  <si>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</si>
  <si>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</si>
  <si>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</si>
  <si>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</si>
  <si>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</si>
  <si>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</si>
  <si>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</si>
  <si>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</si>
  <si>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</si>
  <si>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</si>
  <si>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</si>
  <si>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</si>
  <si>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</si>
  <si>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</si>
  <si>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</si>
  <si>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</si>
  <si>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</si>
  <si>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</si>
  <si>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</si>
  <si>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</si>
  <si>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</si>
  <si>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</si>
  <si>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</si>
  <si>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</si>
  <si>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</si>
  <si>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</si>
  <si>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</si>
  <si>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</si>
  <si>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</si>
  <si>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</si>
  <si>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</si>
  <si>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</si>
  <si>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</si>
  <si>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</si>
  <si>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</si>
  <si>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</si>
  <si>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</si>
  <si>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</si>
  <si>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</si>
  <si>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</si>
  <si>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</si>
  <si>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</si>
  <si>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</si>
  <si>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</si>
  <si>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</si>
  <si>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</si>
  <si>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</si>
  <si>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</si>
  <si>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</si>
  <si>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</si>
  <si>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</si>
  <si>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</si>
  <si>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</si>
  <si>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</si>
  <si>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</si>
  <si>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</si>
  <si>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</si>
  <si>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</si>
  <si>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</si>
  <si>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</si>
  <si>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</si>
  <si>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</si>
  <si>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</si>
  <si>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</si>
  <si>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</si>
  <si>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</si>
  <si>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</si>
  <si>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</si>
  <si>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</si>
  <si>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</si>
  <si>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</si>
  <si>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</si>
  <si>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</si>
  <si>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</si>
  <si>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</si>
  <si>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</si>
  <si>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</si>
  <si>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</si>
  <si>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</si>
  <si>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</si>
  <si>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</si>
  <si>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</si>
  <si>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</si>
  <si>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</si>
  <si>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</si>
  <si>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</si>
  <si>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</si>
  <si>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</si>
  <si>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</si>
  <si>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</si>
  <si>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</si>
  <si>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</si>
  <si>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</si>
  <si>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</si>
  <si>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</si>
  <si>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</si>
  <si>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</si>
  <si>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</si>
  <si>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</si>
  <si>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</si>
  <si>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</si>
  <si>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</si>
  <si>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</si>
  <si>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</si>
  <si>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</si>
  <si>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</si>
  <si>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</si>
  <si>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</si>
  <si>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</si>
  <si>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</si>
  <si>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</si>
  <si>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</si>
  <si>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</si>
  <si>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</si>
  <si>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</si>
  <si>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</si>
  <si>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</si>
  <si>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</si>
  <si>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</si>
  <si>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</si>
  <si>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</si>
  <si>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</si>
  <si>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</si>
  <si>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</si>
  <si>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</si>
  <si>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</si>
  <si>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</si>
  <si>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</si>
  <si>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</si>
  <si>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</si>
  <si>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</si>
  <si>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</si>
  <si>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</si>
  <si>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</si>
  <si>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</si>
  <si>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</si>
  <si>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</si>
  <si>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</si>
  <si>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</si>
  <si>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</si>
  <si>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</si>
  <si>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</si>
  <si>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</si>
  <si>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</si>
  <si>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</si>
  <si>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</si>
  <si>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</si>
  <si>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</si>
  <si>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</si>
  <si>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</si>
  <si>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</si>
  <si>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</si>
  <si>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</si>
  <si>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</si>
  <si>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</si>
  <si>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</si>
  <si>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</si>
  <si>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</si>
  <si>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</si>
  <si>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</si>
  <si>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</si>
  <si>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</si>
  <si>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</si>
  <si>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</si>
  <si>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</si>
  <si>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</si>
  <si>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</si>
  <si>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</si>
  <si>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</si>
  <si>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</si>
  <si>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</si>
  <si>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</si>
  <si>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</si>
  <si>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</si>
  <si>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</si>
  <si>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</si>
  <si>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</si>
  <si>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</si>
  <si>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</si>
  <si>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</si>
  <si>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</si>
  <si>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</si>
  <si>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</si>
  <si>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</si>
  <si>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</si>
  <si>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</si>
  <si>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</si>
  <si>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</si>
  <si>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</si>
  <si>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</si>
  <si>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</si>
  <si>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</si>
  <si>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</si>
  <si>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</si>
  <si>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</si>
  <si>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</si>
  <si>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</si>
  <si>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</si>
  <si>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</si>
  <si>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</si>
  <si>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</si>
  <si>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</si>
  <si>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</si>
  <si>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</si>
  <si>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</si>
  <si>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</si>
  <si>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</si>
  <si>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</si>
  <si>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</si>
  <si>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</si>
  <si>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</si>
  <si>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</si>
  <si>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</si>
  <si>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</si>
  <si>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</si>
  <si>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</si>
  <si>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</si>
  <si>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</si>
  <si>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</si>
  <si>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</si>
  <si>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</si>
  <si>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</si>
  <si>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</si>
  <si>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</si>
  <si>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</si>
  <si>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</si>
  <si>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</si>
  <si>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</si>
  <si>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</si>
  <si>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</si>
  <si>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</si>
  <si>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</si>
  <si>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</si>
  <si>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</si>
  <si>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</si>
  <si>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</si>
  <si>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</si>
  <si>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</si>
  <si>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</si>
  <si>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</si>
  <si>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</si>
  <si>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</si>
  <si>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</si>
  <si>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</si>
  <si>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</si>
  <si>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</si>
  <si>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</si>
  <si>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</si>
  <si>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</si>
  <si>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</si>
  <si>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</si>
  <si>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</si>
  <si>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</si>
  <si>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</si>
  <si>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</si>
  <si>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</si>
  <si>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</si>
  <si>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</si>
  <si>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</si>
  <si>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</si>
  <si>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</si>
  <si>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</si>
  <si>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</si>
  <si>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</si>
  <si>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</si>
  <si>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</si>
  <si>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</si>
  <si>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</si>
  <si>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</si>
  <si>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</si>
  <si>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</si>
  <si>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</si>
  <si>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</si>
  <si>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</si>
  <si>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</si>
  <si>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</si>
  <si>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</si>
  <si>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</si>
  <si>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</si>
  <si>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</si>
  <si>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</si>
  <si>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</si>
  <si>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</si>
  <si>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</si>
  <si>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</si>
  <si>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</si>
  <si>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</si>
  <si>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</si>
  <si>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</si>
  <si>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</si>
  <si>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</si>
  <si>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</si>
  <si>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</si>
  <si>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</si>
  <si>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</si>
  <si>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</si>
  <si>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</si>
  <si>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</si>
  <si>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</si>
  <si>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</si>
  <si>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</si>
  <si>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</si>
  <si>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</si>
  <si>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</si>
  <si>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</si>
  <si>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</si>
  <si>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</si>
  <si>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</si>
  <si>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</si>
  <si>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</si>
  <si>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</si>
  <si>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</si>
  <si>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</si>
  <si>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</si>
  <si>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</si>
  <si>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</si>
  <si>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</si>
  <si>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</si>
  <si>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</si>
  <si>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</si>
  <si>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</si>
  <si>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</si>
  <si>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</si>
  <si>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</si>
  <si>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</si>
  <si>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</si>
  <si>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</si>
  <si>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</si>
  <si>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</si>
  <si>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</si>
  <si>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</si>
  <si>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</si>
  <si>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</si>
  <si>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</si>
  <si>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</si>
  <si>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</si>
  <si>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</si>
  <si>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</si>
  <si>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</si>
  <si>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</si>
  <si>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</si>
  <si>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</si>
  <si>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</si>
  <si>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</si>
  <si>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</si>
  <si>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</si>
  <si>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</si>
  <si>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</si>
  <si>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</si>
  <si>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</si>
  <si>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</si>
  <si>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</si>
  <si>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</si>
  <si>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</si>
  <si>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</si>
  <si>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</si>
  <si>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</si>
  <si>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</si>
  <si>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</si>
  <si>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</si>
  <si>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</si>
  <si>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</si>
  <si>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</si>
  <si>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</si>
  <si>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</si>
  <si>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</si>
  <si>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</si>
  <si>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</si>
  <si>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</si>
  <si>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</si>
  <si>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</si>
  <si>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</si>
  <si>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</si>
  <si>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</si>
  <si>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</si>
  <si>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</si>
  <si>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</si>
  <si>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</si>
  <si>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</si>
  <si>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</si>
  <si>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</si>
  <si>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</si>
  <si>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</si>
  <si>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</si>
  <si>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</si>
  <si>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</si>
  <si>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</si>
  <si>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</si>
  <si>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</si>
  <si>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</si>
  <si>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</si>
  <si>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</si>
  <si>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</si>
  <si>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</si>
  <si>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</si>
  <si>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</si>
  <si>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</si>
  <si>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</si>
  <si>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</si>
  <si>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</si>
  <si>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</si>
  <si>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</si>
  <si>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</si>
  <si>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</si>
  <si>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</si>
  <si>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</si>
  <si>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</si>
  <si>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</si>
  <si>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</si>
  <si>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</si>
  <si>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</si>
  <si>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</si>
  <si>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</si>
  <si>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</si>
  <si>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</si>
  <si>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</si>
  <si>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</si>
  <si>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</si>
  <si>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</si>
  <si>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</si>
  <si>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</si>
  <si>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</si>
  <si>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</si>
  <si>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</si>
  <si>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</si>
  <si>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</si>
  <si>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</si>
  <si>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</si>
  <si>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</si>
  <si>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</si>
  <si>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</si>
  <si>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</si>
  <si>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</si>
  <si>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</si>
  <si>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</si>
  <si>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</si>
  <si>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</si>
  <si>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</si>
  <si>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</si>
  <si>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</si>
  <si>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</si>
  <si>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</si>
  <si>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</si>
  <si>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</si>
  <si>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</si>
  <si>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</si>
  <si>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</si>
  <si>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</si>
  <si>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</si>
  <si>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</si>
  <si>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</si>
  <si>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</si>
  <si>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</si>
  <si>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</si>
  <si>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</si>
  <si>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</si>
  <si>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</si>
  <si>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</si>
  <si>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</si>
  <si>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</si>
  <si>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</si>
  <si>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</si>
  <si>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</si>
  <si>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</si>
  <si>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</si>
  <si>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</si>
  <si>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</si>
  <si>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</si>
  <si>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</si>
  <si>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</si>
  <si>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</si>
  <si>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</si>
  <si>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</si>
  <si>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</si>
  <si>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</si>
  <si>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</si>
  <si>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</si>
  <si>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</si>
  <si>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</si>
  <si>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</si>
  <si>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</si>
  <si>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</si>
  <si>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</si>
  <si>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</si>
  <si>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</si>
  <si>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</si>
  <si>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</si>
  <si>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</si>
  <si>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</si>
  <si>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</si>
  <si>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</si>
  <si>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</si>
  <si>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</si>
  <si>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</si>
  <si>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</si>
  <si>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</si>
  <si>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</si>
  <si>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</si>
  <si>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</si>
  <si>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</si>
  <si>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</si>
  <si>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</si>
  <si>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</si>
  <si>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</si>
  <si>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</si>
  <si>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</si>
  <si>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</si>
  <si>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</si>
  <si>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</si>
  <si>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</si>
  <si>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</si>
  <si>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</si>
  <si>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</si>
  <si>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</si>
  <si>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</si>
  <si>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</si>
  <si>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</si>
  <si>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</si>
  <si>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</si>
  <si>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</si>
  <si>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</si>
  <si>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</si>
  <si>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</si>
  <si>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</si>
  <si>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</si>
  <si>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</si>
  <si>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</si>
  <si>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</si>
  <si>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</si>
  <si>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</si>
  <si>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</si>
  <si>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</si>
  <si>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</si>
  <si>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</si>
  <si>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</si>
  <si>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</si>
  <si>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</si>
  <si>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</si>
  <si>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</si>
  <si>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</si>
  <si>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</si>
  <si>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</si>
  <si>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</si>
  <si>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</si>
  <si>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</si>
  <si>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</si>
  <si>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</si>
  <si>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</si>
  <si>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</si>
  <si>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</si>
  <si>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</si>
  <si>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</si>
  <si>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</si>
  <si>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</si>
  <si>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</si>
  <si>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</si>
  <si>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</si>
  <si>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</si>
  <si>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</si>
  <si>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</si>
  <si>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</si>
  <si>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</si>
  <si>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</si>
  <si>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</si>
  <si>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</si>
  <si>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</si>
  <si>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</si>
  <si>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</si>
  <si>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</si>
  <si>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</si>
  <si>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</si>
  <si>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</si>
  <si>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</si>
  <si>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</si>
  <si>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</si>
  <si>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</si>
  <si>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</si>
  <si>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</si>
  <si>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</si>
  <si>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</si>
  <si>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</si>
  <si>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</si>
  <si>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</si>
  <si>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</si>
  <si>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</si>
  <si>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</si>
  <si>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</si>
  <si>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</si>
  <si>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</si>
  <si>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</si>
  <si>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</si>
  <si>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</si>
  <si>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</si>
  <si>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</si>
  <si>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</si>
  <si>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</si>
  <si>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</si>
  <si>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</si>
  <si>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</si>
  <si>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</si>
  <si>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</si>
  <si>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</si>
  <si>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</si>
  <si>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</si>
  <si>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</si>
  <si>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</si>
  <si>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</si>
  <si>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</si>
  <si>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</si>
  <si>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</si>
  <si>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</si>
  <si>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</si>
  <si>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</si>
  <si>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</si>
  <si>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</si>
  <si>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</si>
  <si>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</si>
  <si>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</si>
  <si>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</si>
  <si>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</si>
  <si>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</si>
  <si>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</si>
  <si>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</si>
  <si>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</si>
  <si>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</si>
  <si>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</si>
  <si>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</si>
  <si>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</si>
  <si>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</si>
  <si>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</si>
  <si>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</si>
  <si>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</si>
  <si>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</si>
  <si>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</si>
  <si>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</si>
  <si>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</si>
  <si>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</si>
  <si>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</si>
  <si>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</si>
  <si>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</si>
  <si>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</si>
  <si>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</si>
  <si>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</si>
  <si>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</si>
  <si>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</si>
  <si>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</si>
  <si>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</si>
  <si>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</si>
  <si>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</si>
  <si>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</si>
  <si>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</si>
  <si>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</si>
  <si>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</si>
  <si>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</si>
  <si>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</si>
  <si>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</si>
  <si>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</si>
  <si>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</si>
  <si>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</si>
  <si>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</si>
  <si>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</si>
  <si>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</si>
  <si>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</si>
  <si>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</si>
  <si>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</si>
  <si>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</si>
  <si>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</si>
  <si>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</si>
  <si>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</si>
  <si>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</si>
  <si>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</si>
  <si>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</si>
  <si>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</si>
  <si>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</si>
  <si>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</si>
  <si>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</si>
  <si>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</si>
  <si>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</si>
  <si>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</si>
  <si>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</si>
  <si>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</si>
  <si>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</si>
  <si>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</si>
  <si>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</si>
  <si>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</si>
  <si>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</si>
  <si>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</si>
  <si>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</si>
  <si>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</si>
  <si>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</si>
  <si>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</si>
  <si>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</si>
  <si>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</si>
  <si>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</si>
  <si>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</si>
  <si>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</si>
  <si>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</si>
  <si>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</si>
  <si>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</si>
  <si>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</si>
  <si>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</si>
  <si>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</si>
  <si>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</si>
  <si>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</si>
  <si>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</si>
  <si>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</si>
  <si>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</si>
  <si>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</si>
  <si>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</si>
  <si>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</si>
  <si>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</si>
  <si>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</si>
  <si>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</si>
  <si>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</si>
  <si>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</si>
  <si>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</si>
  <si>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</si>
  <si>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</si>
  <si>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</si>
  <si>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</si>
  <si>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</si>
  <si>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</si>
  <si>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</si>
  <si>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</si>
  <si>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</si>
  <si>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</si>
  <si>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</si>
  <si>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</si>
  <si>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</si>
  <si>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</si>
  <si>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</si>
  <si>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</si>
  <si>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</si>
  <si>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</si>
  <si>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</si>
  <si>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</si>
  <si>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</si>
  <si>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</si>
  <si>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</si>
  <si>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</si>
  <si>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</si>
  <si>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</si>
  <si>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</si>
  <si>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</si>
  <si>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</si>
  <si>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</si>
  <si>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</si>
  <si>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</si>
  <si>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</si>
  <si>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</si>
  <si>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</si>
  <si>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</si>
  <si>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</si>
  <si>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</si>
  <si>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</si>
  <si>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</si>
  <si>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</si>
  <si>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</si>
  <si>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</si>
  <si>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</si>
  <si>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</si>
  <si>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</si>
  <si>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</si>
  <si>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</si>
  <si>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</si>
  <si>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</si>
  <si>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</si>
  <si>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</si>
  <si>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</si>
  <si>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</si>
  <si>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</si>
  <si>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</si>
  <si>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</si>
  <si>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</si>
  <si>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</si>
  <si>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</si>
  <si>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</si>
  <si>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</si>
  <si>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</si>
  <si>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</si>
  <si>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</si>
  <si>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</si>
  <si>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</si>
  <si>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</si>
  <si>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</si>
  <si>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</si>
  <si>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</si>
  <si>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</si>
  <si>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</si>
  <si>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</si>
  <si>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</si>
  <si>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</si>
  <si>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</si>
  <si>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</si>
  <si>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</si>
  <si>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</si>
  <si>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</si>
  <si>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</si>
  <si>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</si>
  <si>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</si>
  <si>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</si>
  <si>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</si>
  <si>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</si>
  <si>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</si>
  <si>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</si>
  <si>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</si>
  <si>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</si>
  <si>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</si>
  <si>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</si>
  <si>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</si>
  <si>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</si>
  <si>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</si>
  <si>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</si>
  <si>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</si>
  <si>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</si>
  <si>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</si>
  <si>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</si>
  <si>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</si>
  <si>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</si>
  <si>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</si>
  <si>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</si>
  <si>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</si>
  <si>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</si>
  <si>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</si>
  <si>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</si>
  <si>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</si>
  <si>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</si>
  <si>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</si>
  <si>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</si>
  <si>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</si>
  <si>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</si>
  <si>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</si>
  <si>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</si>
  <si>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</si>
  <si>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</si>
  <si>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</si>
  <si>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</si>
  <si>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</si>
  <si>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</si>
  <si>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</si>
  <si>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</si>
  <si>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</si>
  <si>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</si>
  <si>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</si>
  <si>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</si>
  <si>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</si>
  <si>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</si>
  <si>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</si>
  <si>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</si>
  <si>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</si>
  <si>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</si>
  <si>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</si>
  <si>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</si>
  <si>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</si>
  <si>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</si>
  <si>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</si>
  <si>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</si>
  <si>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</si>
  <si>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</si>
  <si>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</si>
  <si>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</si>
  <si>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</si>
  <si>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</si>
  <si>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</si>
  <si>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</si>
  <si>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</si>
  <si>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</si>
  <si>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</si>
  <si>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</si>
  <si>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</si>
  <si>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</si>
  <si>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</si>
  <si>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</si>
  <si>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</si>
  <si>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</si>
  <si>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</si>
  <si>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</si>
  <si>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</si>
  <si>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</si>
  <si>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</si>
  <si>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</si>
  <si>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</si>
  <si>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</si>
  <si>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</si>
  <si>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</si>
  <si>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</si>
  <si>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</si>
  <si>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</si>
  <si>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</si>
  <si>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</si>
  <si>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</si>
  <si>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</si>
  <si>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</si>
  <si>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</si>
  <si>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</si>
  <si>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</si>
  <si>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</si>
  <si>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</si>
  <si>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</si>
  <si>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</si>
  <si>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</si>
  <si>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</si>
  <si>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</si>
  <si>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</si>
  <si>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</si>
  <si>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</si>
  <si>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</si>
  <si>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</si>
  <si>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</si>
  <si>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</si>
  <si>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</si>
  <si>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</si>
  <si>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</si>
  <si>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</si>
  <si>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</si>
  <si>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</si>
  <si>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</si>
  <si>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</si>
  <si>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</si>
  <si>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</si>
  <si>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</si>
  <si>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</si>
  <si>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</si>
  <si>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</si>
  <si>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</si>
  <si>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</si>
  <si>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</si>
  <si>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</si>
  <si>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</si>
  <si>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</si>
  <si>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</si>
  <si>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</si>
  <si>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</si>
  <si>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</si>
  <si>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</si>
  <si>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</si>
  <si>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</si>
  <si>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</si>
  <si>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</si>
  <si>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</si>
  <si>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</si>
  <si>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</si>
  <si>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</si>
  <si>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</si>
  <si>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</si>
  <si>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</si>
  <si>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</si>
  <si>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</si>
  <si>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</si>
  <si>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</si>
  <si>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</si>
  <si>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</si>
  <si>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</si>
  <si>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</si>
  <si>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</si>
  <si>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</si>
  <si>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</si>
  <si>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</si>
  <si>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</si>
  <si>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</si>
  <si>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</si>
  <si>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</si>
  <si>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</si>
  <si>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</si>
  <si>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</si>
  <si>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</si>
  <si>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</si>
  <si>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</si>
  <si>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</si>
  <si>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</si>
  <si>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</si>
  <si>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</si>
  <si>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</si>
  <si>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</si>
  <si>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</si>
  <si>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</si>
  <si>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</si>
  <si>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</si>
  <si>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</si>
  <si>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</si>
  <si>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</si>
  <si>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</si>
  <si>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</si>
  <si>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</si>
  <si>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</si>
  <si>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</si>
  <si>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</si>
  <si>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</si>
  <si>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</si>
  <si>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</si>
  <si>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</si>
  <si>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</si>
  <si>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</si>
  <si>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</si>
  <si>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</si>
  <si>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</si>
  <si>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</si>
  <si>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</si>
  <si>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</si>
  <si>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</si>
  <si>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</si>
  <si>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</si>
  <si>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</si>
  <si>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</si>
  <si>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</si>
  <si>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</si>
  <si>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</si>
  <si>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</si>
  <si>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</si>
  <si>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</si>
  <si>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</si>
  <si>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</si>
  <si>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</si>
  <si>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</si>
  <si>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</si>
  <si>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</si>
  <si>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</si>
  <si>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</si>
  <si>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</si>
  <si>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</si>
  <si>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</si>
  <si>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</si>
  <si>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</si>
  <si>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</si>
  <si>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</si>
  <si>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</si>
  <si>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</si>
  <si>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</si>
  <si>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</si>
  <si>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</si>
  <si>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</si>
  <si>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</si>
  <si>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</si>
  <si>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</si>
  <si>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</si>
  <si>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</si>
  <si>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</si>
  <si>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</si>
  <si>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</si>
  <si>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</si>
  <si>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</si>
  <si>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</si>
  <si>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</si>
  <si>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</si>
  <si>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</si>
  <si>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</si>
  <si>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</si>
  <si>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</si>
  <si>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</si>
  <si>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</si>
  <si>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</si>
  <si>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</si>
  <si>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</si>
  <si>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</si>
  <si>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</si>
  <si>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</si>
  <si>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</si>
  <si>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</si>
  <si>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</si>
  <si>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</si>
  <si>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</si>
  <si>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</si>
  <si>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</si>
  <si>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</si>
  <si>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</si>
  <si>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</si>
  <si>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</si>
  <si>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</si>
  <si>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</si>
  <si>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</si>
  <si>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</si>
  <si>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</si>
  <si>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</si>
  <si>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</si>
  <si>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</si>
  <si>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</si>
  <si>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</si>
  <si>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</si>
  <si>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</si>
  <si>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</si>
  <si>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</si>
  <si>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</si>
  <si>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</si>
  <si>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</si>
  <si>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</si>
  <si>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</si>
  <si>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</si>
  <si>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</si>
  <si>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</si>
  <si>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</si>
  <si>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</si>
  <si>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</si>
  <si>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</si>
  <si>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</si>
  <si>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</si>
  <si>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</si>
  <si>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</si>
  <si>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</si>
  <si>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</si>
  <si>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</si>
  <si>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</si>
  <si>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</si>
  <si>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</si>
  <si>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</si>
  <si>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</si>
  <si>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</si>
  <si>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</si>
  <si>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</si>
  <si>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</si>
  <si>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</si>
  <si>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</si>
  <si>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</si>
  <si>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</si>
  <si>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</si>
  <si>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</si>
  <si>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</si>
  <si>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</si>
  <si>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</si>
  <si>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</si>
  <si>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</si>
  <si>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</si>
  <si>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</si>
  <si>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</si>
  <si>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</si>
  <si>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</si>
  <si>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</si>
  <si>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</si>
  <si>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</si>
  <si>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</si>
  <si>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</si>
  <si>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</si>
  <si>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</si>
  <si>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</si>
  <si>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</si>
  <si>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</si>
  <si>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</si>
  <si>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</si>
  <si>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</si>
  <si>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</si>
  <si>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</si>
  <si>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</si>
  <si>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</si>
  <si>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</si>
  <si>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</si>
  <si>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</si>
  <si>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</si>
  <si>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</si>
  <si>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</si>
  <si>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</si>
  <si>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</si>
  <si>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</si>
  <si>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</si>
  <si>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</si>
  <si>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</si>
  <si>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</si>
  <si>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</si>
  <si>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</si>
  <si>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</si>
  <si>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</si>
  <si>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</si>
  <si>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</si>
  <si>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</si>
  <si>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</si>
  <si>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</si>
  <si>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</si>
  <si>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</si>
  <si>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</si>
  <si>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</si>
  <si>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</si>
  <si>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</si>
  <si>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</si>
  <si>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</si>
  <si>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</si>
  <si>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</si>
  <si>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</si>
  <si>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</si>
  <si>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</si>
  <si>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</si>
  <si>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</si>
  <si>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</si>
  <si>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</si>
  <si>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</si>
  <si>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</si>
  <si>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</si>
  <si>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</si>
  <si>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</si>
  <si>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</si>
  <si>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</si>
  <si>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</si>
  <si>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</si>
  <si>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</si>
  <si>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</si>
  <si>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</si>
  <si>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</si>
  <si>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</si>
  <si>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</si>
  <si>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</si>
  <si>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</si>
  <si>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</si>
  <si>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</si>
  <si>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</si>
  <si>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</si>
  <si>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</si>
  <si>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</si>
  <si>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</si>
  <si>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</si>
  <si>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</si>
  <si>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</si>
  <si>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</si>
  <si>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</si>
  <si>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</si>
  <si>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</si>
  <si>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</si>
  <si>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</si>
  <si>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</si>
  <si>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</si>
  <si>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</si>
  <si>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</si>
  <si>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</si>
  <si>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</si>
  <si>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</si>
  <si>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</si>
  <si>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</si>
  <si>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</si>
  <si>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</si>
  <si>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</si>
  <si>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</si>
  <si>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</si>
  <si>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</si>
  <si>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</si>
  <si>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</si>
  <si>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</si>
  <si>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</si>
  <si>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</si>
  <si>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</si>
  <si>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</si>
  <si>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</si>
  <si>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</si>
  <si>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</si>
  <si>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</si>
  <si>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</si>
  <si>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</si>
  <si>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</si>
  <si>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</si>
  <si>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</si>
  <si>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</si>
  <si>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</si>
  <si>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</si>
  <si>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</si>
  <si>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</si>
  <si>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</si>
  <si>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</si>
  <si>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</si>
  <si>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</si>
  <si>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</si>
  <si>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</si>
  <si>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</si>
  <si>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</si>
  <si>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</si>
  <si>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</si>
  <si>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</si>
  <si>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</si>
  <si>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</si>
  <si>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</si>
  <si>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</si>
  <si>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</si>
  <si>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</si>
  <si>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</si>
  <si>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</si>
  <si>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</si>
  <si>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</si>
  <si>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</si>
  <si>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</si>
  <si>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</si>
  <si>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</si>
  <si>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</si>
  <si>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</si>
  <si>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</si>
  <si>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</si>
  <si>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</si>
  <si>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</si>
  <si>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</si>
  <si>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</si>
  <si>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</si>
  <si>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</si>
  <si>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</si>
  <si>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</si>
  <si>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</si>
  <si>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</si>
  <si>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</si>
  <si>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</si>
  <si>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</si>
  <si>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</si>
  <si>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</si>
  <si>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</si>
  <si>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</si>
  <si>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</si>
  <si>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</si>
  <si>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</si>
  <si>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</si>
  <si>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</si>
  <si>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</si>
  <si>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</si>
  <si>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</si>
  <si>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</si>
  <si>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</si>
  <si>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</si>
  <si>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</si>
  <si>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</si>
  <si>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</si>
  <si>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</si>
  <si>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</si>
  <si>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</si>
  <si>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</si>
  <si>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</si>
  <si>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</si>
  <si>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</si>
  <si>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</si>
  <si>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</si>
  <si>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</si>
  <si>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</si>
  <si>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</si>
  <si>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</si>
  <si>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</si>
  <si>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</si>
  <si>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</si>
  <si>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</si>
  <si>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</si>
  <si>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</si>
  <si>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</si>
  <si>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</si>
  <si>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</si>
  <si>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</si>
  <si>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</si>
  <si>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</si>
  <si>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</si>
  <si>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</si>
  <si>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</si>
  <si>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</si>
  <si>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</si>
  <si>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</si>
  <si>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</si>
  <si>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</si>
  <si>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</si>
  <si>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</si>
  <si>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</si>
  <si>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</si>
  <si>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</si>
  <si>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</si>
  <si>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</si>
  <si>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</si>
  <si>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</si>
  <si>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</si>
  <si>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</si>
  <si>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</si>
  <si>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</si>
  <si>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</si>
  <si>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</si>
  <si>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</si>
  <si>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</si>
  <si>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</si>
  <si>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</si>
  <si>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</si>
  <si>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</si>
  <si>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</si>
  <si>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</si>
  <si>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</si>
  <si>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</si>
  <si>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</si>
  <si>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</si>
  <si>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</si>
  <si>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</si>
  <si>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</si>
  <si>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</si>
  <si>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</si>
  <si>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</si>
  <si>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</si>
  <si>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</si>
  <si>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</si>
  <si>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</si>
  <si>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</si>
  <si>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</si>
  <si>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</si>
  <si>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</si>
  <si>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</si>
  <si>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</si>
  <si>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</si>
  <si>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</si>
  <si>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</si>
  <si>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</si>
  <si>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</si>
  <si>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</si>
  <si>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</si>
  <si>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</si>
  <si>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</si>
  <si>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</si>
  <si>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</si>
  <si>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</si>
  <si>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</si>
  <si>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</si>
  <si>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</si>
  <si>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</si>
  <si>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</si>
  <si>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</si>
  <si>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</si>
  <si>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</si>
  <si>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</si>
  <si>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</si>
  <si>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</si>
  <si>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</si>
  <si>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</si>
  <si>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</si>
  <si>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</si>
  <si>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</si>
  <si>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</si>
  <si>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</si>
  <si>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</si>
  <si>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</si>
  <si>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</si>
  <si>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</si>
  <si>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</si>
  <si>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</si>
  <si>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</si>
  <si>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</si>
  <si>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</si>
  <si>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</si>
  <si>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</si>
  <si>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</si>
  <si>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</si>
  <si>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</si>
  <si>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</si>
  <si>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</si>
  <si>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</si>
  <si>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</si>
  <si>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</si>
  <si>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</si>
  <si>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</si>
  <si>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</si>
  <si>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</si>
  <si>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</si>
  <si>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</si>
  <si>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</si>
  <si>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</si>
  <si>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</si>
  <si>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</si>
  <si>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</si>
  <si>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</si>
  <si>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</si>
  <si>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</si>
  <si>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</si>
  <si>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</si>
  <si>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</si>
  <si>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</si>
  <si>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</si>
  <si>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</si>
  <si>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</si>
  <si>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</si>
  <si>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</si>
  <si>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</si>
  <si>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</si>
  <si>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</si>
  <si>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</si>
  <si>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</si>
  <si>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</si>
  <si>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</si>
  <si>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</si>
  <si>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</si>
  <si>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</si>
  <si>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</si>
  <si>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</si>
  <si>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</si>
  <si>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</si>
  <si>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</si>
  <si>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</si>
  <si>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</si>
  <si>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</si>
  <si>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</si>
  <si>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</si>
  <si>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</si>
  <si>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</si>
  <si>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</si>
  <si>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</si>
  <si>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</si>
  <si>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</si>
  <si>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</si>
  <si>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</si>
  <si>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</si>
  <si>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</si>
  <si>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</si>
  <si>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</si>
  <si>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</si>
  <si>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</si>
  <si>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</si>
  <si>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</si>
  <si>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</si>
  <si>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</si>
  <si>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</si>
  <si>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</si>
  <si>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</si>
  <si>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</si>
  <si>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</si>
  <si>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</si>
  <si>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</si>
  <si>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</si>
  <si>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</si>
  <si>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</si>
  <si>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</si>
  <si>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</si>
  <si>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</si>
  <si>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</si>
  <si>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</si>
  <si>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</si>
  <si>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</si>
  <si>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</si>
  <si>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</si>
  <si>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</si>
  <si>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</si>
  <si>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</si>
  <si>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</si>
  <si>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</si>
  <si>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</si>
  <si>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</si>
  <si>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</si>
  <si>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</si>
  <si>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</si>
  <si>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</si>
  <si>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</si>
  <si>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</si>
  <si>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</si>
  <si>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</si>
  <si>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</si>
  <si>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</si>
  <si>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</si>
  <si>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</si>
  <si>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</si>
  <si>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</si>
  <si>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</si>
  <si>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</si>
  <si>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</si>
  <si>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</si>
  <si>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</si>
  <si>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</si>
  <si>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</si>
  <si>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</si>
  <si>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</si>
  <si>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</si>
  <si>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</si>
  <si>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</si>
  <si>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</si>
  <si>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</si>
  <si>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</si>
  <si>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</si>
  <si>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</si>
  <si>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</si>
  <si>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</si>
  <si>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</si>
  <si>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</si>
  <si>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</si>
  <si>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</si>
  <si>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</si>
  <si>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</si>
  <si>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</si>
  <si>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</si>
  <si>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</si>
  <si>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</si>
  <si>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</si>
  <si>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</si>
  <si>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</si>
  <si>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</si>
  <si>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</si>
  <si>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</si>
  <si>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</si>
  <si>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</si>
  <si>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</si>
  <si>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</si>
  <si>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</si>
  <si>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</si>
  <si>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</si>
  <si>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</si>
  <si>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</si>
  <si>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</si>
  <si>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</si>
  <si>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</si>
  <si>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</si>
  <si>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</si>
  <si>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</si>
  <si>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</si>
  <si>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</si>
  <si>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</si>
  <si>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</si>
  <si>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</si>
  <si>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</si>
  <si>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</si>
  <si>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</si>
  <si>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</si>
  <si>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</si>
  <si>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</si>
  <si>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</si>
  <si>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</si>
  <si>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</si>
  <si>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</si>
  <si>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</si>
  <si>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</si>
  <si>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</si>
  <si>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</si>
  <si>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</si>
  <si>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</si>
  <si>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</si>
  <si>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</si>
  <si>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</si>
  <si>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</si>
  <si>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</si>
  <si>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</si>
  <si>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</si>
  <si>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</si>
  <si>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</si>
  <si>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</si>
  <si>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</si>
  <si>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</si>
  <si>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</si>
  <si>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</si>
  <si>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</si>
  <si>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</si>
  <si>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</si>
  <si>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</si>
  <si>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</si>
  <si>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</si>
  <si>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</si>
  <si>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</si>
  <si>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</si>
  <si>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</si>
  <si>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</si>
  <si>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</si>
  <si>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</si>
  <si>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</si>
  <si>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</si>
  <si>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</si>
  <si>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</si>
  <si>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</si>
  <si>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</si>
  <si>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</si>
  <si>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</si>
  <si>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</si>
  <si>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</si>
  <si>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</si>
  <si>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</si>
  <si>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</si>
  <si>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</si>
  <si>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</si>
  <si>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</si>
  <si>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</si>
  <si>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</si>
  <si>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</si>
  <si>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</si>
  <si>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</si>
  <si>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</si>
  <si>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</si>
  <si>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</si>
  <si>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</si>
  <si>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</si>
  <si>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</si>
  <si>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</si>
  <si>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</si>
  <si>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</si>
  <si>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</si>
  <si>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</si>
  <si>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</si>
  <si>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</si>
  <si>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</si>
  <si>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</si>
  <si>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</si>
  <si>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</si>
  <si>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</si>
  <si>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</si>
  <si>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</si>
  <si>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</si>
  <si>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</si>
  <si>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</si>
  <si>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</si>
  <si>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</si>
  <si>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</si>
  <si>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</si>
  <si>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</si>
  <si>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</si>
  <si>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</si>
  <si>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</si>
  <si>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</si>
  <si>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</si>
  <si>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</si>
  <si>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</si>
  <si>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</si>
  <si>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</si>
  <si>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</si>
  <si>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</si>
  <si>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</si>
  <si>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</si>
  <si>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</si>
  <si>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</si>
  <si>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</si>
  <si>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</si>
  <si>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</si>
  <si>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</si>
  <si>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</si>
  <si>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</si>
  <si>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</si>
  <si>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</si>
  <si>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</si>
  <si>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</si>
  <si>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</si>
  <si>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</si>
  <si>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</si>
  <si>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</si>
  <si>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</si>
  <si>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</si>
  <si>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</si>
  <si>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</si>
  <si>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</si>
  <si>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</si>
  <si>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</si>
  <si>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</si>
  <si>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</si>
  <si>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</si>
  <si>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</si>
  <si>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</si>
  <si>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</si>
  <si>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</si>
  <si>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</si>
  <si>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</si>
  <si>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</si>
  <si>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</si>
  <si>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</si>
  <si>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</si>
  <si>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</si>
  <si>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</si>
  <si>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</si>
  <si>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</si>
  <si>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</si>
  <si>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</si>
  <si>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</si>
  <si>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</si>
  <si>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</si>
  <si>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</si>
  <si>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</si>
  <si>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</si>
  <si>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</si>
  <si>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</si>
  <si>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</si>
  <si>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</si>
  <si>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</si>
  <si>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</si>
  <si>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</si>
  <si>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</si>
  <si>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</si>
  <si>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</si>
  <si>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</si>
  <si>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</si>
  <si>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</si>
  <si>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</si>
  <si>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</si>
  <si>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</si>
  <si>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</si>
  <si>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</si>
  <si>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</si>
  <si>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</si>
  <si>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</si>
  <si>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</si>
  <si>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</si>
  <si>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</si>
  <si>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</si>
  <si>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</si>
  <si>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</si>
  <si>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</si>
  <si>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</si>
  <si>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</si>
  <si>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</si>
  <si>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</si>
  <si>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</si>
  <si>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</si>
  <si>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</si>
  <si>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</si>
  <si>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</si>
  <si>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</si>
  <si>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</si>
  <si>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</si>
  <si>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</si>
  <si>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</si>
  <si>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</si>
  <si>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</si>
  <si>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</si>
  <si>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</si>
  <si>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</si>
  <si>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</si>
  <si>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</si>
  <si>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</si>
  <si>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</si>
  <si>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</si>
  <si>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</si>
  <si>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</si>
  <si>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</si>
  <si>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</si>
  <si>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</si>
  <si>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</si>
  <si>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</si>
  <si>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</si>
  <si>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</si>
  <si>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</si>
  <si>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</si>
  <si>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</si>
  <si>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</si>
  <si>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</si>
  <si>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</si>
  <si>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</si>
  <si>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</si>
  <si>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</si>
  <si>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</si>
  <si>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</si>
  <si>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</si>
  <si>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</si>
  <si>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</si>
  <si>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</si>
  <si>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</si>
  <si>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</si>
  <si>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</si>
  <si>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</si>
  <si>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</si>
  <si>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</si>
  <si>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</si>
  <si>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</si>
  <si>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</si>
  <si>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</si>
  <si>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</si>
  <si>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</si>
  <si>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</si>
  <si>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</si>
  <si>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</si>
  <si>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</si>
  <si>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</si>
  <si>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</si>
  <si>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</si>
  <si>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</si>
  <si>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</si>
  <si>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</si>
  <si>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</si>
  <si>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</si>
  <si>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</si>
  <si>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</si>
  <si>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</si>
  <si>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</si>
  <si>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</si>
  <si>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</si>
  <si>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</si>
  <si>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</si>
  <si>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</si>
  <si>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</si>
  <si>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</si>
  <si>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</si>
  <si>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</si>
  <si>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</si>
  <si>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</si>
  <si>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</si>
  <si>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</si>
  <si>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</si>
  <si>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</si>
  <si>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</si>
  <si>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</si>
  <si>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</si>
  <si>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</si>
  <si>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</si>
  <si>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</si>
  <si>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</si>
  <si>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</si>
  <si>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</si>
  <si>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</si>
  <si>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</si>
  <si>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</si>
  <si>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</si>
  <si>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</si>
  <si>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</si>
  <si>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</si>
  <si>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</si>
  <si>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</si>
  <si>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</si>
  <si>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</si>
  <si>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</si>
  <si>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</si>
  <si>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</si>
  <si>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</si>
  <si>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</si>
  <si>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</si>
  <si>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</si>
  <si>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</si>
  <si>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</si>
  <si>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</si>
  <si>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</si>
  <si>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</si>
  <si>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</si>
  <si>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</si>
  <si>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</si>
  <si>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</si>
  <si>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</si>
  <si>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</si>
  <si>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</si>
  <si>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</si>
  <si>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</si>
  <si>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</si>
  <si>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</si>
  <si>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</si>
  <si>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</si>
  <si>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</si>
  <si>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</si>
  <si>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</si>
  <si>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</si>
  <si>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</si>
  <si>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</si>
  <si>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</si>
  <si>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</si>
  <si>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</si>
  <si>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</si>
  <si>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</si>
  <si>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</si>
  <si>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</si>
  <si>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</si>
  <si>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</si>
  <si>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</si>
  <si>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</si>
  <si>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</si>
  <si>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</si>
  <si>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</si>
  <si>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</si>
  <si>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</si>
  <si>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</si>
  <si>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</si>
  <si>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</si>
  <si>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</si>
  <si>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</si>
  <si>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</si>
  <si>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</si>
  <si>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</si>
  <si>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</si>
  <si>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</si>
  <si>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</si>
  <si>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</si>
  <si>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</si>
  <si>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</si>
  <si>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</si>
  <si>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</si>
  <si>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</si>
  <si>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</si>
  <si>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</si>
  <si>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</si>
  <si>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</si>
  <si>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</si>
  <si>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</si>
  <si>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</si>
  <si>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</si>
  <si>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</si>
  <si>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</si>
  <si>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</si>
  <si>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</si>
  <si>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</si>
  <si>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</si>
  <si>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</si>
  <si>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</si>
  <si>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</si>
  <si>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</si>
  <si>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</si>
  <si>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</si>
  <si>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</si>
  <si>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</si>
  <si>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</si>
  <si>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</si>
  <si>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</si>
  <si>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</si>
  <si>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</si>
  <si>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</si>
  <si>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</si>
  <si>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</si>
  <si>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</si>
  <si>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</si>
  <si>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</si>
  <si>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</si>
  <si>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</si>
  <si>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</si>
  <si>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</si>
  <si>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</si>
  <si>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</si>
  <si>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</si>
  <si>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</si>
  <si>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</si>
  <si>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</si>
  <si>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</si>
  <si>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</si>
  <si>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</si>
  <si>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</si>
  <si>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</si>
  <si>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</si>
  <si>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</si>
  <si>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</si>
  <si>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</si>
  <si>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</si>
  <si>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</si>
  <si>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</si>
  <si>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</si>
  <si>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</si>
  <si>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</si>
  <si>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</si>
  <si>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</si>
  <si>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</si>
  <si>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</si>
  <si>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</si>
  <si>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</si>
  <si>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</si>
  <si>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</si>
  <si>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</si>
  <si>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</si>
  <si>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</si>
  <si>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</si>
  <si>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</si>
  <si>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</si>
  <si>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</si>
  <si>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</si>
  <si>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</si>
  <si>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</si>
  <si>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</si>
  <si>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</si>
  <si>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</si>
  <si>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</si>
  <si>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</si>
  <si>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</si>
  <si>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</si>
  <si>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</si>
  <si>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</si>
  <si>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</si>
  <si>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</si>
  <si>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</si>
  <si>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</si>
  <si>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</si>
  <si>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</si>
  <si>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</si>
  <si>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</si>
  <si>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</si>
  <si>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</si>
  <si>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</si>
  <si>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</si>
  <si>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</si>
  <si>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</si>
  <si>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</si>
  <si>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</si>
  <si>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</si>
  <si>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</si>
  <si>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</si>
  <si>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</si>
  <si>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</si>
  <si>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</si>
  <si>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</si>
  <si>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</si>
  <si>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</si>
  <si>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</si>
  <si>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</si>
  <si>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</si>
  <si>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</si>
  <si>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</si>
  <si>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</si>
  <si>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</si>
  <si>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</si>
  <si>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</si>
  <si>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</si>
  <si>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</si>
  <si>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</si>
  <si>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</si>
  <si>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</si>
  <si>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</si>
  <si>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</si>
  <si>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</si>
  <si>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</si>
  <si>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</si>
  <si>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</si>
  <si>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</si>
  <si>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</si>
  <si>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</si>
  <si>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</si>
  <si>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</si>
  <si>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</si>
  <si>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</si>
  <si>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</si>
  <si>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</si>
  <si>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</si>
  <si>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</si>
  <si>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</si>
  <si>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</si>
  <si>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</si>
  <si>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</si>
  <si>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</si>
  <si>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</si>
  <si>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</si>
  <si>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</si>
  <si>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</si>
  <si>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</si>
  <si>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</si>
  <si>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</si>
  <si>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</si>
  <si>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</si>
  <si>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</si>
  <si>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</si>
  <si>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</si>
  <si>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</si>
  <si>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</si>
  <si>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</si>
  <si>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</si>
  <si>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</si>
  <si>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</si>
  <si>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</si>
  <si>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</si>
  <si>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</si>
  <si>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</si>
  <si>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</si>
  <si>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</si>
  <si>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</si>
  <si>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</si>
  <si>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</si>
  <si>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</si>
  <si>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</si>
  <si>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</si>
  <si>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</si>
  <si>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</si>
  <si>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</si>
  <si>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</si>
  <si>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</si>
  <si>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</si>
  <si>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</si>
  <si>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</si>
  <si>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</si>
  <si>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</si>
  <si>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</si>
  <si>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</si>
  <si>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</si>
  <si>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</si>
  <si>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</si>
  <si>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</si>
  <si>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</si>
  <si>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</si>
  <si>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</si>
  <si>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</si>
  <si>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</si>
  <si>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</si>
  <si>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</si>
  <si>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</si>
  <si>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</si>
  <si>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</si>
  <si>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</si>
  <si>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</si>
  <si>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</si>
  <si>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</si>
  <si>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</si>
  <si>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</si>
  <si>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</si>
  <si>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</si>
  <si>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</si>
  <si>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</si>
  <si>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</si>
  <si>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</si>
  <si>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</si>
  <si>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</si>
  <si>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</si>
  <si>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</si>
  <si>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</si>
  <si>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</si>
  <si>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</si>
  <si>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</si>
  <si>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</si>
  <si>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</si>
  <si>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</si>
  <si>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</si>
  <si>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</si>
  <si>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</si>
  <si>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</si>
  <si>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</si>
  <si>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</si>
  <si>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</si>
  <si>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</si>
  <si>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</si>
  <si>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</si>
  <si>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</si>
  <si>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</si>
  <si>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</si>
  <si>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</si>
  <si>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</si>
  <si>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</si>
  <si>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</si>
  <si>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</si>
  <si>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</si>
  <si>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</si>
  <si>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</si>
  <si>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</si>
  <si>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</si>
  <si>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</si>
  <si>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</si>
  <si>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</si>
  <si>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</si>
  <si>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</si>
  <si>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</si>
  <si>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</si>
  <si>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</si>
  <si>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</si>
  <si>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</si>
  <si>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</si>
  <si>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</si>
  <si>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</si>
  <si>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</si>
  <si>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</si>
  <si>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</si>
  <si>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</si>
  <si>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</si>
  <si>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</si>
  <si>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</si>
  <si>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</si>
  <si>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</si>
  <si>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</si>
  <si>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</si>
  <si>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</si>
  <si>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</si>
  <si>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</si>
  <si>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</si>
  <si>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</si>
  <si>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</si>
  <si>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</si>
  <si>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</si>
  <si>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</si>
  <si>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</si>
  <si>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</si>
  <si>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</si>
  <si>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</si>
  <si>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</si>
  <si>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</si>
  <si>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</si>
  <si>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</si>
  <si>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</si>
  <si>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</si>
  <si>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</si>
  <si>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</si>
  <si>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</si>
  <si>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</si>
  <si>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</si>
  <si>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</si>
  <si>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</si>
  <si>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</si>
  <si>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</si>
  <si>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</si>
  <si>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</si>
  <si>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</si>
  <si>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</si>
  <si>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</si>
  <si>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</si>
  <si>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</si>
  <si>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</si>
  <si>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</si>
  <si>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</si>
  <si>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</si>
  <si>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</si>
  <si>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</si>
  <si>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</si>
  <si>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</si>
  <si>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</si>
  <si>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</si>
  <si>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</si>
  <si>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</si>
  <si>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</si>
  <si>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</si>
  <si>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</si>
  <si>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</si>
  <si>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</si>
  <si>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</si>
  <si>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</si>
  <si>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</si>
  <si>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</si>
  <si>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</si>
  <si>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</si>
  <si>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</si>
  <si>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</si>
  <si>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</si>
  <si>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</si>
  <si>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</si>
  <si>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</si>
  <si>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</si>
  <si>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</si>
  <si>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</si>
  <si>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</si>
  <si>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</si>
  <si>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</si>
  <si>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</si>
  <si>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</si>
  <si>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</si>
  <si>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</si>
  <si>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</si>
  <si>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</si>
  <si>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</si>
  <si>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</si>
  <si>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</si>
  <si>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</si>
  <si>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</si>
  <si>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</si>
  <si>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</si>
  <si>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</si>
  <si>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</si>
  <si>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</si>
  <si>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</si>
  <si>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</si>
  <si>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</si>
  <si>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</si>
  <si>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</si>
  <si>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</si>
  <si>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</si>
  <si>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</si>
  <si>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</si>
  <si>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</si>
  <si>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</si>
  <si>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</si>
  <si>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</si>
  <si>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</si>
  <si>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</si>
  <si>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</si>
  <si>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</si>
  <si>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</si>
  <si>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</si>
  <si>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</si>
  <si>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</si>
  <si>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</si>
  <si>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</si>
  <si>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</si>
  <si>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</si>
  <si>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</si>
  <si>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</si>
  <si>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</si>
  <si>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</si>
  <si>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</si>
  <si>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</si>
  <si>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</si>
  <si>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</si>
  <si>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</si>
  <si>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</si>
  <si>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</si>
  <si>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</si>
  <si>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</si>
  <si>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</si>
  <si>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</si>
  <si>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</si>
  <si>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</si>
  <si>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</si>
  <si>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</si>
  <si>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</si>
  <si>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</si>
  <si>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</si>
  <si>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</si>
  <si>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</si>
  <si>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</si>
  <si>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</si>
  <si>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</si>
  <si>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</si>
  <si>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</si>
  <si>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</si>
  <si>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</si>
  <si>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</si>
  <si>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</si>
  <si>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</si>
  <si>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</si>
  <si>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</si>
  <si>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</si>
  <si>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</si>
  <si>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</si>
  <si>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</si>
  <si>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</si>
  <si>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</si>
  <si>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</si>
  <si>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</si>
  <si>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</si>
  <si>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</si>
  <si>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</si>
  <si>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</si>
  <si>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</si>
  <si>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</si>
  <si>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</si>
  <si>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</si>
  <si>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</si>
  <si>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</si>
  <si>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</si>
  <si>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</si>
  <si>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</si>
  <si>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</si>
  <si>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</si>
  <si>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</si>
  <si>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</si>
  <si>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</si>
  <si>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</si>
  <si>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</si>
  <si>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</si>
  <si>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</si>
  <si>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</si>
  <si>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</si>
  <si>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</si>
  <si>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</si>
  <si>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</si>
  <si>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</si>
  <si>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</si>
  <si>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</si>
  <si>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</si>
  <si>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</si>
  <si>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</si>
  <si>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</si>
  <si>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</si>
  <si>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</si>
  <si>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</si>
  <si>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</si>
  <si>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</si>
  <si>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</si>
  <si>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</si>
  <si>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</si>
  <si>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</si>
  <si>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</si>
  <si>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</si>
  <si>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</si>
  <si>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</si>
  <si>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</si>
  <si>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</si>
  <si>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</si>
  <si>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</si>
  <si>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</si>
  <si>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</si>
  <si>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</si>
  <si>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</si>
  <si>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</si>
  <si>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</si>
  <si>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</si>
  <si>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</si>
  <si>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</si>
  <si>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</si>
  <si>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</si>
  <si>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</si>
  <si>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</si>
  <si>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</si>
  <si>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</si>
  <si>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</si>
  <si>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</si>
  <si>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</si>
  <si>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</si>
  <si>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</si>
  <si>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</si>
  <si>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</si>
  <si>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</si>
  <si>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</si>
  <si>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</si>
  <si>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</si>
  <si>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</si>
  <si>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</si>
  <si>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</si>
  <si>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</si>
  <si>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</si>
  <si>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</si>
  <si>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</si>
  <si>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</si>
  <si>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</si>
  <si>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</si>
  <si>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</si>
  <si>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</si>
  <si>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</si>
  <si>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</si>
  <si>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</si>
  <si>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</si>
  <si>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</si>
  <si>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</si>
  <si>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</si>
  <si>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</si>
  <si>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</si>
  <si>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</si>
  <si>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</si>
  <si>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</si>
  <si>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</si>
  <si>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</si>
  <si>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</si>
  <si>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</si>
  <si>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</si>
  <si>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</si>
  <si>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</si>
  <si>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</si>
  <si>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</si>
  <si>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</si>
  <si>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</si>
  <si>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</si>
  <si>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</si>
  <si>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</si>
  <si>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</si>
  <si>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</si>
  <si>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</si>
  <si>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</si>
  <si>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</si>
  <si>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</si>
  <si>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</si>
  <si>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</si>
  <si>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</si>
  <si>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</si>
  <si>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</si>
  <si>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</si>
  <si>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</si>
  <si>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</si>
  <si>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</si>
  <si>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</si>
  <si>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</si>
  <si>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</si>
  <si>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</si>
  <si>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</si>
  <si>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</si>
  <si>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</si>
  <si>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</si>
  <si>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</si>
  <si>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</si>
  <si>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</si>
  <si>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</si>
  <si>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</si>
  <si>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</si>
  <si>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</si>
  <si>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</si>
  <si>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</si>
  <si>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</si>
  <si>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</si>
  <si>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</si>
  <si>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</si>
  <si>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</si>
  <si>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</si>
  <si>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</si>
  <si>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</si>
  <si>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</si>
  <si>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</si>
  <si>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</si>
  <si>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</si>
  <si>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</si>
  <si>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</si>
  <si>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</si>
  <si>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</si>
  <si>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</si>
  <si>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</si>
  <si>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</si>
  <si>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</si>
  <si>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</si>
  <si>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</si>
  <si>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</si>
  <si>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</si>
  <si>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</si>
  <si>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</si>
  <si>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</si>
  <si>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</si>
  <si>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</si>
  <si>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</si>
  <si>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</si>
  <si>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</si>
  <si>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</si>
  <si>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</si>
  <si>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</si>
  <si>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</si>
  <si>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</si>
  <si>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</si>
  <si>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</si>
  <si>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</si>
  <si>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</si>
  <si>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</si>
  <si>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</si>
  <si>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</si>
  <si>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</si>
  <si>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</si>
  <si>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</si>
  <si>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</si>
  <si>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</si>
  <si>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</si>
  <si>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</si>
  <si>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</si>
  <si>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</si>
  <si>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</si>
  <si>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</si>
  <si>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</si>
  <si>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</si>
  <si>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</si>
  <si>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</si>
  <si>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</si>
  <si>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</si>
  <si>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</si>
  <si>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</si>
  <si>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</si>
  <si>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</si>
  <si>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</si>
  <si>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</si>
  <si>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</si>
  <si>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</si>
  <si>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</si>
  <si>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</si>
  <si>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</si>
  <si>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</si>
  <si>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</si>
  <si>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</si>
  <si>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</si>
  <si>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</si>
  <si>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</si>
  <si>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</si>
  <si>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</si>
  <si>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</si>
  <si>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</si>
  <si>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</si>
  <si>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</si>
  <si>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</si>
  <si>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</si>
  <si>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</si>
  <si>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</si>
  <si>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</si>
  <si>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</si>
  <si>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</si>
  <si>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</si>
  <si>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</si>
  <si>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</si>
  <si>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</si>
  <si>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</si>
  <si>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</si>
  <si>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</si>
  <si>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</si>
  <si>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</si>
  <si>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</si>
  <si>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</si>
  <si>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</si>
  <si>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</si>
  <si>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</si>
  <si>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</si>
  <si>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</si>
  <si>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</si>
  <si>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</si>
  <si>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</si>
  <si>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</si>
  <si>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</si>
  <si>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</si>
  <si>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</si>
  <si>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</si>
  <si>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</si>
  <si>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</si>
  <si>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</si>
  <si>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</si>
  <si>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</si>
  <si>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</si>
  <si>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</si>
  <si>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</si>
  <si>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</si>
  <si>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</si>
  <si>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</si>
  <si>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</si>
  <si>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</si>
  <si>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</si>
  <si>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</si>
  <si>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</si>
  <si>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</si>
  <si>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</si>
  <si>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</si>
  <si>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</si>
  <si>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</si>
  <si>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</si>
  <si>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</si>
  <si>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</si>
  <si>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</si>
  <si>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</si>
  <si>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</si>
  <si>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</si>
  <si>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</si>
  <si>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</si>
  <si>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</si>
  <si>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</si>
  <si>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</si>
  <si>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</si>
  <si>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</si>
  <si>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</si>
  <si>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</si>
  <si>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</si>
  <si>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</si>
  <si>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</si>
  <si>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</si>
  <si>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</si>
  <si>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</si>
  <si>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</si>
  <si>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</si>
  <si>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</si>
  <si>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</si>
  <si>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</si>
  <si>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</si>
  <si>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</si>
  <si>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</si>
  <si>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</si>
  <si>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</si>
  <si>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</si>
  <si>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</si>
  <si>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</si>
  <si>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</si>
  <si>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</si>
  <si>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</si>
  <si>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</si>
  <si>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</si>
  <si>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</si>
  <si>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</si>
  <si>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</si>
  <si>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</si>
  <si>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</si>
  <si>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</si>
  <si>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</si>
  <si>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</si>
  <si>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</si>
  <si>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</si>
  <si>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</si>
  <si>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</si>
  <si>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</si>
  <si>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</si>
  <si>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</si>
  <si>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</si>
  <si>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</si>
  <si>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</si>
  <si>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</si>
  <si>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</si>
  <si>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</si>
  <si>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</si>
  <si>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</si>
  <si>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</si>
  <si>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</si>
  <si>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</si>
  <si>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</si>
  <si>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</si>
  <si>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</si>
  <si>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</si>
  <si>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</si>
  <si>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</si>
  <si>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</si>
  <si>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</si>
  <si>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</si>
  <si>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</si>
  <si>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</si>
  <si>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</si>
  <si>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</si>
  <si>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</si>
  <si>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</si>
  <si>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</si>
  <si>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</si>
  <si>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</si>
  <si>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</si>
  <si>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</si>
  <si>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</si>
  <si>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</si>
  <si>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</si>
  <si>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</si>
  <si>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</si>
  <si>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</si>
  <si>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</si>
  <si>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</si>
  <si>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</si>
  <si>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</si>
  <si>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</si>
  <si>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</si>
  <si>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</si>
  <si>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</si>
  <si>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</si>
  <si>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</si>
  <si>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</si>
  <si>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</si>
  <si>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</si>
  <si>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</si>
  <si>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</si>
  <si>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</si>
  <si>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</si>
  <si>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</si>
  <si>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</si>
  <si>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</si>
  <si>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</si>
  <si>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</si>
  <si>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</si>
  <si>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</si>
  <si>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</si>
  <si>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</si>
  <si>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</si>
  <si>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</si>
  <si>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</si>
  <si>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</si>
  <si>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segment_clean</t>
  </si>
  <si>
    <t>region_clean</t>
  </si>
  <si>
    <t>category_clean</t>
  </si>
  <si>
    <t>ship_mode_clean</t>
  </si>
  <si>
    <t>order_status_clean</t>
  </si>
  <si>
    <t>customer_name_clean</t>
  </si>
  <si>
    <t>order_date_clean</t>
  </si>
  <si>
    <t>ship_date_clean</t>
  </si>
  <si>
    <t>ship_date_</t>
  </si>
  <si>
    <t>shipping_delay_days</t>
  </si>
  <si>
    <t>date_validation</t>
  </si>
  <si>
    <t>Date_Quality_Flag</t>
  </si>
  <si>
    <t>cleaned_discount</t>
  </si>
  <si>
    <t>duplicate_order_id</t>
  </si>
  <si>
    <t>discount_validation</t>
  </si>
  <si>
    <t>sales_summary_flag</t>
  </si>
  <si>
    <t>failed_payment_flag</t>
  </si>
  <si>
    <t>refund_flag</t>
  </si>
  <si>
    <t>Row Labels</t>
  </si>
  <si>
    <t>(blank)</t>
  </si>
  <si>
    <t>Grand Total</t>
  </si>
  <si>
    <t>Count of order_id</t>
  </si>
  <si>
    <t>calculated_sales</t>
  </si>
  <si>
    <t>calculated_profit</t>
  </si>
  <si>
    <t>profit_margin</t>
  </si>
  <si>
    <t>order_month</t>
  </si>
  <si>
    <t>order_year</t>
  </si>
  <si>
    <t>data_quality_flag</t>
  </si>
  <si>
    <t>shipping_validation</t>
  </si>
  <si>
    <t>Sales_Match</t>
  </si>
  <si>
    <t>profit_match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</si>
</sst>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yal shah" refreshedDate="46198.789507638889" createdVersion="8" refreshedVersion="8" minRefreshableVersion="3" recordCount="912" xr:uid="{FC62102A-F1C8-4D6E-9A5E-7713A6F6351C}">
  <cacheSource type="worksheet">
    <worksheetSource ref="A1:AM913" sheet="cleaned_orders"/>
  </cacheSource>
  <cacheFields count="39">
    <cacheField name="order_id" numFmtId="0">
      <sharedItems/>
    </cacheField>
    <cacheField name="duplicate_order_id" numFmtId="0">
      <sharedItems containsSemiMixedTypes="0" containsString="0" containsNumber="1" containsInteger="1" minValue="1" maxValue="2"/>
    </cacheField>
    <cacheField name="Field1" numFmtId="0">
      <sharedItems/>
    </cacheField>
    <cacheField name="order_date" numFmtId="0">
      <sharedItems/>
    </cacheField>
    <cacheField name="order_date_clean" numFmtId="14">
      <sharedItems containsSemiMixedTypes="0" containsNonDate="0" containsDate="1" containsString="0" minDate="2024-01-01T00:00:00" maxDate="2025-10-13T00:00:00"/>
    </cacheField>
    <cacheField name="ship_date_" numFmtId="0">
      <sharedItems/>
    </cacheField>
    <cacheField name="ship_date_clean" numFmtId="14">
      <sharedItems containsSemiMixedTypes="0" containsNonDate="0" containsDate="1" containsString="0" minDate="2024-01-05T00:00:00" maxDate="2025-10-17T00:00:00"/>
    </cacheField>
    <cacheField name="date_validation" numFmtId="14">
      <sharedItems/>
    </cacheField>
    <cacheField name="shipping_delay_days" numFmtId="1">
      <sharedItems containsSemiMixedTypes="0" containsString="0" containsNumber="1" containsInteger="1" minValue="-4" maxValue="8"/>
    </cacheField>
    <cacheField name="Date_Quality_Flag" numFmtId="1">
      <sharedItems/>
    </cacheField>
    <cacheField name="customer_id" numFmtId="0">
      <sharedItems/>
    </cacheField>
    <cacheField name="customer_name" numFmtId="0">
      <sharedItems/>
    </cacheField>
    <cacheField name="customer_name_clean" numFmtId="0">
      <sharedItems/>
    </cacheField>
    <cacheField name="segment" numFmtId="0">
      <sharedItems/>
    </cacheField>
    <cacheField name="segment_clean" numFmtId="0">
      <sharedItems/>
    </cacheField>
    <cacheField name="region" numFmtId="0">
      <sharedItems containsBlank="1" count="5">
        <s v="North"/>
        <s v="East"/>
        <s v="South"/>
        <s v="West"/>
        <m/>
      </sharedItems>
    </cacheField>
    <cacheField name="region_clea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category_clean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 containsBlank="1"/>
    </cacheField>
    <cacheField name="ship_mode_clean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cleaned_discount" numFmtId="0">
      <sharedItems containsMixedTypes="1" containsNumber="1" minValue="-0.24" maxValue="0.65"/>
    </cacheField>
    <cacheField name="discount_validation" numFmtId="0">
      <sharedItems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failed_payment_flag" numFmtId="0">
      <sharedItems/>
    </cacheField>
    <cacheField name="refund_flag" numFmtId="0">
      <sharedItems/>
    </cacheField>
    <cacheField name="order_status" numFmtId="0">
      <sharedItems/>
    </cacheField>
    <cacheField name="order_status_clean" numFmtId="0">
      <sharedItems/>
    </cacheField>
    <cacheField name="sales_summar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n v="1"/>
    <s v=""/>
    <s v="21 Jul 2024"/>
    <d v="2024-07-21T00:00:00"/>
    <s v="07/27/2024"/>
    <d v="2024-07-27T00:00:00"/>
    <s v="Valid"/>
    <n v="6"/>
    <s v="Valid"/>
    <s v="CUST-4655"/>
    <s v="Karan Malhotra"/>
    <s v="Karan Malhotra"/>
    <s v="Consumer"/>
    <s v="Consumer"/>
    <x v="0"/>
    <s v="North"/>
    <s v="Rajasthan"/>
    <s v="Jaipur"/>
    <s v="Office Supplies"/>
    <s v="Office Supplies"/>
    <s v="Paper"/>
    <s v="Pro Paper 122"/>
    <s v="Second Class"/>
    <s v="Second Class"/>
    <n v="8"/>
    <n v="2976.45"/>
    <n v="0.2"/>
    <n v="0.2"/>
    <s v="Valid"/>
    <n v="19049.28"/>
    <n v="15841.89"/>
    <n v="3207.39"/>
    <x v="0"/>
    <s v="Include"/>
    <s v=""/>
    <s v="Completed"/>
    <s v="Completed"/>
    <s v="Include"/>
  </r>
  <r>
    <s v="ORD-2024-10002"/>
    <n v="1"/>
    <s v=""/>
    <s v="08/31/2024"/>
    <d v="2024-08-31T00:00:00"/>
    <s v="05 Sep 2024"/>
    <d v="2024-09-05T00:00:00"/>
    <s v="Valid"/>
    <n v="5"/>
    <s v="Valid"/>
    <s v="CUST-2054"/>
    <s v="Mira Das"/>
    <s v="Mira Das"/>
    <s v="Small Business"/>
    <s v="Small Business"/>
    <x v="1"/>
    <s v="East"/>
    <s v="Odisha"/>
    <s v="Bhubaneswar"/>
    <s v="Furniture"/>
    <s v="Furniture"/>
    <s v="Tables"/>
    <s v="Pro Tables 258"/>
    <s v="Same Day"/>
    <s v="Same Day"/>
    <n v="3"/>
    <n v="2437.5"/>
    <n v="0"/>
    <n v="0"/>
    <s v="Valid"/>
    <n v="7312.5"/>
    <n v="4904.7299999999996"/>
    <n v="2407.77"/>
    <x v="0"/>
    <s v="Include"/>
    <s v=""/>
    <s v="Completed"/>
    <s v="Completed"/>
    <s v="Include"/>
  </r>
  <r>
    <s v="ORD-2024-10003"/>
    <n v="1"/>
    <s v=""/>
    <s v="06/08/2024"/>
    <d v="2024-06-08T00:00:00"/>
    <s v="15 Jun 2024"/>
    <d v="2024-06-15T00:00:00"/>
    <s v="Valid"/>
    <n v="7"/>
    <s v="Valid"/>
    <s v="CUST-6843"/>
    <s v="Isha Nair"/>
    <s v="Isha Nair"/>
    <s v="Consumer"/>
    <s v="Consumer"/>
    <x v="1"/>
    <s v="East"/>
    <s v="Odisha"/>
    <s v="Bhubaneswar"/>
    <s v="Office Supplies"/>
    <s v="Office Supplies"/>
    <s v="Art"/>
    <s v="Elite Art 525"/>
    <s v="First Class"/>
    <s v="First Class"/>
    <n v="4"/>
    <n v="1065.43"/>
    <n v="0.55000000000000004"/>
    <n v="0.55000000000000004"/>
    <s v="Valid"/>
    <n v="4261.72"/>
    <n v="2465.69"/>
    <n v="1796.03"/>
    <x v="0"/>
    <s v="Include"/>
    <s v=""/>
    <s v="Completed"/>
    <s v="Completed"/>
    <s v="Include"/>
  </r>
  <r>
    <s v="ORD-2024-10004"/>
    <n v="1"/>
    <s v=""/>
    <s v="28-11-2024"/>
    <d v="2024-11-28T00:00:00"/>
    <s v="11/29/2024"/>
    <d v="2024-11-29T00:00:00"/>
    <s v="Valid"/>
    <n v="1"/>
    <s v="Valid"/>
    <s v="CUST-3722"/>
    <s v="Arjun Bose"/>
    <s v="Arjun Bose"/>
    <s v="Small Business"/>
    <s v="Small Business"/>
    <x v="2"/>
    <s v="South"/>
    <s v="Telangana"/>
    <s v="Hyderabad"/>
    <s v="Furniture"/>
    <s v="Furniture"/>
    <s v="Furnishings"/>
    <s v="Smart Furnishings 294"/>
    <s v="Standard Class"/>
    <s v="Standard Class"/>
    <n v="6"/>
    <n v="1848.43"/>
    <n v="0.25"/>
    <n v="0.25"/>
    <s v="Valid"/>
    <n v="8317.93"/>
    <n v="6796.77"/>
    <n v="1521.16"/>
    <x v="0"/>
    <s v="Include"/>
    <s v=""/>
    <s v="Completed"/>
    <s v="Completed"/>
    <s v="Include"/>
  </r>
  <r>
    <s v="ORD-2025-10005"/>
    <n v="1"/>
    <s v=""/>
    <s v="29 Aug 2025"/>
    <d v="2025-08-29T00:00:00"/>
    <s v="2025-09-01"/>
    <d v="2025-09-01T00:00:00"/>
    <s v="Valid"/>
    <n v="3"/>
    <s v="Valid"/>
    <s v="CUST-8130"/>
    <s v="Ananya Rao"/>
    <s v="Ananya Rao"/>
    <s v="Small Business"/>
    <s v="Small Business"/>
    <x v="3"/>
    <s v="West"/>
    <s v="Maharashtra"/>
    <s v="Mumbai"/>
    <s v="Furniture"/>
    <s v="Furniture"/>
    <s v="Chairs"/>
    <s v="Elite Chairs 543"/>
    <s v="First Class"/>
    <s v="First Class"/>
    <n v="7"/>
    <n v="2973.76"/>
    <n v="0"/>
    <n v="0"/>
    <s v="Valid"/>
    <n v="20816.32"/>
    <n v="17705.37"/>
    <n v="3110.95"/>
    <x v="0"/>
    <s v="Exclude"/>
    <s v=""/>
    <s v="Cancelled"/>
    <s v="Cancelled"/>
    <s v="Exclude"/>
  </r>
  <r>
    <s v="ORD-2024-10006"/>
    <n v="1"/>
    <s v=""/>
    <s v="2024-05-24"/>
    <d v="2024-05-24T00:00:00"/>
    <s v="28-05-2024"/>
    <d v="2024-05-28T00:00:00"/>
    <s v="Valid"/>
    <n v="4"/>
    <s v="Valid"/>
    <s v="CUST-6056"/>
    <s v="Vikram Iyer"/>
    <s v="Vikram Iyer"/>
    <s v="Small Business"/>
    <s v="Small Business"/>
    <x v="3"/>
    <s v="West"/>
    <s v="Madhya Pradesh"/>
    <s v="Indore"/>
    <s v="Technology"/>
    <s v="Technology"/>
    <s v="Accessories"/>
    <s v="Pro Accessories 821"/>
    <s v="Same Day"/>
    <s v="Same Day"/>
    <n v="3"/>
    <n v="1053.1099999999999"/>
    <n v="0.2"/>
    <n v="0.2"/>
    <s v="Valid"/>
    <n v="2527.46"/>
    <n v="1533.58"/>
    <n v="993.88"/>
    <x v="0"/>
    <s v="Include"/>
    <s v=""/>
    <s v="Completed"/>
    <s v="Completed"/>
    <s v="Include"/>
  </r>
  <r>
    <s v="ORD-2025-10007"/>
    <n v="1"/>
    <s v=""/>
    <s v="04/10/2025"/>
    <d v="2025-04-10T00:00:00"/>
    <s v="04/16/2025"/>
    <d v="2025-04-16T00:00:00"/>
    <s v="Valid"/>
    <n v="6"/>
    <s v="Valid"/>
    <s v="CUST-3656"/>
    <s v="Neha Gupta"/>
    <s v="Neha Gupta"/>
    <s v="Consumer"/>
    <s v="Consumer"/>
    <x v="1"/>
    <s v="East"/>
    <s v="Odisha"/>
    <s v="Bhubaneswar"/>
    <s v="Technology"/>
    <s v="Technology"/>
    <s v="Copiers"/>
    <s v="Eco Copiers 790"/>
    <s v="Standard Class"/>
    <s v="Standard Class"/>
    <n v="4"/>
    <n v="1719.87"/>
    <n v="0.15"/>
    <n v="0.15"/>
    <s v="Valid"/>
    <n v="5847.56"/>
    <n v="4727.25"/>
    <n v="1120.31"/>
    <x v="0"/>
    <s v="Include"/>
    <s v=""/>
    <s v="Completed"/>
    <s v="Completed"/>
    <s v="Include"/>
  </r>
  <r>
    <s v="ORD-2025-10008"/>
    <n v="1"/>
    <s v=""/>
    <s v="2025-02-23"/>
    <d v="2025-02-23T00:00:00"/>
    <s v="26-02-2025"/>
    <d v="2025-02-26T00:00:00"/>
    <s v="Valid"/>
    <n v="3"/>
    <s v="Valid"/>
    <s v="CUST-4683"/>
    <s v="Isha Nair"/>
    <s v="Isha Nair"/>
    <s v="Small Business"/>
    <s v="Small Business"/>
    <x v="2"/>
    <s v="South"/>
    <s v="Andhra Pradesh"/>
    <s v="Vijayawada"/>
    <s v="Office Supplies"/>
    <s v="Office Supplies"/>
    <s v="Art"/>
    <s v="Eco Art 848"/>
    <s v="First Class"/>
    <s v="First Class"/>
    <n v="1"/>
    <n v="2980.71"/>
    <n v="0"/>
    <n v="0"/>
    <s v="Valid"/>
    <n v="2980.71"/>
    <n v="2357.2199999999998"/>
    <n v="623.49"/>
    <x v="0"/>
    <s v="Include"/>
    <s v=""/>
    <s v="Completed"/>
    <s v="Completed"/>
    <s v="Include"/>
  </r>
  <r>
    <s v="ORD-2024-10009"/>
    <n v="1"/>
    <s v=""/>
    <s v="11/05/2024"/>
    <d v="2024-11-05T00:00:00"/>
    <s v="11/10/2024"/>
    <d v="2024-11-10T00:00:00"/>
    <s v="Valid"/>
    <n v="5"/>
    <s v="Valid"/>
    <s v="CUST-2598"/>
    <s v="Aditi Sen"/>
    <s v="Aditi Sen"/>
    <s v="Corporate"/>
    <s v="Corporate"/>
    <x v="2"/>
    <s v="South"/>
    <s v="Telangana"/>
    <s v="Hyderabad"/>
    <s v="Office Supplies"/>
    <s v="Office Supplies"/>
    <s v="Labels"/>
    <s v="Classic Labels 815"/>
    <s v="First Class"/>
    <s v="First Class"/>
    <n v="8"/>
    <n v="3134.2"/>
    <n v="0"/>
    <n v="0"/>
    <s v="Valid"/>
    <n v="25073.599999999999"/>
    <n v="17347.23"/>
    <n v="7726.37"/>
    <x v="0"/>
    <s v="Include"/>
    <s v=""/>
    <s v="Completed"/>
    <s v="Completed"/>
    <s v="Include"/>
  </r>
  <r>
    <s v="ORD-2025-10010"/>
    <n v="1"/>
    <s v=""/>
    <s v="07-09-2025"/>
    <d v="2025-09-07T00:00:00"/>
    <s v="09/12/2025"/>
    <d v="2025-09-12T00:00:00"/>
    <s v="Valid"/>
    <n v="5"/>
    <s v="Valid"/>
    <s v="CUST-2483"/>
    <s v="Mira Das"/>
    <s v="Mira Das"/>
    <s v="Home Office"/>
    <s v="Home Office"/>
    <x v="2"/>
    <s v="South"/>
    <s v="Telangana"/>
    <s v="Hyderabad"/>
    <s v="Office Supplies"/>
    <s v="Office Supplies"/>
    <s v="Paper"/>
    <s v="Pro Paper 622"/>
    <s v="Second Class"/>
    <s v="Second Class"/>
    <n v="9"/>
    <n v="852.04"/>
    <n v="0.2"/>
    <n v="0.2"/>
    <s v="Valid"/>
    <n v="6134.69"/>
    <n v="3800.19"/>
    <n v="2334.5"/>
    <x v="0"/>
    <s v="Include"/>
    <s v=""/>
    <s v="Completed"/>
    <s v="Completed"/>
    <s v="Include"/>
  </r>
  <r>
    <s v="ORD-2025-10011"/>
    <n v="1"/>
    <s v=""/>
    <s v="20 May 2025"/>
    <d v="2025-05-20T00:00:00"/>
    <s v="05/20/2025"/>
    <d v="2025-05-20T00:00:00"/>
    <s v="Valid"/>
    <n v="0"/>
    <s v="Valid"/>
    <s v="CUST-8092"/>
    <s v="Ananya Rao"/>
    <s v="Ananya Rao"/>
    <s v="Corporate"/>
    <s v="Corporate"/>
    <x v="1"/>
    <s v="East"/>
    <s v="West Bengal"/>
    <s v="Kolkata"/>
    <s v="Office Supplies"/>
    <s v="Office Supplies"/>
    <s v="Labels"/>
    <s v="Prime Labels 644"/>
    <s v="Second Class"/>
    <s v="Second Class"/>
    <n v="3"/>
    <n v="3534.83"/>
    <n v="0.05"/>
    <n v="0.05"/>
    <s v="Valid"/>
    <n v="10074.27"/>
    <n v="6048.27"/>
    <n v="4026"/>
    <x v="1"/>
    <s v="Include"/>
    <s v="Refunded Order"/>
    <s v="Returned"/>
    <s v="Returned"/>
    <s v="Include"/>
  </r>
  <r>
    <s v="ORD-2024-10012"/>
    <n v="1"/>
    <s v=""/>
    <s v="2024-07-22"/>
    <d v="2024-07-22T00:00:00"/>
    <s v="23-07-2024"/>
    <d v="2024-07-23T00:00:00"/>
    <s v="Valid"/>
    <n v="1"/>
    <s v="Valid"/>
    <s v="CUST-6528"/>
    <s v="Vikram Iyer"/>
    <s v="Vikram Iyer"/>
    <s v="Small Business"/>
    <s v="Small Business"/>
    <x v="1"/>
    <s v="East"/>
    <s v="Odisha"/>
    <s v="Bhubaneswar"/>
    <s v="Technology"/>
    <s v="Technology"/>
    <s v="Accessories"/>
    <s v="Smart Accessories 603"/>
    <s v="Same Day"/>
    <s v="Same Day"/>
    <n v="6"/>
    <n v="2005.95"/>
    <n v="0.2"/>
    <n v="0.2"/>
    <s v="Valid"/>
    <n v="9628.56"/>
    <n v="8038.59"/>
    <n v="1589.97"/>
    <x v="0"/>
    <s v="Include"/>
    <s v=""/>
    <s v="Completed"/>
    <s v="Completed"/>
    <s v="Include"/>
  </r>
  <r>
    <s v="ORD-2024-10013"/>
    <n v="1"/>
    <s v=""/>
    <s v="20 Dec 2024"/>
    <d v="2024-12-20T00:00:00"/>
    <s v="12/21/2024"/>
    <d v="2024-12-21T00:00:00"/>
    <s v="Valid"/>
    <n v="1"/>
    <s v="Valid"/>
    <s v="CUST-2648"/>
    <s v="Ananya Rao"/>
    <s v="Ananya Rao"/>
    <s v="Corporate"/>
    <s v="Corporate"/>
    <x v="3"/>
    <s v="West"/>
    <s v="Rajasthan"/>
    <s v="Udaipur"/>
    <s v="Office Supplies"/>
    <s v="Office Supplies"/>
    <s v="Paper"/>
    <s v="Pro Paper 481"/>
    <s v="First Class"/>
    <s v="First Class"/>
    <n v="1"/>
    <n v="702.14"/>
    <n v="0.15"/>
    <n v="0.15"/>
    <s v="Valid"/>
    <n v="596.82000000000005"/>
    <n v="380.25"/>
    <n v="216.57"/>
    <x v="2"/>
    <s v="Include"/>
    <s v=""/>
    <s v="Returned"/>
    <s v="Returned"/>
    <s v="Include"/>
  </r>
  <r>
    <s v="ORD-2025-10014"/>
    <n v="1"/>
    <s v=""/>
    <s v="2025-10-12"/>
    <d v="2025-10-12T00:00:00"/>
    <s v="16-10-2025"/>
    <d v="2025-10-16T00:00:00"/>
    <s v="Valid"/>
    <n v="4"/>
    <s v="Valid"/>
    <s v="CUST-7482"/>
    <s v="Priya Menon"/>
    <s v="Priya Menon"/>
    <s v="Small Business"/>
    <s v="Small Business"/>
    <x v="3"/>
    <s v="West"/>
    <s v="Maharashtra"/>
    <s v="Mumbai"/>
    <s v="Office Supplies"/>
    <s v="Office Supplies"/>
    <s v="Art"/>
    <s v="Smart Art 795"/>
    <s v="Second Class"/>
    <s v="Second Class"/>
    <n v="7"/>
    <n v="3964.72"/>
    <n v="0.05"/>
    <n v="0.05"/>
    <s v="Valid"/>
    <n v="26365.39"/>
    <n v="22306.240000000002"/>
    <n v="4059.15"/>
    <x v="0"/>
    <s v="Include"/>
    <s v=""/>
    <s v="Completed"/>
    <s v="Completed"/>
    <s v="Include"/>
  </r>
  <r>
    <s v="ORD-2024-10015"/>
    <n v="1"/>
    <s v=""/>
    <s v="27 Dec 2024"/>
    <d v="2024-12-27T00:00:00"/>
    <s v="12/28/2024"/>
    <d v="2024-12-28T00:00:00"/>
    <s v="Valid"/>
    <n v="1"/>
    <s v="Valid"/>
    <s v="CUST-4912"/>
    <s v="Rahul Verma"/>
    <s v="Rahul Verma"/>
    <s v="Consumer"/>
    <s v="Consumer"/>
    <x v="3"/>
    <s v="West"/>
    <s v="Rajasthan"/>
    <s v="Udaipur"/>
    <s v="Technology"/>
    <s v="Technology"/>
    <s v="Copiers"/>
    <s v="Max Copiers 983"/>
    <s v="Standard Class"/>
    <s v="Standard Class"/>
    <n v="2"/>
    <n v="2737.83"/>
    <n v="0.25"/>
    <n v="0.25"/>
    <s v="Valid"/>
    <n v="4106.74"/>
    <n v="2666.3"/>
    <n v="1440.44"/>
    <x v="0"/>
    <s v="Include"/>
    <s v=""/>
    <s v="Completed"/>
    <s v="Completed"/>
    <s v="Include"/>
  </r>
  <r>
    <s v="ORD-2024-10016"/>
    <n v="1"/>
    <s v=""/>
    <s v="07/09/2024"/>
    <d v="2024-07-09T00:00:00"/>
    <s v="09 Jul 2024"/>
    <d v="2024-07-09T00:00:00"/>
    <s v="Valid"/>
    <n v="0"/>
    <s v="Valid"/>
    <s v="CUST-7656"/>
    <s v="Karan Malhotra"/>
    <s v="Karan Malhotra"/>
    <s v="Small Business"/>
    <s v="Small Business"/>
    <x v="0"/>
    <s v="North"/>
    <s v="Punjab"/>
    <s v="Ludhiana"/>
    <s v="Office Supplies"/>
    <s v="Office Supplies"/>
    <s v="Storage"/>
    <s v="Classic Storage 198"/>
    <s v="Second Class"/>
    <s v="Second Class"/>
    <n v="6"/>
    <n v="3965.76"/>
    <n v="0"/>
    <n v="0"/>
    <s v="Valid"/>
    <n v="23794.560000000001"/>
    <n v="15698.47"/>
    <n v="8096.09"/>
    <x v="0"/>
    <s v="Include"/>
    <s v=""/>
    <s v="Completed"/>
    <s v="Completed"/>
    <s v="Include"/>
  </r>
  <r>
    <s v="ORD-2024-10017"/>
    <n v="1"/>
    <s v=""/>
    <s v="05/08/2024"/>
    <d v="2024-05-08T00:00:00"/>
    <s v="15-05-2024"/>
    <d v="2024-05-15T00:00:00"/>
    <s v="Valid"/>
    <n v="7"/>
    <s v="Valid"/>
    <s v="CUST-6214"/>
    <s v="Aarav Sharma"/>
    <s v="Aarav Sharma"/>
    <s v="Consumer"/>
    <s v="Consumer"/>
    <x v="2"/>
    <s v="South"/>
    <s v="Telangana"/>
    <s v="Hyderabad"/>
    <s v="Office Supplies"/>
    <s v="Office Supplies"/>
    <s v="Art"/>
    <s v="Basic Art 204"/>
    <s v="First Class"/>
    <s v="First Class"/>
    <n v="4"/>
    <n v="3323.51"/>
    <n v="0.25"/>
    <n v="0.25"/>
    <s v="Valid"/>
    <n v="9970.5300000000007"/>
    <n v="5668.17"/>
    <n v="4302.3599999999997"/>
    <x v="0"/>
    <s v="Include"/>
    <s v=""/>
    <s v="Completed"/>
    <s v="Completed"/>
    <s v="Include"/>
  </r>
  <r>
    <s v="ORD-2024-10018"/>
    <n v="1"/>
    <s v=""/>
    <s v="01/07/2024"/>
    <d v="2024-01-07T00:00:00"/>
    <s v="2024-01-08"/>
    <d v="2024-01-08T00:00:00"/>
    <s v="Valid"/>
    <n v="1"/>
    <s v="Valid"/>
    <s v="CUST-1626"/>
    <s v="Sneha Kapoor"/>
    <s v="Sneha Kapoor"/>
    <s v="Small Business"/>
    <s v="Small Business"/>
    <x v="0"/>
    <s v="North"/>
    <s v="Rajasthan"/>
    <s v="Jaipur"/>
    <s v="Furniture"/>
    <s v="Furniture"/>
    <s v="Furnishings"/>
    <s v="Basic Furnishings 434"/>
    <s v="Same Day"/>
    <s v="Same Day"/>
    <n v="5"/>
    <n v="1526.78"/>
    <n v="0"/>
    <n v="0"/>
    <s v="Valid"/>
    <n v="7633.9"/>
    <n v="4706.91"/>
    <n v="2926.99"/>
    <x v="0"/>
    <s v="Include"/>
    <s v=""/>
    <s v="Completed"/>
    <s v="Completed"/>
    <s v="Include"/>
  </r>
  <r>
    <s v="ORD-2025-10019"/>
    <n v="1"/>
    <s v=""/>
    <s v="07/15/2025"/>
    <d v="2025-07-15T00:00:00"/>
    <s v="17-07-2025"/>
    <d v="2025-07-17T00:00:00"/>
    <s v="Valid"/>
    <n v="2"/>
    <s v="Valid"/>
    <s v="CUST-2110"/>
    <s v="Aarav Sharma"/>
    <s v="Aarav Sharma"/>
    <s v="Home Office"/>
    <s v="Home Office"/>
    <x v="0"/>
    <s v="North"/>
    <s v="Uttar Pradesh"/>
    <s v="Noida"/>
    <s v="Technology"/>
    <s v="Technology"/>
    <s v="Copiers"/>
    <s v="Eco Copiers 755"/>
    <s v="First Class"/>
    <s v="First Class"/>
    <n v="2"/>
    <n v="1997.99"/>
    <n v="0"/>
    <n v="0"/>
    <s v="Valid"/>
    <n v="3995.98"/>
    <n v="2633.2"/>
    <n v="1362.78"/>
    <x v="1"/>
    <s v="Exclude"/>
    <s v="Refunded Order"/>
    <s v="Cancelled"/>
    <s v="Cancelled"/>
    <s v="Exclude"/>
  </r>
  <r>
    <s v="ORD-2024-10020"/>
    <n v="1"/>
    <s v=""/>
    <s v="07/27/2024"/>
    <d v="2024-07-27T00:00:00"/>
    <s v="31 Jul 2024"/>
    <d v="2024-07-31T00:00:00"/>
    <s v="Valid"/>
    <n v="4"/>
    <s v="Valid"/>
    <s v="CUST-3186"/>
    <s v="Rohan Mehta"/>
    <s v="Rohan Mehta"/>
    <s v="Home Office"/>
    <s v="Home Office"/>
    <x v="3"/>
    <s v="West"/>
    <s v="Madhya Pradesh"/>
    <s v="Indore"/>
    <s v="Office Supplies"/>
    <s v="Office Supplies"/>
    <s v="Storage"/>
    <s v="Prime Storage 121"/>
    <s v="Second Class"/>
    <s v="Second Class"/>
    <n v="3"/>
    <n v="3887.94"/>
    <n v="-0.19"/>
    <n v="-0.19"/>
    <s v="Invalid Discount"/>
    <n v="9331.06"/>
    <n v="7529.31"/>
    <n v="1801.75"/>
    <x v="0"/>
    <s v="Include"/>
    <s v=""/>
    <s v="Completed"/>
    <s v="Completed"/>
    <s v="Include"/>
  </r>
  <r>
    <s v="ORD-2025-10021"/>
    <n v="1"/>
    <s v=""/>
    <s v="21-01-2025"/>
    <d v="2025-01-21T00:00:00"/>
    <s v="23 Jan 2025"/>
    <d v="2025-01-23T00:00:00"/>
    <s v="Valid"/>
    <n v="2"/>
    <s v="Valid"/>
    <s v="CUST-3190"/>
    <s v="Aditi Sen"/>
    <s v="Aditi Sen"/>
    <s v="Home Office"/>
    <s v="Home Office"/>
    <x v="1"/>
    <s v="East"/>
    <s v="Bihar"/>
    <s v="Patna"/>
    <s v="Technology"/>
    <s v="Technology"/>
    <s v="Copiers"/>
    <s v="Elite Copiers 233"/>
    <s v="First Class"/>
    <s v="First Class"/>
    <n v="5"/>
    <n v="4373.0600000000004"/>
    <n v="0.25"/>
    <n v="0.25"/>
    <s v="Valid"/>
    <n v="16398.98"/>
    <n v="9556.52"/>
    <n v="6842.46"/>
    <x v="0"/>
    <s v="Include"/>
    <s v=""/>
    <s v="Completed"/>
    <s v="Completed"/>
    <s v="Include"/>
  </r>
  <r>
    <s v="ORD-2025-10022"/>
    <n v="1"/>
    <s v=""/>
    <s v="24-01-2025"/>
    <d v="2025-01-24T00:00:00"/>
    <s v="01/30/2025"/>
    <d v="2025-01-30T00:00:00"/>
    <s v="Valid"/>
    <n v="6"/>
    <s v="Valid"/>
    <s v="CUST-3036"/>
    <s v="Sneha Kapoor"/>
    <s v="Sneha Kapoor"/>
    <s v="Consumer"/>
    <s v="Consumer"/>
    <x v="3"/>
    <s v="West"/>
    <s v="Madhya Pradesh"/>
    <s v="Indore"/>
    <s v="Furniture"/>
    <s v="Furniture"/>
    <s v="Furnishings"/>
    <s v="Eco Furnishings 897"/>
    <s v="Second Class"/>
    <s v="Second Class"/>
    <n v="4"/>
    <n v="697.69"/>
    <n v="-0.23"/>
    <n v="-0.23"/>
    <s v="Invalid Discount"/>
    <n v="2790.76"/>
    <n v="2037.71"/>
    <n v="753.05"/>
    <x v="0"/>
    <s v="Include"/>
    <s v=""/>
    <s v="Completed"/>
    <s v="Completed"/>
    <s v="Include"/>
  </r>
  <r>
    <s v="ORD-2025-10023"/>
    <n v="1"/>
    <s v=""/>
    <s v="19 Jan 2025"/>
    <d v="2025-01-19T00:00:00"/>
    <s v="2025-01-21"/>
    <d v="2025-01-21T00:00:00"/>
    <s v="Valid"/>
    <n v="2"/>
    <s v="Valid"/>
    <s v="CUST-3588"/>
    <s v="Mira Das"/>
    <s v="Mira Das"/>
    <s v="Consumer"/>
    <s v="Consumer"/>
    <x v="2"/>
    <s v="South"/>
    <s v="Telangana"/>
    <s v="Hyderabad"/>
    <s v="Office Supplies"/>
    <s v="Office Supplies"/>
    <s v="Binders"/>
    <s v="Max Binders 355"/>
    <s v="Standard Class"/>
    <s v="Standard Class"/>
    <n v="8"/>
    <n v="1219.3399999999999"/>
    <n v="0.15"/>
    <n v="0.15"/>
    <s v="Valid"/>
    <n v="8291.51"/>
    <n v="6685.03"/>
    <n v="1606.48"/>
    <x v="3"/>
    <s v="Exclude"/>
    <s v=""/>
    <s v="Returned"/>
    <s v="Returned"/>
    <s v="Include"/>
  </r>
  <r>
    <s v="ORD-2025-10024"/>
    <n v="1"/>
    <s v=""/>
    <s v="29 Aug 2025"/>
    <d v="2025-08-29T00:00:00"/>
    <s v="31-08-2025"/>
    <d v="2025-08-31T00:00:00"/>
    <s v="Valid"/>
    <n v="2"/>
    <s v="Valid"/>
    <s v="CUST-7098"/>
    <s v="Rahul Verma"/>
    <s v="Rahul Verma"/>
    <s v="Home Office"/>
    <s v="Home Office"/>
    <x v="1"/>
    <s v="East"/>
    <s v="Bihar"/>
    <s v="Patna"/>
    <s v="Furniture"/>
    <s v="Furniture"/>
    <s v="Bookcases"/>
    <s v="Pro Bookcases 394"/>
    <s v="First Class"/>
    <s v="First Class"/>
    <n v="4"/>
    <n v="1958.01"/>
    <n v="0.2"/>
    <n v="0.2"/>
    <s v="Valid"/>
    <n v="6265.63"/>
    <n v="4321.8599999999997"/>
    <n v="1943.77"/>
    <x v="0"/>
    <s v="Include"/>
    <s v=""/>
    <s v="Completed"/>
    <s v="Completed"/>
    <s v="Include"/>
  </r>
  <r>
    <s v="ORD-2024-10025"/>
    <n v="1"/>
    <s v=""/>
    <s v="2024-03-04"/>
    <d v="2024-03-04T00:00:00"/>
    <s v="03/01/2024"/>
    <d v="2024-03-01T00:00:00"/>
    <s v="Invalid Shipping Record"/>
    <n v="-3"/>
    <s v="Invalid Shipping Record"/>
    <s v="CUST-1747"/>
    <s v="Diya Patel"/>
    <s v="Diya Patel"/>
    <s v="Consumer"/>
    <s v="Consumer"/>
    <x v="0"/>
    <s v="North"/>
    <s v="Punjab"/>
    <s v="Ludhiana"/>
    <s v="Office Supplies"/>
    <s v="Office Supplies"/>
    <s v="Art"/>
    <s v="Max Art 215"/>
    <s v="Standard Class"/>
    <s v="Standard Class"/>
    <n v="4"/>
    <n v="4492.9399999999996"/>
    <n v="0.25"/>
    <n v="0.25"/>
    <s v="Valid"/>
    <n v="13478.82"/>
    <n v="10937.35"/>
    <n v="2541.4699999999998"/>
    <x v="2"/>
    <s v="Exclude"/>
    <s v=""/>
    <s v="Cancelled"/>
    <s v="Cancelled"/>
    <s v="Exclude"/>
  </r>
  <r>
    <s v="ORD-2024-10026"/>
    <n v="1"/>
    <s v=""/>
    <s v="11-10-2024"/>
    <d v="2024-10-11T00:00:00"/>
    <s v="2024-10-19"/>
    <d v="2024-10-19T00:00:00"/>
    <s v="Valid"/>
    <n v="8"/>
    <s v="Valid"/>
    <s v="CUST-1731"/>
    <s v="Arjun Bose"/>
    <s v="Arjun Bose"/>
    <s v="Corporate"/>
    <s v="Corporate"/>
    <x v="1"/>
    <s v="East"/>
    <s v="Assam"/>
    <s v="Guwahati"/>
    <s v="Technology"/>
    <s v="Technology"/>
    <s v="Accessories"/>
    <s v="Classic Accessories 478"/>
    <s v="First Class"/>
    <s v="First Class"/>
    <n v="2"/>
    <n v="4315.2"/>
    <n v="0.15"/>
    <n v="0.15"/>
    <s v="Valid"/>
    <n v="7335.84"/>
    <n v="4968.41"/>
    <n v="2367.4299999999998"/>
    <x v="0"/>
    <s v="Include"/>
    <s v=""/>
    <s v="Completed"/>
    <s v="Completed"/>
    <s v="Include"/>
  </r>
  <r>
    <s v="ORD-2024-10027"/>
    <n v="1"/>
    <s v=""/>
    <s v="23-11-2024"/>
    <d v="2024-11-23T00:00:00"/>
    <s v="23 Nov 2024"/>
    <d v="2024-11-23T00:00:00"/>
    <s v="Valid"/>
    <n v="0"/>
    <s v="Valid"/>
    <s v="CUST-4401"/>
    <s v="Diya Patel"/>
    <s v="Diya Patel"/>
    <s v="Corporate"/>
    <s v="Corporate"/>
    <x v="0"/>
    <s v="North"/>
    <s v="Uttar Pradesh"/>
    <s v="Noida"/>
    <s v="Technology"/>
    <s v="Technology"/>
    <s v="Phones"/>
    <s v="Pro Phones 243"/>
    <s v="Standard Class"/>
    <s v="Standard Class"/>
    <n v="4"/>
    <n v="716.13"/>
    <n v="0.1"/>
    <n v="0.1"/>
    <s v="Valid"/>
    <n v="2578.0700000000002"/>
    <n v="1527.55"/>
    <n v="1050.52"/>
    <x v="0"/>
    <s v="Include"/>
    <s v=""/>
    <s v="Returned"/>
    <s v="Returned"/>
    <s v="Include"/>
  </r>
  <r>
    <s v="ORD-2025-10028"/>
    <n v="1"/>
    <s v=""/>
    <s v="29 Sep 2025"/>
    <d v="2025-09-29T00:00:00"/>
    <s v="05-10-2025"/>
    <d v="2025-10-05T00:00:00"/>
    <s v="Valid"/>
    <n v="6"/>
    <s v="Valid"/>
    <s v="CUST-9875"/>
    <s v="Arjun Bose"/>
    <s v="Arjun Bose"/>
    <s v="Small Business"/>
    <s v="Small Business"/>
    <x v="2"/>
    <s v="South"/>
    <s v="Karnataka"/>
    <s v="Bengaluru"/>
    <s v="Office Supplies"/>
    <s v="Office Supplies"/>
    <s v="Paper"/>
    <s v="Basic Paper 613"/>
    <s v="Second Class"/>
    <s v="Second Class"/>
    <n v="5"/>
    <n v="1806.51"/>
    <n v="0.25"/>
    <n v="0.25"/>
    <s v="Valid"/>
    <n v="6774.41"/>
    <n v="4710.3599999999997"/>
    <n v="2064.0500000000002"/>
    <x v="3"/>
    <s v="Exclude"/>
    <s v=""/>
    <s v="Returned"/>
    <s v="Returned"/>
    <s v="Include"/>
  </r>
  <r>
    <s v="ORD-2024-10029"/>
    <n v="1"/>
    <s v=""/>
    <s v="11-10-2024"/>
    <d v="2024-10-11T00:00:00"/>
    <s v="18-10-2024"/>
    <d v="2024-10-18T00:00:00"/>
    <s v="Valid"/>
    <n v="7"/>
    <s v="Valid"/>
    <s v="CUST-1569"/>
    <s v="Ananya Rao"/>
    <s v="Ananya Rao"/>
    <s v="Home Office"/>
    <s v="Home Office"/>
    <x v="3"/>
    <s v="West"/>
    <s v="Gujarat"/>
    <s v="Ahmedabad"/>
    <s v="Technology"/>
    <s v="Technology"/>
    <s v="Phones"/>
    <s v="Prime Phones 698"/>
    <s v="Second Class"/>
    <s v="Second Class"/>
    <n v="2"/>
    <n v="1942.22"/>
    <n v="0.25"/>
    <n v="0.25"/>
    <s v="Valid"/>
    <n v="2913.33"/>
    <n v="2122.33"/>
    <n v="791"/>
    <x v="1"/>
    <s v="Exclude"/>
    <s v="Refunded Order"/>
    <s v="Cancelled"/>
    <s v="Cancelled"/>
    <s v="Exclude"/>
  </r>
  <r>
    <s v="ORD-2025-10030"/>
    <n v="1"/>
    <s v=""/>
    <s v="13 Aug 2025"/>
    <d v="2025-08-13T00:00:00"/>
    <s v="13-08-2025"/>
    <d v="2025-08-13T00:00:00"/>
    <s v="Valid"/>
    <n v="0"/>
    <s v="Valid"/>
    <s v="CUST-5936"/>
    <s v="Rohan Mehta"/>
    <s v="Rohan Mehta"/>
    <s v="Home Office"/>
    <s v="Home Office"/>
    <x v="2"/>
    <s v="South"/>
    <s v="Kerala"/>
    <s v="Kochi"/>
    <s v="Technology"/>
    <s v="Technology"/>
    <s v="Phones"/>
    <s v="Pro Phones 442"/>
    <s v="Standard Class"/>
    <s v="Standard Class"/>
    <n v="1"/>
    <n v="256.01"/>
    <n v="0.15"/>
    <n v="0.15"/>
    <s v="Valid"/>
    <n v="217.61"/>
    <n v="119.77"/>
    <n v="97.84"/>
    <x v="0"/>
    <s v="Include"/>
    <s v=""/>
    <s v="Completed"/>
    <s v="Completed"/>
    <s v="Include"/>
  </r>
  <r>
    <s v="ORD-2024-10031"/>
    <n v="1"/>
    <s v=""/>
    <s v="09 Feb 2024"/>
    <d v="2024-02-09T00:00:00"/>
    <s v="02/12/2024"/>
    <d v="2024-02-12T00:00:00"/>
    <s v="Valid"/>
    <n v="3"/>
    <s v="Valid"/>
    <s v="CUST-8759"/>
    <s v="Ananya Rao"/>
    <s v="Ananya Rao"/>
    <s v="Corporate"/>
    <s v="Corporate"/>
    <x v="3"/>
    <s v="West"/>
    <s v="Goa"/>
    <s v="Panaji"/>
    <s v="Office Supplies"/>
    <s v="Office Supplies"/>
    <s v="Labels"/>
    <s v="Pro Labels 355"/>
    <s v="First Class"/>
    <s v="First Class"/>
    <n v="1"/>
    <n v="3421.77"/>
    <n v="0.1"/>
    <n v="0.1"/>
    <s v="Valid"/>
    <n v="3079.59"/>
    <n v="2001.89"/>
    <n v="1077.7"/>
    <x v="0"/>
    <s v="Include"/>
    <s v=""/>
    <s v="Completed"/>
    <s v="Completed"/>
    <s v="Include"/>
  </r>
  <r>
    <s v="ORD-2025-10032"/>
    <n v="1"/>
    <s v=""/>
    <s v="15-06-2025"/>
    <d v="2025-06-15T00:00:00"/>
    <s v="19-06-2025"/>
    <d v="2025-06-19T00:00:00"/>
    <s v="Valid"/>
    <n v="4"/>
    <s v="Valid"/>
    <s v="CUST-7867"/>
    <s v="Karan Malhotra"/>
    <s v="Karan Malhotra"/>
    <s v="Small Business"/>
    <s v="Small Business"/>
    <x v="3"/>
    <s v="West"/>
    <s v="Madhya Pradesh"/>
    <s v="Indore"/>
    <s v="Office Supplies"/>
    <s v="Office Supplies"/>
    <s v="Paper"/>
    <s v="Pro Paper 959"/>
    <s v="Second Class"/>
    <s v="Second Class"/>
    <n v="9"/>
    <n v="3092.55"/>
    <n v="0"/>
    <n v="0"/>
    <s v="Valid"/>
    <n v="27832.95"/>
    <n v="17769.75"/>
    <n v="10063.200000000001"/>
    <x v="3"/>
    <s v="Exclude"/>
    <s v=""/>
    <s v="Returned"/>
    <s v="Returned"/>
    <s v="Include"/>
  </r>
  <r>
    <s v="ORD-2024-10033"/>
    <n v="1"/>
    <s v=""/>
    <s v="22-11-2024"/>
    <d v="2024-11-22T00:00:00"/>
    <s v="2024-11-26"/>
    <d v="2024-11-26T00:00:00"/>
    <s v="Valid"/>
    <n v="4"/>
    <s v="Valid"/>
    <s v="CUST-6509"/>
    <s v="Aarav Sharma"/>
    <s v="Aarav Sharma"/>
    <s v="Corporate"/>
    <s v="Corporate"/>
    <x v="2"/>
    <s v="South"/>
    <s v="Andhra Pradesh"/>
    <s v="Vijayawada"/>
    <s v="Technology"/>
    <s v="Technology"/>
    <s v="Phones"/>
    <s v="Basic Phones 242"/>
    <s v="Second Class"/>
    <s v="Second Class"/>
    <n v="3"/>
    <n v="4001.25"/>
    <m/>
    <n v="0"/>
    <s v="Valid"/>
    <n v="9002.81"/>
    <n v="7529.92"/>
    <n v="1472.89"/>
    <x v="0"/>
    <s v="Include"/>
    <s v=""/>
    <s v="Completed"/>
    <s v="Completed"/>
    <s v="Include"/>
  </r>
  <r>
    <s v="ORD-2024-10034"/>
    <n v="1"/>
    <s v=""/>
    <s v="07/22/2024"/>
    <d v="2024-07-22T00:00:00"/>
    <s v="27-07-2024"/>
    <d v="2024-07-27T00:00:00"/>
    <s v="Valid"/>
    <n v="5"/>
    <s v="Valid"/>
    <s v="CUST-6660"/>
    <s v="Priya Menon"/>
    <s v="Priya Menon"/>
    <s v="Home Office"/>
    <s v="Home Office"/>
    <x v="3"/>
    <s v="West"/>
    <s v="Goa"/>
    <s v="Panaji"/>
    <s v="Furniture"/>
    <s v="Furniture"/>
    <s v="Tables"/>
    <s v="Max Tables 836"/>
    <s v="Same Day"/>
    <s v="Same Day"/>
    <n v="7"/>
    <n v="492.41"/>
    <n v="0.25"/>
    <n v="0.25"/>
    <s v="Valid"/>
    <n v="2585.15"/>
    <n v="2070.73"/>
    <n v="514.41999999999996"/>
    <x v="0"/>
    <s v="Include"/>
    <s v=""/>
    <s v="Completed"/>
    <s v="Completed"/>
    <s v="Include"/>
  </r>
  <r>
    <s v="ORD-2025-10035"/>
    <n v="1"/>
    <s v=""/>
    <s v="2025-01-31"/>
    <d v="2025-01-31T00:00:00"/>
    <s v="2025-02-05"/>
    <d v="2025-02-05T00:00:00"/>
    <s v="Valid"/>
    <n v="5"/>
    <s v="Valid"/>
    <s v="CUST-2392"/>
    <s v="Priya Menon"/>
    <s v="Priya Menon"/>
    <s v="Home Office"/>
    <s v="Home Office"/>
    <x v="1"/>
    <s v="East"/>
    <s v="West Bengal"/>
    <s v="Kolkata"/>
    <s v="Furniture"/>
    <s v="Furniture"/>
    <s v="Chairs"/>
    <s v="Elite Chairs 862"/>
    <m/>
    <s v="Unknown"/>
    <n v="2"/>
    <n v="4159.6899999999996"/>
    <n v="0.2"/>
    <n v="0.2"/>
    <s v="Valid"/>
    <n v="6655.5"/>
    <n v="4340.21"/>
    <n v="2607.3200000000002"/>
    <x v="0"/>
    <s v="Include"/>
    <s v=""/>
    <s v="Completed"/>
    <s v="Completed"/>
    <s v="Include"/>
  </r>
  <r>
    <s v="ORD-2024-10036"/>
    <n v="1"/>
    <s v=""/>
    <s v="29-05-2024"/>
    <d v="2024-05-29T00:00:00"/>
    <s v="29 May 2024"/>
    <d v="2024-05-29T00:00:00"/>
    <s v="Valid"/>
    <n v="0"/>
    <s v="Valid"/>
    <s v="CUST-1611"/>
    <s v="Sneha Kapoor"/>
    <s v="Sneha Kapoor"/>
    <s v="Small Business"/>
    <s v="Small Business"/>
    <x v="3"/>
    <s v="West"/>
    <s v="Gujarat"/>
    <s v="Ahmedabad"/>
    <s v="Furniture"/>
    <s v="Furniture"/>
    <s v="Bookcases"/>
    <s v="Prime Bookcases 414"/>
    <s v="Second Class"/>
    <s v="Second Class"/>
    <n v="8"/>
    <n v="2507.12"/>
    <n v="0.05"/>
    <n v="0.05"/>
    <s v="Valid"/>
    <n v="19054.11"/>
    <n v="15313.83"/>
    <n v="3740.28"/>
    <x v="2"/>
    <s v="Include"/>
    <s v=""/>
    <s v="Returned"/>
    <s v="Returned"/>
    <s v="Include"/>
  </r>
  <r>
    <s v="ORD-2024-10037"/>
    <n v="1"/>
    <s v=""/>
    <s v="2024-10-25"/>
    <d v="2024-10-25T00:00:00"/>
    <s v="28 Oct 2024"/>
    <d v="2024-10-28T00:00:00"/>
    <s v="Valid"/>
    <n v="3"/>
    <s v="Valid"/>
    <s v="CUST-8296"/>
    <s v="Rohan Mehta"/>
    <s v="Rohan Mehta"/>
    <s v="Corporate"/>
    <s v="Corporate"/>
    <x v="3"/>
    <s v="West"/>
    <s v="Maharashtra"/>
    <s v="Mumbai"/>
    <s v="Furniture"/>
    <s v="Furniture"/>
    <s v="Bookcases"/>
    <s v="Eco Bookcases 220"/>
    <s v="Second Class"/>
    <s v="Second Class"/>
    <n v="3"/>
    <n v="3126.47"/>
    <n v="0"/>
    <n v="0"/>
    <s v="Valid"/>
    <n v="9379.41"/>
    <n v="6670.85"/>
    <n v="2708.56"/>
    <x v="0"/>
    <s v="Include"/>
    <s v=""/>
    <s v="Returned"/>
    <s v="Returned"/>
    <s v="Include"/>
  </r>
  <r>
    <s v="ORD-2025-10038"/>
    <n v="1"/>
    <s v=""/>
    <s v="29-07-2025"/>
    <d v="2025-07-29T00:00:00"/>
    <s v="29-07-2025"/>
    <d v="2025-07-29T00:00:00"/>
    <s v="Valid"/>
    <n v="0"/>
    <s v="Valid"/>
    <s v="CUST-4646"/>
    <s v="Diya Patel"/>
    <s v="Diya Patel"/>
    <s v="Consumer"/>
    <s v="Consumer"/>
    <x v="3"/>
    <s v="West"/>
    <s v="Maharashtra"/>
    <s v="Mumbai"/>
    <s v="Technology"/>
    <s v="Technology"/>
    <s v="Copiers"/>
    <s v="Pro Copiers 830"/>
    <s v="Standard Class"/>
    <s v="Standard Class"/>
    <n v="4"/>
    <n v="1327.54"/>
    <n v="0.2"/>
    <n v="0.2"/>
    <s v="Valid"/>
    <n v="4248.13"/>
    <n v="3321.09"/>
    <n v="927.04"/>
    <x v="0"/>
    <s v="Include"/>
    <s v=""/>
    <s v="Completed"/>
    <s v="Completed"/>
    <s v="Include"/>
  </r>
  <r>
    <s v="ORD-2024-10039"/>
    <n v="1"/>
    <s v=""/>
    <s v="2024-06-17"/>
    <d v="2024-06-17T00:00:00"/>
    <s v="22-06-2024"/>
    <d v="2024-06-22T00:00:00"/>
    <s v="Valid"/>
    <n v="5"/>
    <s v="Valid"/>
    <s v="CUST-8235"/>
    <s v="Aarav Sharma"/>
    <s v="Aarav Sharma"/>
    <s v="Corporate"/>
    <s v="Corporate"/>
    <x v="3"/>
    <s v="West"/>
    <s v="Gujarat"/>
    <s v="Ahmedabad"/>
    <s v="Technology"/>
    <s v="Technology"/>
    <s v="Phones"/>
    <s v="Prime Phones 507"/>
    <s v="First Class"/>
    <s v="First Class"/>
    <n v="7"/>
    <n v="2210.6799999999998"/>
    <n v="0.1"/>
    <n v="0.1"/>
    <s v="Valid"/>
    <n v="13927.28"/>
    <n v="10504.87"/>
    <n v="3422.41"/>
    <x v="0"/>
    <s v="Include"/>
    <s v=""/>
    <s v="Completed"/>
    <s v="Completed"/>
    <s v="Include"/>
  </r>
  <r>
    <s v="ORD-2024-10040"/>
    <n v="1"/>
    <s v=""/>
    <s v="12/11/2024"/>
    <d v="2024-12-11T00:00:00"/>
    <s v="2024-12-11"/>
    <d v="2024-12-11T00:00:00"/>
    <s v="Valid"/>
    <n v="0"/>
    <s v="Valid"/>
    <s v="CUST-5830"/>
    <s v="Mira Das"/>
    <s v="Mira Das"/>
    <s v="Small Business"/>
    <s v="Small Business"/>
    <x v="3"/>
    <s v="West"/>
    <s v="Madhya Pradesh"/>
    <s v="Indore"/>
    <s v="Technology"/>
    <s v="Technology"/>
    <s v="Copiers"/>
    <s v="Classic Copiers 590"/>
    <s v="First Class"/>
    <s v="First Class"/>
    <n v="4"/>
    <n v="1370.92"/>
    <n v="0.1"/>
    <n v="0.1"/>
    <s v="Valid"/>
    <n v="4935.3100000000004"/>
    <n v="3374.77"/>
    <n v="1560.54"/>
    <x v="2"/>
    <s v="Include"/>
    <s v=""/>
    <s v="Returned"/>
    <s v="Returned"/>
    <s v="Include"/>
  </r>
  <r>
    <s v="ORD-2024-10041"/>
    <n v="1"/>
    <s v=""/>
    <s v="10-10-2024"/>
    <d v="2024-10-10T00:00:00"/>
    <s v="16 Oct 2024"/>
    <d v="2024-10-16T00:00:00"/>
    <s v="Valid"/>
    <n v="6"/>
    <s v="Valid"/>
    <s v="CUST-7178"/>
    <s v="Isha Nair"/>
    <s v="Isha Nair"/>
    <s v="Home Office"/>
    <s v="Home Office"/>
    <x v="3"/>
    <s v="West"/>
    <s v="Rajasthan"/>
    <s v="Udaipur"/>
    <s v="Technology"/>
    <s v="Technology"/>
    <s v="Copiers"/>
    <s v="Eco Copiers 865"/>
    <s v="Standard Class"/>
    <s v="Standard Class"/>
    <n v="7"/>
    <n v="2509.27"/>
    <n v="0.2"/>
    <n v="0.2"/>
    <s v="Valid"/>
    <n v="14051.91"/>
    <n v="11990.37"/>
    <n v="2061.54"/>
    <x v="0"/>
    <s v="Include"/>
    <s v=""/>
    <s v="Completed"/>
    <s v="Completed"/>
    <s v="Include"/>
  </r>
  <r>
    <s v="ORD-2024-10042"/>
    <n v="1"/>
    <s v=""/>
    <s v="03/12/2024"/>
    <d v="2024-03-12T00:00:00"/>
    <s v="17-03-2024"/>
    <d v="2024-03-17T00:00:00"/>
    <s v="Valid"/>
    <n v="5"/>
    <s v="Valid"/>
    <s v="CUST-3829"/>
    <s v="Aarav Sharma"/>
    <s v="Aarav Sharma"/>
    <s v="Small Business"/>
    <s v="Small Business"/>
    <x v="1"/>
    <s v="East"/>
    <s v="Odisha"/>
    <s v="Bhubaneswar"/>
    <s v="Furniture"/>
    <s v="Furniture"/>
    <s v="Bookcases"/>
    <s v="Classic Bookcases 835"/>
    <s v="Same Day"/>
    <s v="Same Day"/>
    <n v="8"/>
    <n v="855.81"/>
    <n v="0"/>
    <n v="0"/>
    <s v="Valid"/>
    <n v="6846.48"/>
    <n v="4239.8900000000003"/>
    <n v="2606.59"/>
    <x v="2"/>
    <s v="Exclude"/>
    <s v=""/>
    <s v="Cancelled"/>
    <s v="Cancelled"/>
    <s v="Exclude"/>
  </r>
  <r>
    <s v="ORD-2025-10043"/>
    <n v="1"/>
    <s v=""/>
    <s v="2025-10-10"/>
    <d v="2025-10-10T00:00:00"/>
    <s v="15 Oct 2025"/>
    <d v="2025-10-15T00:00:00"/>
    <s v="Valid"/>
    <n v="5"/>
    <s v="Valid"/>
    <s v="CUST-6708"/>
    <s v="Arjun Bose"/>
    <s v="Arjun Bose"/>
    <s v="Corporate"/>
    <s v="Corporate"/>
    <x v="1"/>
    <s v="East"/>
    <s v="Jharkhand"/>
    <s v="Ranchi"/>
    <s v="Technology"/>
    <s v="Technology"/>
    <s v="Phones"/>
    <s v="Eco Phones 702"/>
    <s v="Standard Class"/>
    <s v="Standard Class"/>
    <n v="8"/>
    <n v="979.87"/>
    <n v="0.05"/>
    <n v="0.05"/>
    <s v="Valid"/>
    <n v="7447.01"/>
    <n v="4496.22"/>
    <n v="2950.79"/>
    <x v="0"/>
    <s v="Include"/>
    <s v=""/>
    <s v="Completed"/>
    <s v="Completed"/>
    <s v="Include"/>
  </r>
  <r>
    <s v="ORD-2024-10044"/>
    <n v="1"/>
    <s v=""/>
    <s v="07/08/2024"/>
    <d v="2024-07-08T00:00:00"/>
    <s v="07/14/2024"/>
    <d v="2024-07-14T00:00:00"/>
    <s v="Valid"/>
    <n v="6"/>
    <s v="Valid"/>
    <s v="CUST-7119"/>
    <s v="Priya Menon"/>
    <s v="Priya Menon"/>
    <s v="Small Business"/>
    <s v="Small Business"/>
    <x v="1"/>
    <s v="East"/>
    <s v="Odisha"/>
    <s v="Bhubaneswar"/>
    <s v="Furniture"/>
    <s v="Furniture"/>
    <s v="Furnishings"/>
    <s v="Smart Furnishings 956"/>
    <s v="Same Day"/>
    <s v="Same Day"/>
    <n v="3"/>
    <n v="1010.23"/>
    <n v="0"/>
    <n v="0"/>
    <s v="Valid"/>
    <n v="3030.69"/>
    <n v="1721.08"/>
    <n v="1309.6099999999999"/>
    <x v="0"/>
    <s v="Include"/>
    <s v=""/>
    <s v="Completed"/>
    <s v="Completed"/>
    <s v="Include"/>
  </r>
  <r>
    <s v="ORD-2024-10045"/>
    <n v="1"/>
    <s v=""/>
    <s v="06/22/2024"/>
    <d v="2024-06-22T00:00:00"/>
    <s v="25-06-2024"/>
    <d v="2024-06-25T00:00:00"/>
    <s v="Valid"/>
    <n v="3"/>
    <s v="Valid"/>
    <s v="CUST-3373"/>
    <s v="Rohan Mehta"/>
    <s v="Rohan Mehta"/>
    <s v="Small Business"/>
    <s v="Small Business"/>
    <x v="0"/>
    <s v="North"/>
    <s v="Haryana"/>
    <s v="Gurugram"/>
    <s v="Furniture"/>
    <s v="Furniture"/>
    <s v="Chairs"/>
    <s v="Max Chairs 393"/>
    <s v="Standard Class"/>
    <s v="Standard Class"/>
    <n v="9"/>
    <n v="3329.77"/>
    <n v="0.1"/>
    <n v="0.1"/>
    <s v="Valid"/>
    <n v="26971.14"/>
    <n v="17376.2"/>
    <n v="9594.94"/>
    <x v="0"/>
    <s v="Include"/>
    <s v=""/>
    <s v="Completed"/>
    <s v="Completed"/>
    <s v="Include"/>
  </r>
  <r>
    <s v="ORD-2024-10046"/>
    <n v="1"/>
    <s v=""/>
    <s v="18 Jan 2024"/>
    <d v="2024-01-18T00:00:00"/>
    <s v="24-01-2024"/>
    <d v="2024-01-24T00:00:00"/>
    <s v="Valid"/>
    <n v="6"/>
    <s v="Valid"/>
    <s v="CUST-8896"/>
    <s v="Isha Nair"/>
    <s v="Isha Nair"/>
    <s v="Home Office"/>
    <s v="Home Office"/>
    <x v="1"/>
    <s v="East"/>
    <s v="Bihar"/>
    <s v="Patna"/>
    <s v="Office Supplies"/>
    <s v="Office Supplies"/>
    <s v="Art"/>
    <s v="Prime Art 221"/>
    <s v="Second Class"/>
    <s v="Second Class"/>
    <n v="8"/>
    <n v="3927.82"/>
    <n v="0.05"/>
    <n v="0.05"/>
    <s v="Valid"/>
    <n v="29851.43"/>
    <n v="17487.48"/>
    <n v="12363.95"/>
    <x v="2"/>
    <s v="Include"/>
    <s v=""/>
    <s v="Returned"/>
    <s v="Returned"/>
    <s v="Include"/>
  </r>
  <r>
    <s v="ORD-2024-10047"/>
    <n v="1"/>
    <s v=""/>
    <s v="19-07-2024"/>
    <d v="2024-07-19T00:00:00"/>
    <s v="19-07-2024"/>
    <d v="2024-07-19T00:00:00"/>
    <s v="Valid"/>
    <n v="0"/>
    <s v="Valid"/>
    <s v="CUST-8517"/>
    <s v="Ananya Rao"/>
    <s v="Ananya Rao"/>
    <s v="Small Business"/>
    <s v="Small Business"/>
    <x v="2"/>
    <s v="South"/>
    <s v="Kerala"/>
    <s v="Kochi"/>
    <s v="Furniture"/>
    <s v="Furniture"/>
    <s v="Bookcases"/>
    <s v="Elite Bookcases 671"/>
    <s v="Standard Class"/>
    <s v="Standard Class"/>
    <n v="9"/>
    <n v="2386.79"/>
    <n v="0.25"/>
    <n v="0.25"/>
    <s v="Valid"/>
    <n v="16110.83"/>
    <n v="10680.03"/>
    <n v="5430.8"/>
    <x v="1"/>
    <s v="Include"/>
    <s v="Refunded Order"/>
    <s v="Returned"/>
    <s v="Returned"/>
    <s v="Include"/>
  </r>
  <r>
    <s v="ORD-2024-10048"/>
    <n v="1"/>
    <s v=""/>
    <s v="12-08-2024"/>
    <d v="2024-08-12T00:00:00"/>
    <s v="2024-08-12"/>
    <d v="2024-08-12T00:00:00"/>
    <s v="Valid"/>
    <n v="0"/>
    <s v="Valid"/>
    <s v="CUST-1987"/>
    <s v="Rahul Verma"/>
    <s v="Rahul Verma"/>
    <s v="Corporate"/>
    <s v="Corporate"/>
    <x v="2"/>
    <s v="South"/>
    <s v="Tamil Nadu"/>
    <s v="Chennai"/>
    <s v="Office Supplies"/>
    <s v="Office Supplies"/>
    <s v="Storage"/>
    <s v="Max Storage 432"/>
    <s v="Standard Class"/>
    <s v="Standard Class"/>
    <n v="8"/>
    <n v="2445.31"/>
    <n v="0.1"/>
    <n v="0.1"/>
    <s v="Valid"/>
    <n v="17606.23"/>
    <n v="12438.96"/>
    <n v="5167.2700000000004"/>
    <x v="0"/>
    <s v="Include"/>
    <s v=""/>
    <s v="Completed"/>
    <s v="Completed"/>
    <s v="Include"/>
  </r>
  <r>
    <s v="ORD-2025-10049"/>
    <n v="1"/>
    <s v=""/>
    <s v="30 Jan 2025"/>
    <d v="2025-01-30T00:00:00"/>
    <s v="05 Feb 2025"/>
    <d v="2025-02-05T00:00:00"/>
    <s v="Valid"/>
    <n v="6"/>
    <s v="Valid"/>
    <s v="CUST-8183"/>
    <s v="Neha Gupta"/>
    <s v="Neha Gupta"/>
    <s v="Corporate"/>
    <s v="Corporate"/>
    <x v="3"/>
    <s v="West"/>
    <s v="Maharashtra"/>
    <s v="Mumbai"/>
    <s v="Furniture"/>
    <s v="Furniture"/>
    <s v="Chairs"/>
    <s v="Basic Chairs 837"/>
    <s v="Second Class"/>
    <s v="Second Class"/>
    <n v="7"/>
    <n v="4063.66"/>
    <n v="0"/>
    <n v="0"/>
    <s v="Valid"/>
    <n v="28445.62"/>
    <n v="20938.59"/>
    <n v="7507.03"/>
    <x v="0"/>
    <s v="Include"/>
    <s v=""/>
    <s v="Completed"/>
    <s v="Completed"/>
    <s v="Include"/>
  </r>
  <r>
    <s v="ORD-2024-10050"/>
    <n v="1"/>
    <s v=""/>
    <s v="2024-04-06"/>
    <d v="2024-04-06T00:00:00"/>
    <s v="13 Apr 2024"/>
    <d v="2024-04-13T00:00:00"/>
    <s v="Valid"/>
    <n v="7"/>
    <s v="Valid"/>
    <s v="CUST-2380"/>
    <s v="Aarav Sharma"/>
    <s v="Aarav Sharma"/>
    <s v="Home Office"/>
    <s v="Home Office"/>
    <x v="0"/>
    <s v="North"/>
    <s v="Uttar Pradesh"/>
    <s v="Noida"/>
    <s v="Technology"/>
    <s v="Technology"/>
    <s v="Copiers"/>
    <s v="Classic Copiers 295"/>
    <s v="Second Class"/>
    <s v="Second Class"/>
    <n v="9"/>
    <n v="792.11"/>
    <n v="0.05"/>
    <n v="0.05"/>
    <s v="Valid"/>
    <n v="6772.54"/>
    <n v="5755.46"/>
    <n v="1017.08"/>
    <x v="0"/>
    <s v="Include"/>
    <s v=""/>
    <s v="Completed"/>
    <s v="Completed"/>
    <s v="Include"/>
  </r>
  <r>
    <s v="ORD-2025-10051"/>
    <n v="1"/>
    <s v=""/>
    <s v="05/11/2025"/>
    <d v="2025-05-11T00:00:00"/>
    <s v="19 May 2025"/>
    <d v="2025-05-19T00:00:00"/>
    <s v="Valid"/>
    <n v="8"/>
    <s v="Valid"/>
    <s v="CUST-8787"/>
    <s v="Sneha Kapoor"/>
    <s v="Sneha Kapoor"/>
    <s v="Consumer"/>
    <s v="Consumer"/>
    <x v="1"/>
    <s v="East"/>
    <s v="West Bengal"/>
    <s v="Kolkata"/>
    <s v="Technology"/>
    <s v="Technology"/>
    <s v="Copiers"/>
    <s v="Pro Copiers 963"/>
    <s v="Standard Class"/>
    <s v="Standard Class"/>
    <n v="1"/>
    <n v="2382.8000000000002"/>
    <n v="0.15"/>
    <n v="0.15"/>
    <s v="Valid"/>
    <n v="2025.38"/>
    <n v="1140.6500000000001"/>
    <n v="884.73"/>
    <x v="0"/>
    <s v="Include"/>
    <s v=""/>
    <s v="Completed"/>
    <s v="Completed"/>
    <s v="Include"/>
  </r>
  <r>
    <s v="ORD-2024-10052"/>
    <n v="1"/>
    <s v=""/>
    <s v="24 Apr 2024"/>
    <d v="2024-04-24T00:00:00"/>
    <s v="29 Apr 2024"/>
    <d v="2024-04-29T00:00:00"/>
    <s v="Valid"/>
    <n v="5"/>
    <s v="Valid"/>
    <s v="CUST-3557"/>
    <s v="Ananya Rao"/>
    <s v="Ananya Rao"/>
    <s v="Corporate"/>
    <s v="Corporate"/>
    <x v="2"/>
    <s v="South"/>
    <s v="Telangana"/>
    <s v="Hyderabad"/>
    <s v="Office Supplies"/>
    <s v="Office Supplies"/>
    <s v="Art"/>
    <s v="Pro Art 907"/>
    <s v="Standard Class"/>
    <s v="Standard Class"/>
    <n v="6"/>
    <n v="1528.08"/>
    <n v="0"/>
    <n v="0"/>
    <s v="Valid"/>
    <n v="9168.48"/>
    <n v="7439.77"/>
    <n v="1728.71"/>
    <x v="0"/>
    <s v="Include"/>
    <s v=""/>
    <s v="Completed"/>
    <s v="Completed"/>
    <s v="Include"/>
  </r>
  <r>
    <s v="ORD-2024-10053"/>
    <n v="1"/>
    <s v=""/>
    <s v="26-10-2024"/>
    <d v="2024-10-26T00:00:00"/>
    <s v="2024-10-28"/>
    <d v="2024-10-28T00:00:00"/>
    <s v="Valid"/>
    <n v="2"/>
    <s v="Valid"/>
    <s v="CUST-2778"/>
    <s v="Kabir Singh"/>
    <s v="Kabir Singh"/>
    <s v="Small Business"/>
    <s v="Small Business"/>
    <x v="0"/>
    <s v="North"/>
    <s v="Rajasthan"/>
    <s v="Jaipur"/>
    <s v="Furniture"/>
    <s v="Furniture"/>
    <s v="Chairs"/>
    <s v="Pro Chairs 526"/>
    <s v="First Class"/>
    <s v="First Class"/>
    <n v="9"/>
    <n v="1399.63"/>
    <n v="0"/>
    <n v="0"/>
    <s v="Valid"/>
    <n v="12596.67"/>
    <n v="10603.29"/>
    <n v="1993.38"/>
    <x v="3"/>
    <s v="Exclude"/>
    <s v=""/>
    <s v="Cancelled"/>
    <s v="Cancelled"/>
    <s v="Exclude"/>
  </r>
  <r>
    <s v="ORD-2025-10054"/>
    <n v="1"/>
    <s v=""/>
    <s v="31 Mar 2025"/>
    <d v="2025-03-31T00:00:00"/>
    <s v="2025-03-31"/>
    <d v="2025-03-31T00:00:00"/>
    <s v="Valid"/>
    <n v="0"/>
    <s v="Valid"/>
    <s v="CUST-7195"/>
    <s v="Kabir Singh"/>
    <s v="Kabir Singh"/>
    <s v="Home Office"/>
    <s v="Home Office"/>
    <x v="3"/>
    <s v="West"/>
    <s v="Gujarat"/>
    <s v="Ahmedabad"/>
    <s v="Office Supplies"/>
    <s v="Office Supplies"/>
    <s v="Storage"/>
    <s v="Elite Storage 924"/>
    <s v="First Class"/>
    <s v="First Class"/>
    <n v="5"/>
    <n v="1207.47"/>
    <n v="0.15"/>
    <n v="0.15"/>
    <s v="Valid"/>
    <n v="5131.75"/>
    <n v="2838.68"/>
    <n v="2293.0700000000002"/>
    <x v="0"/>
    <s v="Include"/>
    <s v=""/>
    <s v="Completed"/>
    <s v="Completed"/>
    <s v="Include"/>
  </r>
  <r>
    <s v="ORD-2025-10055"/>
    <n v="1"/>
    <s v=""/>
    <s v="30 May 2025"/>
    <d v="2025-05-30T00:00:00"/>
    <s v="2025-06-02"/>
    <d v="2025-06-02T00:00:00"/>
    <s v="Valid"/>
    <n v="3"/>
    <s v="Valid"/>
    <s v="CUST-9039"/>
    <s v="Arjun Bose"/>
    <s v="Arjun Bose"/>
    <s v="Corporate"/>
    <s v="Corporate"/>
    <x v="2"/>
    <s v="South"/>
    <s v="Tamil Nadu"/>
    <s v="Chennai"/>
    <s v="Office Supplies"/>
    <s v="Office Supplies"/>
    <s v="Labels"/>
    <s v="Pro Labels 957"/>
    <s v="Same Day"/>
    <s v="Same Day"/>
    <n v="8"/>
    <n v="474.37"/>
    <n v="0.1"/>
    <n v="0.1"/>
    <s v="Valid"/>
    <n v="3415.46"/>
    <n v="1993.23"/>
    <n v="1422.23"/>
    <x v="3"/>
    <s v="Exclude"/>
    <s v=""/>
    <s v="Cancelled"/>
    <s v="Cancelled"/>
    <s v="Exclude"/>
  </r>
  <r>
    <s v="ORD-2025-10056"/>
    <n v="1"/>
    <s v=""/>
    <s v="01-07-2025"/>
    <d v="2025-07-01T00:00:00"/>
    <s v="03-07-2025"/>
    <d v="2025-07-03T00:00:00"/>
    <s v="Valid"/>
    <n v="2"/>
    <s v="Valid"/>
    <s v="CUST-9821"/>
    <s v="Mira Das"/>
    <s v="Mira Das"/>
    <s v="Small Business"/>
    <s v="Small Business"/>
    <x v="2"/>
    <s v="South"/>
    <s v="Andhra Pradesh"/>
    <s v="Vijayawada"/>
    <s v="Technology"/>
    <s v="Technology"/>
    <s v="Machines"/>
    <s v="Classic Machines 310"/>
    <s v="Same Day"/>
    <s v="Same Day"/>
    <n v="3"/>
    <n v="1516.24"/>
    <n v="0.25"/>
    <n v="0.25"/>
    <s v="Valid"/>
    <n v="3411.54"/>
    <n v="2803.13"/>
    <n v="608.41"/>
    <x v="0"/>
    <s v="Include"/>
    <s v=""/>
    <s v="Completed"/>
    <s v="Completed"/>
    <s v="Include"/>
  </r>
  <r>
    <s v="ORD-2025-10057"/>
    <n v="1"/>
    <s v=""/>
    <s v="2025-01-05"/>
    <d v="2025-01-05T00:00:00"/>
    <s v="06-01-2025"/>
    <d v="2025-01-06T00:00:00"/>
    <s v="Valid"/>
    <n v="1"/>
    <s v="Valid"/>
    <s v="CUST-8701"/>
    <s v="Karan Malhotra"/>
    <s v="Karan Malhotra"/>
    <s v="Consumer"/>
    <s v="Consumer"/>
    <x v="2"/>
    <s v="South"/>
    <s v="Karnataka"/>
    <s v="Bengaluru"/>
    <s v="Office Supplies"/>
    <s v="Office Supplies"/>
    <s v="Binders"/>
    <s v="Smart Binders 393"/>
    <s v="Second Class"/>
    <s v="Second Class"/>
    <n v="3"/>
    <n v="3155.61"/>
    <n v="0"/>
    <n v="0"/>
    <s v="Valid"/>
    <n v="9466.83"/>
    <n v="6557.83"/>
    <n v="2909"/>
    <x v="1"/>
    <s v="Exclude"/>
    <s v="Refunded Order"/>
    <s v="Cancelled"/>
    <s v="Cancelled"/>
    <s v="Exclude"/>
  </r>
  <r>
    <s v="ORD-2024-10058"/>
    <n v="1"/>
    <s v=""/>
    <s v="2024-02-07"/>
    <d v="2024-02-07T00:00:00"/>
    <s v="15 Feb 2024"/>
    <d v="2024-02-15T00:00:00"/>
    <s v="Valid"/>
    <n v="8"/>
    <s v="Valid"/>
    <s v="CUST-9941"/>
    <s v="Priya Menon"/>
    <s v="Priya Menon"/>
    <s v="Consumer"/>
    <s v="Consumer"/>
    <x v="3"/>
    <s v="West"/>
    <s v="Goa"/>
    <s v="Panaji"/>
    <s v="Furniture"/>
    <s v="Furniture"/>
    <s v="Chairs"/>
    <s v="Max Chairs 813"/>
    <s v="Same Day"/>
    <s v="Same Day"/>
    <n v="5"/>
    <n v="255.87"/>
    <n v="0"/>
    <n v="0"/>
    <s v="Valid"/>
    <n v="1279.3499999999999"/>
    <n v="1091.54"/>
    <n v="187.81"/>
    <x v="0"/>
    <s v="Include"/>
    <s v=""/>
    <s v="Completed"/>
    <s v="Completed"/>
    <s v="Include"/>
  </r>
  <r>
    <s v="ORD-2024-10059"/>
    <n v="1"/>
    <s v=""/>
    <s v="2024-09-01"/>
    <d v="2024-09-01T00:00:00"/>
    <s v="2024-09-07"/>
    <d v="2024-09-07T00:00:00"/>
    <s v="Valid"/>
    <n v="6"/>
    <s v="Valid"/>
    <s v="CUST-3983"/>
    <s v="Isha Nair"/>
    <s v="Isha Nair"/>
    <s v="Home Office"/>
    <s v="Home Office"/>
    <x v="0"/>
    <s v="North"/>
    <s v="Rajasthan"/>
    <s v="Jaipur"/>
    <s v="Office Supplies"/>
    <s v="Office Supplies"/>
    <s v="Storage"/>
    <s v="Basic Storage 872"/>
    <m/>
    <s v="Unknown"/>
    <n v="9"/>
    <n v="1389.48"/>
    <n v="0.1"/>
    <n v="0.1"/>
    <s v="Valid"/>
    <n v="11254.79"/>
    <n v="6578.06"/>
    <n v="4676.7299999999996"/>
    <x v="2"/>
    <s v="Include"/>
    <s v=""/>
    <s v="Returned"/>
    <s v="Returned"/>
    <s v="Include"/>
  </r>
  <r>
    <s v="ORD-2024-10060"/>
    <n v="1"/>
    <s v=""/>
    <s v="20-07-2024"/>
    <d v="2024-07-20T00:00:00"/>
    <s v="25 Jul 2024"/>
    <d v="2024-07-25T00:00:00"/>
    <s v="Valid"/>
    <n v="5"/>
    <s v="Valid"/>
    <s v="CUST-2418"/>
    <s v="Priya Menon"/>
    <s v="Priya Menon"/>
    <s v="Corporate"/>
    <s v="Corporate"/>
    <x v="1"/>
    <s v="East"/>
    <s v="Assam"/>
    <s v="Guwahati"/>
    <s v="Office Supplies"/>
    <s v="Office Supplies"/>
    <s v="Labels"/>
    <s v="Smart Labels 655"/>
    <s v="Same Day"/>
    <s v="Same Day"/>
    <n v="5"/>
    <n v="4133.8500000000004"/>
    <n v="0.2"/>
    <n v="0.2"/>
    <s v="Valid"/>
    <n v="16535.400000000001"/>
    <n v="12990.21"/>
    <n v="3545.19"/>
    <x v="0"/>
    <s v="Exclude"/>
    <s v=""/>
    <s v="Cancelled"/>
    <s v="Cancelled"/>
    <s v="Exclude"/>
  </r>
  <r>
    <s v="ORD-2024-10061"/>
    <n v="1"/>
    <s v=""/>
    <s v="07/13/2024"/>
    <d v="2024-07-13T00:00:00"/>
    <s v="2024-07-19"/>
    <d v="2024-07-19T00:00:00"/>
    <s v="Valid"/>
    <n v="6"/>
    <s v="Valid"/>
    <s v="CUST-2892"/>
    <s v="Ananya Rao"/>
    <s v="Ananya Rao"/>
    <s v="Corporate"/>
    <s v="Corporate"/>
    <x v="1"/>
    <s v="East"/>
    <s v="Assam"/>
    <s v="Guwahati"/>
    <s v="Office Supplies"/>
    <s v="Office Supplies"/>
    <s v="Labels"/>
    <s v="Eco Labels 210"/>
    <s v="Same Day"/>
    <s v="Same Day"/>
    <n v="3"/>
    <n v="275.76"/>
    <n v="0.2"/>
    <n v="0.2"/>
    <s v="Valid"/>
    <n v="661.82"/>
    <n v="481.47"/>
    <n v="180.35"/>
    <x v="1"/>
    <s v="Exclude"/>
    <s v="Refunded Order"/>
    <s v="Cancelled"/>
    <s v="Cancelled"/>
    <s v="Exclude"/>
  </r>
  <r>
    <s v="ORD-2024-10062"/>
    <n v="1"/>
    <s v=""/>
    <s v="16 Apr 2024"/>
    <d v="2024-04-16T00:00:00"/>
    <s v="04/16/2024"/>
    <d v="2024-04-16T00:00:00"/>
    <s v="Valid"/>
    <n v="0"/>
    <s v="Valid"/>
    <s v="CUST-7008"/>
    <s v="Vikram Iyer"/>
    <s v="Vikram Iyer"/>
    <s v="Home Office"/>
    <s v="Home Office"/>
    <x v="1"/>
    <s v="East"/>
    <s v="Bihar"/>
    <s v="Patna"/>
    <s v="Furniture"/>
    <s v="Furniture"/>
    <s v="Bookcases"/>
    <s v="Classic Bookcases 296"/>
    <s v="Standard Class"/>
    <s v="Standard Class"/>
    <n v="1"/>
    <n v="949.59"/>
    <n v="0"/>
    <n v="0"/>
    <s v="Valid"/>
    <n v="949.59"/>
    <n v="751.25"/>
    <n v="198.34"/>
    <x v="0"/>
    <s v="Include"/>
    <s v=""/>
    <s v="Completed"/>
    <s v="Completed"/>
    <s v="Include"/>
  </r>
  <r>
    <s v="ORD-2024-10063"/>
    <n v="1"/>
    <s v=""/>
    <s v="30 Oct 2024"/>
    <d v="2024-10-30T00:00:00"/>
    <s v="02-11-2024"/>
    <d v="2024-11-02T00:00:00"/>
    <s v="Valid"/>
    <n v="3"/>
    <s v="Valid"/>
    <s v="CUST-4900"/>
    <s v="Sneha Kapoor"/>
    <s v="Sneha Kapoor"/>
    <s v="Home Office"/>
    <s v="Home Office"/>
    <x v="0"/>
    <s v="North"/>
    <s v="Rajasthan"/>
    <s v="Jaipur"/>
    <s v="Technology"/>
    <s v="Technology"/>
    <s v="Phones"/>
    <s v="Basic Phones 230"/>
    <s v="Standard Class"/>
    <s v="Standard Class"/>
    <n v="9"/>
    <n v="3042.29"/>
    <n v="0.2"/>
    <n v="0.2"/>
    <s v="Valid"/>
    <n v="21904.49"/>
    <n v="13570.55"/>
    <n v="8333.94"/>
    <x v="0"/>
    <s v="Include"/>
    <s v=""/>
    <s v="Completed"/>
    <s v="Completed"/>
    <s v="Include"/>
  </r>
  <r>
    <s v="ORD-2024-10064"/>
    <n v="1"/>
    <s v=""/>
    <s v="2024-01-25"/>
    <d v="2024-01-25T00:00:00"/>
    <s v="01-02-2024"/>
    <d v="2024-02-01T00:00:00"/>
    <s v="Valid"/>
    <n v="7"/>
    <s v="Valid"/>
    <s v="CUST-5382"/>
    <s v="Sneha Kapoor"/>
    <s v="Sneha Kapoor"/>
    <s v="Home Office"/>
    <s v="Home Office"/>
    <x v="0"/>
    <s v="North"/>
    <s v="Haryana"/>
    <s v="Gurugram"/>
    <s v="Office Supplies"/>
    <s v="Office Supplies"/>
    <s v="Binders"/>
    <s v="Pro Binders 690"/>
    <s v="Same Day"/>
    <s v="Same Day"/>
    <n v="2"/>
    <n v="2832.77"/>
    <n v="0.15"/>
    <n v="0.15"/>
    <s v="Valid"/>
    <n v="4815.71"/>
    <n v="3027.75"/>
    <n v="1917.47"/>
    <x v="0"/>
    <s v="Include"/>
    <s v=""/>
    <s v="Completed"/>
    <s v="Completed"/>
    <s v="Include"/>
  </r>
  <r>
    <s v="ORD-2024-10065"/>
    <n v="1"/>
    <s v=""/>
    <s v="2024-12-23"/>
    <d v="2024-12-23T00:00:00"/>
    <s v="12/29/2024"/>
    <d v="2024-12-29T00:00:00"/>
    <s v="Valid"/>
    <n v="6"/>
    <s v="Valid"/>
    <s v="CUST-2749"/>
    <s v="Aarav Sharma"/>
    <s v="Aarav Sharma"/>
    <s v="Corporate"/>
    <s v="Corporate"/>
    <x v="1"/>
    <s v="East"/>
    <s v="Jharkhand"/>
    <s v="Ranchi"/>
    <s v="Office Supplies"/>
    <s v="Office Supplies"/>
    <s v="Paper"/>
    <s v="Classic Paper 458"/>
    <s v="First Class"/>
    <s v="First Class"/>
    <n v="7"/>
    <n v="447.84"/>
    <n v="0"/>
    <n v="0"/>
    <s v="Valid"/>
    <n v="3134.88"/>
    <n v="2367.63"/>
    <n v="767.25"/>
    <x v="1"/>
    <s v="Include"/>
    <s v="Refunded Order"/>
    <s v="Returned"/>
    <s v="Returned"/>
    <s v="Include"/>
  </r>
  <r>
    <s v="ORD-2024-10066"/>
    <n v="1"/>
    <s v=""/>
    <s v="22 Apr 2024"/>
    <d v="2024-04-22T00:00:00"/>
    <s v="2024-04-27"/>
    <d v="2024-04-27T00:00:00"/>
    <s v="Valid"/>
    <n v="5"/>
    <s v="Valid"/>
    <s v="CUST-2463"/>
    <s v="Mira Das"/>
    <s v="Mira Das"/>
    <s v="Home Office"/>
    <s v="Home Office"/>
    <x v="3"/>
    <s v="West"/>
    <s v="Maharashtra"/>
    <s v="Mumbai"/>
    <s v="Office Supplies"/>
    <s v="Office Supplies"/>
    <s v="Paper"/>
    <s v="Pro Paper 552"/>
    <s v="Second Class"/>
    <s v="Second Class"/>
    <n v="1"/>
    <n v="4280.1899999999996"/>
    <n v="0.05"/>
    <n v="0.05"/>
    <s v="Valid"/>
    <n v="4066.18"/>
    <n v="2628.92"/>
    <n v="1437.26"/>
    <x v="0"/>
    <s v="Include"/>
    <s v=""/>
    <s v="Completed"/>
    <s v="Completed"/>
    <s v="Include"/>
  </r>
  <r>
    <s v="ORD-2025-10067"/>
    <n v="1"/>
    <s v=""/>
    <s v="08/28/2025"/>
    <d v="2025-08-28T00:00:00"/>
    <s v="01 Sep 2025"/>
    <d v="2025-09-01T00:00:00"/>
    <s v="Valid"/>
    <n v="4"/>
    <s v="Valid"/>
    <s v="CUST-1504"/>
    <s v="Karan Malhotra"/>
    <s v="Karan Malhotra"/>
    <s v="Small Business"/>
    <s v="Small Business"/>
    <x v="2"/>
    <s v="South"/>
    <s v="Tamil Nadu"/>
    <s v="Chennai"/>
    <s v="Technology"/>
    <s v="Technology"/>
    <s v="Accessories"/>
    <s v="Elite Accessories 187"/>
    <s v="Same Day"/>
    <s v="Same Day"/>
    <n v="7"/>
    <n v="1057.46"/>
    <n v="0.05"/>
    <n v="0.05"/>
    <s v="Valid"/>
    <n v="7032.11"/>
    <n v="4610.34"/>
    <n v="2421.77"/>
    <x v="0"/>
    <s v="Include"/>
    <s v=""/>
    <s v="Completed"/>
    <s v="Completed"/>
    <s v="Include"/>
  </r>
  <r>
    <s v="ORD-2025-10068"/>
    <n v="1"/>
    <s v=""/>
    <s v="03 Feb 2025"/>
    <d v="2025-02-03T00:00:00"/>
    <s v="07-02-2025"/>
    <d v="2025-02-07T00:00:00"/>
    <s v="Valid"/>
    <n v="4"/>
    <s v="Valid"/>
    <s v="CUST-8282"/>
    <s v="Kabir Singh"/>
    <s v="Kabir Singh"/>
    <s v="Consumer"/>
    <s v="Consumer"/>
    <x v="0"/>
    <s v="North"/>
    <s v="Haryana"/>
    <s v="Gurugram"/>
    <s v="Office Supplies"/>
    <s v="Office Supplies"/>
    <s v="Paper"/>
    <s v="Eco Paper 922"/>
    <s v="First Class"/>
    <s v="First Class"/>
    <n v="7"/>
    <n v="3609.34"/>
    <n v="0.05"/>
    <n v="0.05"/>
    <s v="Valid"/>
    <n v="24002.11"/>
    <n v="18707.57"/>
    <n v="5294.54"/>
    <x v="0"/>
    <s v="Include"/>
    <s v=""/>
    <s v="Completed"/>
    <s v="Completed"/>
    <s v="Include"/>
  </r>
  <r>
    <s v="ORD-2024-10069"/>
    <n v="1"/>
    <s v=""/>
    <s v="11/10/2024"/>
    <d v="2024-11-10T00:00:00"/>
    <s v="13 Nov 2024"/>
    <d v="2024-11-13T00:00:00"/>
    <s v="Valid"/>
    <n v="3"/>
    <s v="Valid"/>
    <s v="CUST-6054"/>
    <s v="Isha Nair"/>
    <s v="Isha Nair"/>
    <s v="Corporate"/>
    <s v="Corporate"/>
    <x v="1"/>
    <s v="East"/>
    <s v="Jharkhand"/>
    <s v="Ranchi"/>
    <s v="Office Supplies"/>
    <s v="Office Supplies"/>
    <s v="Storage"/>
    <s v="Pro Storage 975"/>
    <s v="Second Class"/>
    <s v="Second Class"/>
    <n v="9"/>
    <n v="2211.12"/>
    <n v="0"/>
    <n v="0"/>
    <s v="Valid"/>
    <n v="19900.080000000002"/>
    <n v="10962.66"/>
    <n v="8937.42"/>
    <x v="3"/>
    <s v="Exclude"/>
    <s v=""/>
    <s v="Returned"/>
    <s v="Returned"/>
    <s v="Include"/>
  </r>
  <r>
    <s v="ORD-2024-10070"/>
    <n v="1"/>
    <s v=""/>
    <s v="09 Apr 2024"/>
    <d v="2024-04-09T00:00:00"/>
    <s v="04/14/2024"/>
    <d v="2024-04-14T00:00:00"/>
    <s v="Valid"/>
    <n v="5"/>
    <s v="Valid"/>
    <s v="CUST-5979"/>
    <s v="Neha Gupta"/>
    <s v="Neha Gupta"/>
    <s v="Small Business"/>
    <s v="Small Business"/>
    <x v="3"/>
    <s v="West"/>
    <s v="Gujarat"/>
    <s v="Ahmedabad"/>
    <s v="Technology"/>
    <s v="Technology"/>
    <s v="Machines"/>
    <s v="Prime Machines 782"/>
    <s v="Same Day"/>
    <s v="Same Day"/>
    <n v="7"/>
    <n v="3417.09"/>
    <n v="0.1"/>
    <n v="0.1"/>
    <s v="Valid"/>
    <n v="21527.67"/>
    <n v="18287.580000000002"/>
    <n v="3240.09"/>
    <x v="1"/>
    <s v="Include"/>
    <s v="Refunded Order"/>
    <s v="Returned"/>
    <s v="Returned"/>
    <s v="Include"/>
  </r>
  <r>
    <s v="ORD-2025-10071"/>
    <n v="1"/>
    <s v=""/>
    <s v="2025-08-22"/>
    <d v="2025-08-22T00:00:00"/>
    <s v="27 Aug 2025"/>
    <d v="2025-08-27T00:00:00"/>
    <s v="Valid"/>
    <n v="5"/>
    <s v="Valid"/>
    <s v="CUST-5582"/>
    <s v="Karan Malhotra"/>
    <s v="Karan Malhotra"/>
    <s v="Corporate"/>
    <s v="Corporate"/>
    <x v="2"/>
    <s v="South"/>
    <s v="Andhra Pradesh"/>
    <s v="Vijayawada"/>
    <s v="Technology"/>
    <s v="Technology"/>
    <s v="Phones"/>
    <s v="Max Phones 661"/>
    <s v="First Class"/>
    <s v="First Class"/>
    <n v="2"/>
    <n v="905.87"/>
    <n v="0.15"/>
    <n v="0.15"/>
    <s v="Valid"/>
    <n v="1539.98"/>
    <n v="1070.2"/>
    <n v="469.78"/>
    <x v="0"/>
    <s v="Include"/>
    <s v=""/>
    <s v="Completed"/>
    <s v="Completed"/>
    <s v="Include"/>
  </r>
  <r>
    <s v="ORD-2025-10072"/>
    <n v="1"/>
    <s v=""/>
    <s v="04/16/2025"/>
    <d v="2025-04-16T00:00:00"/>
    <s v="2025-04-23"/>
    <d v="2025-04-23T00:00:00"/>
    <s v="Valid"/>
    <n v="7"/>
    <s v="Valid"/>
    <s v="CUST-3308"/>
    <s v="Mira Das"/>
    <s v="Mira Das"/>
    <s v="Small Business"/>
    <s v="Small Business"/>
    <x v="3"/>
    <s v="West"/>
    <s v="Goa"/>
    <s v="Panaji"/>
    <s v="Technology"/>
    <s v="Technology"/>
    <s v="Machines"/>
    <s v="Elite Machines 836"/>
    <s v="Standard Class"/>
    <s v="Standard Class"/>
    <n v="6"/>
    <n v="2027.32"/>
    <n v="0.1"/>
    <n v="0.1"/>
    <s v="Valid"/>
    <n v="10947.53"/>
    <n v="6447.36"/>
    <n v="4500.17"/>
    <x v="0"/>
    <s v="Include"/>
    <s v=""/>
    <s v="Completed"/>
    <s v="Completed"/>
    <s v="Include"/>
  </r>
  <r>
    <s v="ORD-2024-10073"/>
    <n v="1"/>
    <s v=""/>
    <s v="2024-02-11"/>
    <d v="2024-02-11T00:00:00"/>
    <s v="07 Feb 2024"/>
    <d v="2024-02-07T00:00:00"/>
    <s v="Invalid Shipping Record"/>
    <n v="-4"/>
    <s v="Invalid Shipping Record"/>
    <s v="CUST-5018"/>
    <s v="Karan Malhotra"/>
    <s v="Karan Malhotra"/>
    <s v="Home Office"/>
    <s v="Home Office"/>
    <x v="2"/>
    <s v="South"/>
    <s v="Tamil Nadu"/>
    <s v="Chennai"/>
    <s v="Furniture"/>
    <s v="Furniture"/>
    <s v="Tables"/>
    <s v="Prime Tables 902"/>
    <s v="First Class"/>
    <s v="First Class"/>
    <n v="7"/>
    <n v="2287.4699999999998"/>
    <n v="0.15"/>
    <n v="0.15"/>
    <s v="Valid"/>
    <n v="13610.45"/>
    <n v="10039.049999999999"/>
    <n v="3571.4"/>
    <x v="0"/>
    <s v="Include"/>
    <s v=""/>
    <s v="Completed"/>
    <s v="Completed"/>
    <s v="Include"/>
  </r>
  <r>
    <s v="ORD-2025-10074"/>
    <n v="1"/>
    <s v=""/>
    <s v="29-03-2025"/>
    <d v="2025-03-29T00:00:00"/>
    <s v="04/03/2025"/>
    <d v="2025-04-03T00:00:00"/>
    <s v="Valid"/>
    <n v="5"/>
    <s v="Valid"/>
    <s v="CUST-2342"/>
    <s v="Sneha Kapoor"/>
    <s v="Sneha Kapoor"/>
    <s v="Corporate"/>
    <s v="Corporate"/>
    <x v="1"/>
    <s v="East"/>
    <s v="West Bengal"/>
    <s v="Kolkata"/>
    <s v="Furniture"/>
    <s v="Furniture"/>
    <s v="Bookcases"/>
    <s v="Smart Bookcases 167"/>
    <s v="First Class"/>
    <s v="First Class"/>
    <n v="5"/>
    <n v="1425.74"/>
    <n v="0"/>
    <n v="0"/>
    <s v="Valid"/>
    <n v="7128.7"/>
    <n v="4382.1499999999996"/>
    <n v="2746.55"/>
    <x v="0"/>
    <s v="Include"/>
    <s v=""/>
    <s v="Completed"/>
    <s v="Completed"/>
    <s v="Include"/>
  </r>
  <r>
    <s v="ORD-2025-10075"/>
    <n v="1"/>
    <s v=""/>
    <s v="02/27/2025"/>
    <d v="2025-02-27T00:00:00"/>
    <s v="2025-03-01"/>
    <d v="2025-03-01T00:00:00"/>
    <s v="Valid"/>
    <n v="2"/>
    <s v="Valid"/>
    <s v="CUST-6201"/>
    <s v="Vikram Iyer"/>
    <s v="Vikram Iyer"/>
    <s v="Small Business"/>
    <s v="Small Business"/>
    <x v="1"/>
    <s v="East"/>
    <s v="West Bengal"/>
    <s v="Kolkata"/>
    <s v="Furniture"/>
    <s v="Furniture"/>
    <s v="Chairs"/>
    <s v="Max Chairs 244"/>
    <s v="Standard Class"/>
    <s v="Standard Class"/>
    <n v="6"/>
    <n v="551.64"/>
    <n v="0"/>
    <n v="0"/>
    <s v="Valid"/>
    <n v="3309.84"/>
    <n v="2671.08"/>
    <n v="638.76"/>
    <x v="0"/>
    <s v="Include"/>
    <s v=""/>
    <s v="Completed"/>
    <s v="Completed"/>
    <s v="Include"/>
  </r>
  <r>
    <s v="ORD-2025-10076"/>
    <n v="1"/>
    <s v=""/>
    <s v="22-08-2025"/>
    <d v="2025-08-22T00:00:00"/>
    <s v="08/27/2025"/>
    <d v="2025-08-27T00:00:00"/>
    <s v="Valid"/>
    <n v="5"/>
    <s v="Valid"/>
    <s v="CUST-5808"/>
    <s v="Priya Menon"/>
    <s v="Priya Menon"/>
    <s v="Small Business"/>
    <s v="Small Business"/>
    <x v="1"/>
    <s v="East"/>
    <s v="Odisha"/>
    <s v="Bhubaneswar"/>
    <s v="Office Supplies"/>
    <s v="Office Supplies"/>
    <s v="Labels"/>
    <s v="Eco Labels 653"/>
    <s v="First Class"/>
    <s v="First Class"/>
    <n v="3"/>
    <n v="3294.82"/>
    <n v="0.2"/>
    <n v="0.2"/>
    <s v="Valid"/>
    <n v="7907.57"/>
    <n v="5391.18"/>
    <n v="2516.39"/>
    <x v="0"/>
    <s v="Include"/>
    <s v=""/>
    <s v="Completed"/>
    <s v="Completed"/>
    <s v="Include"/>
  </r>
  <r>
    <s v="ORD-2024-10077"/>
    <n v="1"/>
    <s v=""/>
    <s v="03 Nov 2024"/>
    <d v="2024-11-03T00:00:00"/>
    <s v="11-11-2024"/>
    <d v="2024-11-11T00:00:00"/>
    <s v="Valid"/>
    <n v="8"/>
    <s v="Valid"/>
    <s v="CUST-2642"/>
    <s v="Ananya Rao"/>
    <s v="Ananya Rao"/>
    <s v="Corporate"/>
    <s v="Corporate"/>
    <x v="1"/>
    <s v="East"/>
    <s v="Jharkhand"/>
    <s v="Ranchi"/>
    <s v="Office Supplies"/>
    <s v="Office Supplies"/>
    <s v="Labels"/>
    <s v="Max Labels 617"/>
    <s v="Second Class"/>
    <s v="Second Class"/>
    <n v="3"/>
    <n v="3406.27"/>
    <n v="0"/>
    <n v="0"/>
    <s v="Valid"/>
    <n v="10218.81"/>
    <n v="7616.97"/>
    <n v="2601.84"/>
    <x v="0"/>
    <s v="Include"/>
    <s v=""/>
    <s v="Completed"/>
    <s v="Completed"/>
    <s v="Include"/>
  </r>
  <r>
    <s v="ORD-2025-10078"/>
    <n v="1"/>
    <s v=""/>
    <s v="07/08/2025"/>
    <d v="2025-07-08T00:00:00"/>
    <s v="12-07-2025"/>
    <d v="2025-07-12T00:00:00"/>
    <s v="Valid"/>
    <n v="4"/>
    <s v="Valid"/>
    <s v="CUST-4385"/>
    <s v="Rohan Mehta"/>
    <s v="Rohan Mehta"/>
    <s v="Home Office"/>
    <s v="Home Office"/>
    <x v="0"/>
    <s v="North"/>
    <s v="Uttar Pradesh"/>
    <s v="Noida"/>
    <s v="Furniture"/>
    <s v="Furniture"/>
    <s v="Furnishings"/>
    <s v="Pro Furnishings 529"/>
    <s v="Standard Class"/>
    <s v="Standard Class"/>
    <n v="1"/>
    <n v="2582.1999999999998"/>
    <n v="0.15"/>
    <n v="0.15"/>
    <s v="Valid"/>
    <n v="2194.87"/>
    <n v="1223.17"/>
    <n v="971.7"/>
    <x v="1"/>
    <s v="Exclude"/>
    <s v="Refunded Order"/>
    <s v="Cancelled"/>
    <s v="Cancelled"/>
    <s v="Exclude"/>
  </r>
  <r>
    <s v="ORD-2025-10079"/>
    <n v="1"/>
    <s v=""/>
    <s v="07/16/2025"/>
    <d v="2025-07-16T00:00:00"/>
    <s v="21-07-2025"/>
    <d v="2025-07-21T00:00:00"/>
    <s v="Valid"/>
    <n v="5"/>
    <s v="Valid"/>
    <s v="CUST-8043"/>
    <s v="Sneha Kapoor"/>
    <s v="Sneha Kapoor"/>
    <s v="Corporate"/>
    <s v="Corporate"/>
    <x v="1"/>
    <s v="East"/>
    <s v="West Bengal"/>
    <s v="Kolkata"/>
    <s v="Furniture"/>
    <s v="Furniture"/>
    <s v="Tables"/>
    <s v="Smart Tables 561"/>
    <s v="First Class"/>
    <s v="First Class"/>
    <n v="5"/>
    <n v="2129.5100000000002"/>
    <n v="0.15"/>
    <n v="0.15"/>
    <s v="Valid"/>
    <n v="9050.42"/>
    <n v="6778.85"/>
    <n v="2271.5700000000002"/>
    <x v="0"/>
    <s v="Include"/>
    <s v=""/>
    <s v="Completed"/>
    <s v="Completed"/>
    <s v="Include"/>
  </r>
  <r>
    <s v="ORD-2025-10080"/>
    <n v="1"/>
    <s v=""/>
    <s v="2025-09-27"/>
    <d v="2025-09-27T00:00:00"/>
    <s v="2025-10-03"/>
    <d v="2025-10-03T00:00:00"/>
    <s v="Valid"/>
    <n v="6"/>
    <s v="Valid"/>
    <s v="CUST-9978"/>
    <s v="Diya Patel"/>
    <s v="Diya Patel"/>
    <s v="Home Office"/>
    <s v="Home Office"/>
    <x v="2"/>
    <s v="South"/>
    <s v="Tamil Nadu"/>
    <s v="Chennai"/>
    <s v="Furniture"/>
    <s v="Furniture"/>
    <s v="Chairs"/>
    <s v="Prime Chairs 838"/>
    <s v="Same Day"/>
    <s v="Same Day"/>
    <n v="9"/>
    <n v="4131.5200000000004"/>
    <n v="0.1"/>
    <n v="0.1"/>
    <s v="Valid"/>
    <n v="33465.31"/>
    <n v="24781.26"/>
    <n v="8684.0499999999993"/>
    <x v="0"/>
    <s v="Include"/>
    <s v=""/>
    <s v="Completed"/>
    <s v="Completed"/>
    <s v="Include"/>
  </r>
  <r>
    <s v="ORD-2024-10081"/>
    <n v="1"/>
    <s v=""/>
    <s v="2024-08-10"/>
    <d v="2024-08-10T00:00:00"/>
    <s v="2024-08-14"/>
    <d v="2024-08-14T00:00:00"/>
    <s v="Valid"/>
    <n v="4"/>
    <s v="Valid"/>
    <s v="CUST-2094"/>
    <s v="Aarav Sharma"/>
    <s v="Aarav Sharma"/>
    <s v="Small Business"/>
    <s v="Small Business"/>
    <x v="0"/>
    <s v="North"/>
    <s v="Delhi"/>
    <s v="New Delhi"/>
    <s v="Office Supplies"/>
    <s v="Office Supplies"/>
    <s v="Storage"/>
    <s v="Elite Storage 371"/>
    <s v="Second Class"/>
    <s v="Second Class"/>
    <n v="4"/>
    <n v="1182.32"/>
    <n v="0.1"/>
    <n v="0.1"/>
    <s v="Valid"/>
    <n v="4256.3500000000004"/>
    <n v="2495.33"/>
    <n v="1761.02"/>
    <x v="2"/>
    <s v="Include"/>
    <s v=""/>
    <s v="Returned"/>
    <s v="Returned"/>
    <s v="Include"/>
  </r>
  <r>
    <s v="ORD-2025-10082"/>
    <n v="1"/>
    <s v=""/>
    <s v="2025-03-16"/>
    <d v="2025-03-16T00:00:00"/>
    <s v="17-03-2025"/>
    <d v="2025-03-17T00:00:00"/>
    <s v="Valid"/>
    <n v="1"/>
    <s v="Valid"/>
    <s v="CUST-7907"/>
    <s v="Karan Malhotra"/>
    <s v="Karan Malhotra"/>
    <s v="Home Office"/>
    <s v="Home Office"/>
    <x v="3"/>
    <s v="West"/>
    <s v="Goa"/>
    <s v="Panaji"/>
    <s v="Office Supplies"/>
    <s v="Office Supplies"/>
    <s v="Labels"/>
    <s v="Eco Labels 662"/>
    <s v="Same Day"/>
    <s v="Same Day"/>
    <n v="3"/>
    <n v="1841.91"/>
    <n v="0"/>
    <n v="0"/>
    <s v="Valid"/>
    <n v="5525.73"/>
    <n v="3093.42"/>
    <n v="2432.31"/>
    <x v="0"/>
    <s v="Include"/>
    <s v=""/>
    <s v="Completed"/>
    <s v="Completed"/>
    <s v="Include"/>
  </r>
  <r>
    <s v="ORD-2024-10083"/>
    <n v="1"/>
    <s v=""/>
    <s v="2024-08-03"/>
    <d v="2024-08-03T00:00:00"/>
    <s v="04-08-2024"/>
    <d v="2024-08-04T00:00:00"/>
    <s v="Valid"/>
    <n v="1"/>
    <s v="Valid"/>
    <s v="CUST-6516"/>
    <s v="Arjun Bose"/>
    <s v="Arjun Bose"/>
    <s v="Consumer"/>
    <s v="Consumer"/>
    <x v="0"/>
    <s v="North"/>
    <s v="Uttar Pradesh"/>
    <s v="Noida"/>
    <s v="Technology"/>
    <s v="Technology"/>
    <s v="Copiers"/>
    <s v="Smart Copiers 702"/>
    <s v="Second Class"/>
    <s v="Second Class"/>
    <n v="6"/>
    <n v="1001.73"/>
    <n v="0"/>
    <n v="0"/>
    <s v="Valid"/>
    <n v="6010.38"/>
    <n v="3762.85"/>
    <n v="2247.5300000000002"/>
    <x v="3"/>
    <s v="Exclude"/>
    <s v=""/>
    <s v="Returned"/>
    <s v="Returned"/>
    <s v="Include"/>
  </r>
  <r>
    <s v="ORD-2024-10084"/>
    <n v="1"/>
    <s v=""/>
    <s v="26-10-2024"/>
    <d v="2024-10-26T00:00:00"/>
    <s v="29-10-2024"/>
    <d v="2024-10-29T00:00:00"/>
    <s v="Valid"/>
    <n v="3"/>
    <s v="Valid"/>
    <s v="CUST-4989"/>
    <s v="Aditi Sen"/>
    <s v="Aditi Sen"/>
    <s v="Home Office"/>
    <s v="Home Office"/>
    <x v="3"/>
    <s v="West"/>
    <s v="Maharashtra"/>
    <s v="Mumbai"/>
    <s v="Furniture"/>
    <s v="Furniture"/>
    <s v="Tables"/>
    <s v="Elite Tables 362"/>
    <s v="Second Class"/>
    <s v="Second Class"/>
    <n v="9"/>
    <n v="131.74"/>
    <n v="0.2"/>
    <n v="0.2"/>
    <s v="Valid"/>
    <n v="948.53"/>
    <n v="674.62"/>
    <n v="273.91000000000003"/>
    <x v="0"/>
    <s v="Include"/>
    <s v=""/>
    <s v="Completed"/>
    <s v="Completed"/>
    <s v="Include"/>
  </r>
  <r>
    <s v="ORD-2024-10085"/>
    <n v="1"/>
    <s v=""/>
    <s v="01 Oct 2024"/>
    <d v="2024-10-01T00:00:00"/>
    <s v="2024-10-03"/>
    <d v="2024-10-03T00:00:00"/>
    <s v="Valid"/>
    <n v="2"/>
    <s v="Valid"/>
    <s v="CUST-3758"/>
    <s v="Rohan Mehta"/>
    <s v="Rohan Mehta"/>
    <s v="Corporate"/>
    <s v="Corporate"/>
    <x v="2"/>
    <s v="South"/>
    <s v="Tamil Nadu"/>
    <s v="Chennai"/>
    <s v="Technology"/>
    <s v="Technology"/>
    <s v="Phones"/>
    <s v="Elite Phones 781"/>
    <s v="Second Class"/>
    <s v="Second Class"/>
    <n v="6"/>
    <n v="570.28"/>
    <n v="0.2"/>
    <n v="0.2"/>
    <s v="Valid"/>
    <n v="2737.34"/>
    <n v="2085.44"/>
    <n v="651.9"/>
    <x v="0"/>
    <s v="Include"/>
    <s v=""/>
    <s v="Completed"/>
    <s v="Completed"/>
    <s v="Include"/>
  </r>
  <r>
    <s v="ORD-2024-10086"/>
    <n v="1"/>
    <s v=""/>
    <s v="2024-07-30"/>
    <d v="2024-07-30T00:00:00"/>
    <s v="08/05/2024"/>
    <d v="2024-08-05T00:00:00"/>
    <s v="Valid"/>
    <n v="6"/>
    <s v="Valid"/>
    <s v="CUST-6702"/>
    <s v="Kabir Singh"/>
    <s v="Kabir Singh"/>
    <s v="Corporate"/>
    <s v="Corporate"/>
    <x v="0"/>
    <s v="North"/>
    <s v="Delhi"/>
    <s v="New Delhi"/>
    <s v="Office Supplies"/>
    <s v="Office Supplies"/>
    <s v="Binders"/>
    <s v="Eco Binders 456"/>
    <s v="Standard Class"/>
    <s v="Standard Class"/>
    <n v="1"/>
    <n v="608.64"/>
    <n v="0"/>
    <n v="0"/>
    <s v="Valid"/>
    <n v="608.64"/>
    <n v="343.99"/>
    <n v="264.64999999999998"/>
    <x v="0"/>
    <s v="Exclude"/>
    <s v=""/>
    <s v="Cancelled"/>
    <s v="Cancelled"/>
    <s v="Exclude"/>
  </r>
  <r>
    <s v="ORD-2024-10087"/>
    <n v="1"/>
    <s v=""/>
    <s v="01 Jul 2024"/>
    <d v="2024-07-01T00:00:00"/>
    <s v="01 Jul 2024"/>
    <d v="2024-07-01T00:00:00"/>
    <s v="Valid"/>
    <n v="0"/>
    <s v="Valid"/>
    <s v="CUST-9148"/>
    <s v="Ananya Rao"/>
    <s v="Ananya Rao"/>
    <s v="Small Business"/>
    <s v="Small Business"/>
    <x v="0"/>
    <s v="North"/>
    <s v="Delhi"/>
    <s v="New Delhi"/>
    <s v="Technology"/>
    <s v="Technology"/>
    <s v="Copiers"/>
    <s v="Basic Copiers 525"/>
    <s v="Second Class"/>
    <s v="Second Class"/>
    <n v="3"/>
    <n v="885.28"/>
    <n v="0.1"/>
    <n v="0.1"/>
    <s v="Valid"/>
    <n v="2390.2600000000002"/>
    <n v="1495.94"/>
    <n v="894.32"/>
    <x v="1"/>
    <s v="Exclude"/>
    <s v="Refunded Order"/>
    <s v="Cancelled"/>
    <s v="Cancelled"/>
    <s v="Exclude"/>
  </r>
  <r>
    <s v="ORD-2024-10088"/>
    <n v="1"/>
    <s v=""/>
    <s v="02-08-2024"/>
    <d v="2024-08-02T00:00:00"/>
    <s v="2024-08-03"/>
    <d v="2024-08-03T00:00:00"/>
    <s v="Valid"/>
    <n v="1"/>
    <s v="Valid"/>
    <s v="CUST-5829"/>
    <s v="Vikram Iyer"/>
    <s v="Vikram Iyer"/>
    <s v="Consumer"/>
    <s v="Consumer"/>
    <x v="1"/>
    <s v="East"/>
    <s v="Assam"/>
    <s v="Guwahati"/>
    <s v="Office Supplies"/>
    <s v="Office Supplies"/>
    <s v="Binders"/>
    <s v="Eco Binders 258"/>
    <s v="Standard Class"/>
    <s v="Standard Class"/>
    <n v="7"/>
    <n v="3345.22"/>
    <n v="0"/>
    <n v="0"/>
    <s v="Valid"/>
    <n v="23416.54"/>
    <n v="15490.89"/>
    <n v="7925.65"/>
    <x v="0"/>
    <s v="Include"/>
    <s v=""/>
    <s v="Completed"/>
    <s v="Completed"/>
    <s v="Include"/>
  </r>
  <r>
    <s v="ORD-2024-10089"/>
    <n v="1"/>
    <s v=""/>
    <s v="03/24/2024"/>
    <d v="2024-03-24T00:00:00"/>
    <s v="27 Mar 2024"/>
    <d v="2024-03-27T00:00:00"/>
    <s v="Valid"/>
    <n v="3"/>
    <s v="Valid"/>
    <s v="CUST-6059"/>
    <s v="Rohan Mehta"/>
    <s v="Rohan Mehta"/>
    <s v="Small Business"/>
    <s v="Small Business"/>
    <x v="3"/>
    <s v="West"/>
    <s v="Maharashtra"/>
    <s v="Mumbai"/>
    <s v="Furniture"/>
    <s v="Furniture"/>
    <s v="Bookcases"/>
    <s v="Max Bookcases 398"/>
    <s v="Standard Class"/>
    <s v="Standard Class"/>
    <n v="2"/>
    <n v="3284.75"/>
    <n v="0.05"/>
    <n v="0.05"/>
    <s v="Valid"/>
    <n v="6241.02"/>
    <n v="5345.88"/>
    <n v="895.14"/>
    <x v="0"/>
    <s v="Include"/>
    <s v=""/>
    <s v="Completed"/>
    <s v="Completed"/>
    <s v="Include"/>
  </r>
  <r>
    <s v="ORD-2024-10090"/>
    <n v="1"/>
    <s v=""/>
    <s v="05 Sep 2024"/>
    <d v="2024-09-05T00:00:00"/>
    <s v="05 Sep 2024"/>
    <d v="2024-09-05T00:00:00"/>
    <s v="Valid"/>
    <n v="0"/>
    <s v="Valid"/>
    <s v="CUST-7744"/>
    <s v="Kabir Singh"/>
    <s v="Kabir Singh"/>
    <s v="Consumer"/>
    <s v="Consumer"/>
    <x v="2"/>
    <s v="South"/>
    <s v="Andhra Pradesh"/>
    <s v="Vijayawada"/>
    <s v="Furniture"/>
    <s v="Furniture"/>
    <s v="Bookcases"/>
    <s v="Smart Bookcases 857"/>
    <s v="Standard Class"/>
    <s v="Standard Class"/>
    <n v="7"/>
    <n v="3761.09"/>
    <n v="0.2"/>
    <n v="0.2"/>
    <s v="Valid"/>
    <n v="21062.1"/>
    <n v="12057.13"/>
    <n v="9004.9699999999993"/>
    <x v="2"/>
    <s v="Exclude"/>
    <s v=""/>
    <s v="Cancelled"/>
    <s v="Cancelled"/>
    <s v="Exclude"/>
  </r>
  <r>
    <s v="ORD-2024-10124"/>
    <n v="2"/>
    <s v="Review Required"/>
    <s v="05/24/2024"/>
    <d v="2024-05-24T00:00:00"/>
    <s v="25 May 2024"/>
    <d v="2024-05-25T00:00:00"/>
    <s v="Valid"/>
    <n v="1"/>
    <s v="Valid"/>
    <s v="CUST-1007"/>
    <s v="Sneha Kapoor"/>
    <s v="Sneha Kapoor"/>
    <s v="Small Business"/>
    <s v="Small Business"/>
    <x v="0"/>
    <s v="North"/>
    <s v="Punjab"/>
    <s v="Ludhiana"/>
    <s v="Technology"/>
    <s v="Technology"/>
    <s v="Copiers"/>
    <s v="Max Copiers 970"/>
    <s v="Same Day"/>
    <s v="Same Day"/>
    <n v="1"/>
    <n v="634.13"/>
    <n v="0"/>
    <n v="0"/>
    <s v="Valid"/>
    <n v="634.13"/>
    <n v="453.35"/>
    <n v="180.78"/>
    <x v="1"/>
    <s v="Exclude"/>
    <s v="Refunded Order"/>
    <s v="Cancelled"/>
    <s v="Cancelled"/>
    <s v="Exclude"/>
  </r>
  <r>
    <s v="ORD-2025-10092"/>
    <n v="1"/>
    <s v=""/>
    <s v="02-03-2025"/>
    <d v="2025-03-02T00:00:00"/>
    <s v="03/08/2025"/>
    <d v="2025-03-08T00:00:00"/>
    <s v="Valid"/>
    <n v="6"/>
    <s v="Valid"/>
    <s v="CUST-6409"/>
    <s v="Sneha Kapoor"/>
    <s v="Sneha Kapoor"/>
    <s v="Corporate"/>
    <s v="Corporate"/>
    <x v="3"/>
    <s v="West"/>
    <s v="Madhya Pradesh"/>
    <s v="Indore"/>
    <s v="Technology"/>
    <s v="Technology"/>
    <s v="Copiers"/>
    <s v="Prime Copiers 575"/>
    <s v="Second Class"/>
    <s v="Second Class"/>
    <n v="9"/>
    <n v="269.68"/>
    <n v="0"/>
    <n v="0"/>
    <s v="Valid"/>
    <n v="2427.12"/>
    <n v="1538.35"/>
    <n v="804.53"/>
    <x v="0"/>
    <s v="Include"/>
    <s v=""/>
    <s v="Completed"/>
    <s v="Completed"/>
    <s v="Include"/>
  </r>
  <r>
    <s v="ORD-2025-10093"/>
    <n v="1"/>
    <s v=""/>
    <s v="23 Jan 2025"/>
    <d v="2025-01-23T00:00:00"/>
    <s v="01/26/2025"/>
    <d v="2025-01-26T00:00:00"/>
    <s v="Valid"/>
    <n v="3"/>
    <s v="Valid"/>
    <s v="CUST-3014"/>
    <s v="Aarav Sharma"/>
    <s v="Aarav Sharma"/>
    <s v="Consumer"/>
    <s v="Consumer"/>
    <x v="3"/>
    <s v="West"/>
    <s v="Madhya Pradesh"/>
    <s v="Indore"/>
    <s v="Office Supplies"/>
    <s v="Office Supplies"/>
    <s v="Paper"/>
    <s v="Elite Paper 669"/>
    <s v="Standard Class"/>
    <s v="Standard Class"/>
    <n v="9"/>
    <n v="4458.26"/>
    <n v="0.1"/>
    <n v="0.1"/>
    <s v="Valid"/>
    <n v="36111.910000000003"/>
    <n v="29194.5"/>
    <n v="6917.41"/>
    <x v="0"/>
    <s v="Include"/>
    <s v=""/>
    <s v="Completed"/>
    <s v="Completed"/>
    <s v="Include"/>
  </r>
  <r>
    <s v="ORD-2024-10094"/>
    <n v="1"/>
    <s v=""/>
    <s v="01/07/2024"/>
    <d v="2024-01-07T00:00:00"/>
    <s v="13-01-2024"/>
    <d v="2024-01-13T00:00:00"/>
    <s v="Valid"/>
    <n v="6"/>
    <s v="Valid"/>
    <s v="CUST-6106"/>
    <s v="Rohan Mehta"/>
    <s v="Rohan Mehta"/>
    <s v="Corporate"/>
    <s v="Corporate"/>
    <x v="0"/>
    <s v="North"/>
    <s v="Uttar Pradesh"/>
    <s v="Noida"/>
    <s v="Office Supplies"/>
    <s v="Office Supplies"/>
    <s v="Binders"/>
    <s v="Eco Binders 780"/>
    <s v="Standard Class"/>
    <s v="Standard Class"/>
    <n v="7"/>
    <n v="2788.97"/>
    <n v="-0.09"/>
    <n v="-0.09"/>
    <s v="Invalid Discount"/>
    <n v="19522.79"/>
    <n v="12455.78"/>
    <n v="7067.01"/>
    <x v="0"/>
    <s v="Include"/>
    <s v=""/>
    <s v="Completed"/>
    <s v="Completed"/>
    <s v="Include"/>
  </r>
  <r>
    <s v="ORD-2024-10095"/>
    <n v="1"/>
    <s v=""/>
    <s v="09/06/2024"/>
    <d v="2024-09-06T00:00:00"/>
    <s v="09 Sep 2024"/>
    <d v="2024-09-09T00:00:00"/>
    <s v="Valid"/>
    <n v="3"/>
    <s v="Valid"/>
    <s v="CUST-1926"/>
    <s v="Diya Patel"/>
    <s v="Diya Patel"/>
    <s v="Consumer"/>
    <s v="Consumer"/>
    <x v="0"/>
    <s v="North"/>
    <s v="Haryana"/>
    <s v="Gurugram"/>
    <s v="Technology"/>
    <s v="Technology"/>
    <s v="Phones"/>
    <s v="Elite Phones 723"/>
    <s v="Second Class"/>
    <s v="Second Class"/>
    <n v="7"/>
    <n v="3781.53"/>
    <n v="0"/>
    <n v="0"/>
    <s v="Valid"/>
    <n v="26470.71"/>
    <n v="21367.599999999999"/>
    <n v="5103.1099999999997"/>
    <x v="2"/>
    <s v="Exclude"/>
    <s v=""/>
    <s v="Cancelled"/>
    <s v="Cancelled"/>
    <s v="Exclude"/>
  </r>
  <r>
    <s v="ORD-2025-10096"/>
    <n v="1"/>
    <s v=""/>
    <s v="05-09-2025"/>
    <d v="2025-09-05T00:00:00"/>
    <s v="09/10/2025"/>
    <d v="2025-09-10T00:00:00"/>
    <s v="Valid"/>
    <n v="5"/>
    <s v="Valid"/>
    <s v="CUST-2687"/>
    <s v="Sneha Kapoor"/>
    <s v="Sneha Kapoor"/>
    <s v="Corporate"/>
    <s v="Corporate"/>
    <x v="3"/>
    <s v="West"/>
    <s v="Goa"/>
    <s v="Panaji"/>
    <s v="Furniture"/>
    <s v="Furniture"/>
    <s v="Bookcases"/>
    <s v="Classic Bookcases 988"/>
    <s v="Same Day"/>
    <s v="Same Day"/>
    <n v="6"/>
    <n v="1754.13"/>
    <n v="0"/>
    <n v="0"/>
    <s v="Valid"/>
    <n v="10524.78"/>
    <n v="8841.0499999999993"/>
    <n v="1683.73"/>
    <x v="0"/>
    <s v="Include"/>
    <s v=""/>
    <s v="Completed"/>
    <s v="Completed"/>
    <s v="Include"/>
  </r>
  <r>
    <s v="ORD-2024-10097"/>
    <n v="1"/>
    <s v=""/>
    <s v="05 Jun 2024"/>
    <d v="2024-06-05T00:00:00"/>
    <s v="07-06-2024"/>
    <d v="2024-06-07T00:00:00"/>
    <s v="Valid"/>
    <n v="2"/>
    <s v="Valid"/>
    <s v="CUST-7283"/>
    <s v="Rahul Verma"/>
    <s v="Rahul Verma"/>
    <s v="Home Office"/>
    <s v="Home Office"/>
    <x v="1"/>
    <s v="East"/>
    <s v="Odisha"/>
    <s v="Bhubaneswar"/>
    <s v="Technology"/>
    <s v="Technology"/>
    <s v="Copiers"/>
    <s v="Smart Copiers 547"/>
    <s v="Second Class"/>
    <s v="Second Class"/>
    <n v="2"/>
    <n v="2259.2399999999998"/>
    <n v="0.15"/>
    <n v="0.15"/>
    <s v="Valid"/>
    <n v="3840.71"/>
    <n v="2516.29"/>
    <n v="1324.42"/>
    <x v="0"/>
    <s v="Include"/>
    <s v=""/>
    <s v="Completed"/>
    <s v="Completed"/>
    <s v="Include"/>
  </r>
  <r>
    <s v="ORD-2025-10098"/>
    <n v="1"/>
    <s v=""/>
    <s v="08 Aug 2025"/>
    <d v="2025-08-08T00:00:00"/>
    <s v="2025-08-11"/>
    <d v="2025-08-11T00:00:00"/>
    <s v="Valid"/>
    <n v="3"/>
    <s v="Valid"/>
    <s v="CUST-8111"/>
    <s v="Diya Patel"/>
    <s v="Diya Patel"/>
    <s v="Small Business"/>
    <s v="Small Business"/>
    <x v="3"/>
    <s v="West"/>
    <s v="Gujarat"/>
    <s v="Ahmedabad"/>
    <s v="Office Supplies"/>
    <s v="Office Supplies"/>
    <s v="Storage"/>
    <s v="Basic Storage 656"/>
    <s v="Same Day"/>
    <s v="Same Day"/>
    <n v="5"/>
    <n v="3602.36"/>
    <n v="0.2"/>
    <n v="0.2"/>
    <s v="Valid"/>
    <n v="14409.44"/>
    <n v="8809.9699999999993"/>
    <n v="5599.47"/>
    <x v="2"/>
    <s v="Include"/>
    <s v=""/>
    <s v="Returned"/>
    <s v="Returned"/>
    <s v="Include"/>
  </r>
  <r>
    <s v="ORD-2024-10099"/>
    <n v="1"/>
    <s v=""/>
    <s v="2024-01-26"/>
    <d v="2024-01-26T00:00:00"/>
    <s v="02/01/2024"/>
    <d v="2024-02-01T00:00:00"/>
    <s v="Valid"/>
    <n v="6"/>
    <s v="Valid"/>
    <s v="CUST-5434"/>
    <s v="Rohan Mehta"/>
    <s v="Rohan Mehta"/>
    <s v="Home Office"/>
    <s v="Home Office"/>
    <x v="2"/>
    <s v="South"/>
    <s v="Kerala"/>
    <s v="Kochi"/>
    <s v="Technology"/>
    <s v="Technology"/>
    <s v="Copiers"/>
    <s v="Elite Copiers 785"/>
    <m/>
    <s v="Unknown"/>
    <n v="8"/>
    <n v="2108.9299999999998"/>
    <n v="0.1"/>
    <n v="0.1"/>
    <s v="Valid"/>
    <n v="15184.3"/>
    <n v="11270.74"/>
    <n v="3913.56"/>
    <x v="0"/>
    <s v="Include"/>
    <s v=""/>
    <s v="Completed"/>
    <s v="Completed"/>
    <s v="Include"/>
  </r>
  <r>
    <s v="ORD-2025-10100"/>
    <n v="1"/>
    <s v=""/>
    <s v="11-01-2025"/>
    <d v="2025-01-11T00:00:00"/>
    <s v="11-01-2025"/>
    <d v="2025-01-11T00:00:00"/>
    <s v="Valid"/>
    <n v="0"/>
    <s v="Valid"/>
    <s v="CUST-3865"/>
    <s v="Aditi Sen"/>
    <s v="Aditi Sen"/>
    <s v="Small Business"/>
    <s v="Small Business"/>
    <x v="3"/>
    <s v="West"/>
    <s v="Rajasthan"/>
    <s v="Udaipur"/>
    <s v="Technology"/>
    <s v="Technology"/>
    <s v="Accessories"/>
    <s v="Smart Accessories 542"/>
    <s v="Same Day"/>
    <s v="Same Day"/>
    <n v="3"/>
    <n v="2165.29"/>
    <n v="0"/>
    <n v="0"/>
    <s v="Valid"/>
    <n v="6495.87"/>
    <n v="4700.8900000000003"/>
    <n v="1794.98"/>
    <x v="0"/>
    <s v="Include"/>
    <s v=""/>
    <s v="Completed"/>
    <s v="Completed"/>
    <s v="Include"/>
  </r>
  <r>
    <s v="ORD-2025-10101"/>
    <n v="1"/>
    <s v=""/>
    <s v="12 Sep 2025"/>
    <d v="2025-09-12T00:00:00"/>
    <s v="18 Sep 2025"/>
    <d v="2025-09-18T00:00:00"/>
    <s v="Valid"/>
    <n v="6"/>
    <s v="Valid"/>
    <s v="CUST-6015"/>
    <s v="Aarav Sharma"/>
    <s v="Aarav Sharma"/>
    <s v="Home Office"/>
    <s v="Home Office"/>
    <x v="2"/>
    <s v="South"/>
    <s v="Kerala"/>
    <s v="Kochi"/>
    <s v="Office Supplies"/>
    <s v="Office Supplies"/>
    <s v="Storage"/>
    <s v="Eco Storage 936"/>
    <s v="Standard Class"/>
    <s v="Standard Class"/>
    <n v="6"/>
    <n v="1673.8"/>
    <n v="0.05"/>
    <n v="0.05"/>
    <s v="Valid"/>
    <n v="9540.66"/>
    <n v="5561.49"/>
    <n v="3979.17"/>
    <x v="0"/>
    <s v="Include"/>
    <s v=""/>
    <s v="Completed"/>
    <s v="Completed"/>
    <s v="Include"/>
  </r>
  <r>
    <s v="ORD-2024-10102"/>
    <n v="1"/>
    <s v=""/>
    <s v="06/22/2024"/>
    <d v="2024-06-22T00:00:00"/>
    <s v="26-06-2024"/>
    <d v="2024-06-26T00:00:00"/>
    <s v="Valid"/>
    <n v="4"/>
    <s v="Valid"/>
    <s v="CUST-7909"/>
    <s v="Rohan Mehta"/>
    <s v="Rohan Mehta"/>
    <s v="Home Office"/>
    <s v="Home Office"/>
    <x v="1"/>
    <s v="East"/>
    <s v="Bihar"/>
    <s v="Patna"/>
    <s v="Furniture"/>
    <s v="Furniture"/>
    <s v="Furnishings"/>
    <s v="Classic Furnishings 682"/>
    <s v="First Class"/>
    <s v="First Class"/>
    <n v="5"/>
    <n v="4396.5200000000004"/>
    <n v="0.25"/>
    <n v="0.25"/>
    <s v="Valid"/>
    <n v="16486.95"/>
    <n v="12054.14"/>
    <n v="4432.8100000000004"/>
    <x v="0"/>
    <s v="Include"/>
    <s v=""/>
    <s v="Completed"/>
    <s v="Completed"/>
    <s v="Include"/>
  </r>
  <r>
    <s v="ORD-2025-10103"/>
    <n v="1"/>
    <s v=""/>
    <s v="12 Jul 2025"/>
    <d v="2025-07-12T00:00:00"/>
    <s v="2025-07-16"/>
    <d v="2025-07-16T00:00:00"/>
    <s v="Valid"/>
    <n v="4"/>
    <s v="Valid"/>
    <s v="CUST-9603"/>
    <s v="Vikram Iyer"/>
    <s v="Vikram Iyer"/>
    <s v="Consumer"/>
    <s v="Consumer"/>
    <x v="2"/>
    <s v="South"/>
    <s v="Karnataka"/>
    <s v="Bengaluru"/>
    <s v="Furniture"/>
    <s v="Furniture"/>
    <s v="Chairs"/>
    <s v="Classic Chairs 604"/>
    <s v="First Class"/>
    <s v="First Class"/>
    <n v="4"/>
    <n v="2865.71"/>
    <n v="0"/>
    <n v="0"/>
    <s v="Valid"/>
    <n v="11462.84"/>
    <n v="8979.7800000000007"/>
    <n v="2483.06"/>
    <x v="1"/>
    <s v="Exclude"/>
    <s v="Refunded Order"/>
    <s v="Cancelled"/>
    <s v="Cancelled"/>
    <s v="Exclude"/>
  </r>
  <r>
    <s v="ORD-2025-10104"/>
    <n v="1"/>
    <s v=""/>
    <s v="05/02/2025"/>
    <d v="2025-05-02T00:00:00"/>
    <s v="05/10/2025"/>
    <d v="2025-05-10T00:00:00"/>
    <s v="Valid"/>
    <n v="8"/>
    <s v="Valid"/>
    <s v="CUST-6263"/>
    <s v="Kabir Singh"/>
    <s v="Kabir Singh"/>
    <s v="Corporate"/>
    <s v="Corporate"/>
    <x v="3"/>
    <s v="West"/>
    <s v="Maharashtra"/>
    <s v="Mumbai"/>
    <s v="Furniture"/>
    <s v="Furniture"/>
    <s v="Tables"/>
    <s v="Prime Tables 377"/>
    <s v="First Class"/>
    <s v="First Class"/>
    <n v="4"/>
    <n v="2440.34"/>
    <n v="0.2"/>
    <n v="0.2"/>
    <s v="Valid"/>
    <n v="7809.09"/>
    <n v="6657.75"/>
    <n v="1151.3399999999999"/>
    <x v="0"/>
    <s v="Include"/>
    <s v=""/>
    <s v="Completed"/>
    <s v="Completed"/>
    <s v="Include"/>
  </r>
  <r>
    <s v="ORD-2025-10105"/>
    <n v="1"/>
    <s v=""/>
    <s v="2025-02-01"/>
    <d v="2025-02-01T00:00:00"/>
    <s v="02/08/2025"/>
    <d v="2025-02-08T00:00:00"/>
    <s v="Valid"/>
    <n v="7"/>
    <s v="Valid"/>
    <s v="CUST-1576"/>
    <s v="Ananya Rao"/>
    <s v="Ananya Rao"/>
    <s v="Consumer"/>
    <s v="Consumer"/>
    <x v="2"/>
    <s v="South"/>
    <s v="Karnataka"/>
    <s v="Bengaluru"/>
    <s v="Office Supplies"/>
    <s v="Office Supplies"/>
    <s v="Labels"/>
    <s v="Prime Labels 807"/>
    <s v="Same Day"/>
    <s v="Same Day"/>
    <n v="5"/>
    <n v="2112.54"/>
    <n v="0.25"/>
    <n v="0.25"/>
    <s v="Valid"/>
    <n v="8260.4599999999991"/>
    <n v="5619.95"/>
    <n v="2302.08"/>
    <x v="0"/>
    <s v="Exclude"/>
    <s v=""/>
    <s v="Cancelled"/>
    <s v="Cancelled"/>
    <s v="Exclude"/>
  </r>
  <r>
    <s v="ORD-2024-10106"/>
    <n v="1"/>
    <s v=""/>
    <s v="06/24/2024"/>
    <d v="2024-06-24T00:00:00"/>
    <s v="29-06-2024"/>
    <d v="2024-06-29T00:00:00"/>
    <s v="Valid"/>
    <n v="5"/>
    <s v="Valid"/>
    <s v="CUST-6540"/>
    <s v="Mira Das"/>
    <s v="Mira Das"/>
    <s v="Home Office"/>
    <s v="Home Office"/>
    <x v="1"/>
    <s v="East"/>
    <s v="West Bengal"/>
    <s v="Kolkata"/>
    <s v="Furniture"/>
    <s v="Furniture"/>
    <s v="Tables"/>
    <s v="Eco Tables 575"/>
    <s v="Second Class"/>
    <s v="Second Class"/>
    <n v="2"/>
    <n v="685"/>
    <n v="0.1"/>
    <n v="0.1"/>
    <s v="Valid"/>
    <n v="1233"/>
    <n v="1006.9"/>
    <n v="226.1"/>
    <x v="0"/>
    <s v="Include"/>
    <s v=""/>
    <s v="Completed"/>
    <s v="Completed"/>
    <s v="Include"/>
  </r>
  <r>
    <s v="ORD-2024-10107"/>
    <n v="1"/>
    <s v=""/>
    <s v="20-02-2024"/>
    <d v="2024-02-20T00:00:00"/>
    <s v="28 Feb 2024"/>
    <d v="2024-02-28T00:00:00"/>
    <s v="Valid"/>
    <n v="8"/>
    <s v="Valid"/>
    <s v="CUST-4008"/>
    <s v="Arjun Bose"/>
    <s v="Arjun Bose"/>
    <s v="Home Office"/>
    <s v="Home Office"/>
    <x v="1"/>
    <s v="East"/>
    <s v="West Bengal"/>
    <s v="Kolkata"/>
    <s v="Office Supplies"/>
    <s v="Office Supplies"/>
    <s v="Paper"/>
    <s v="Eco Paper 918"/>
    <s v="Standard Class"/>
    <s v="Standard Class"/>
    <n v="2"/>
    <n v="4004.04"/>
    <m/>
    <n v="0"/>
    <s v="Valid"/>
    <n v="7207.27"/>
    <n v="5709.39"/>
    <n v="1497.88"/>
    <x v="0"/>
    <s v="Exclude"/>
    <s v=""/>
    <s v="Cancelled"/>
    <s v="Cancelled"/>
    <s v="Exclude"/>
  </r>
  <r>
    <s v="ORD-2024-10108"/>
    <n v="1"/>
    <s v=""/>
    <s v="29 Oct 2024"/>
    <d v="2024-10-29T00:00:00"/>
    <s v="2024-11-04"/>
    <d v="2024-11-04T00:00:00"/>
    <s v="Valid"/>
    <n v="6"/>
    <s v="Valid"/>
    <s v="CUST-6604"/>
    <s v="Rohan Mehta"/>
    <s v="Rohan Mehta"/>
    <s v="Home Office"/>
    <s v="Home Office"/>
    <x v="1"/>
    <s v="East"/>
    <s v="West Bengal"/>
    <s v="Kolkata"/>
    <s v="Furniture"/>
    <s v="Furniture"/>
    <s v="Furnishings"/>
    <s v="Prime Furnishings 952"/>
    <s v="First Class"/>
    <s v="First Class"/>
    <n v="3"/>
    <n v="4302.8900000000003"/>
    <n v="0.05"/>
    <n v="0.05"/>
    <s v="Valid"/>
    <n v="12263.24"/>
    <n v="8925.57"/>
    <n v="3337.67"/>
    <x v="0"/>
    <s v="Include"/>
    <s v=""/>
    <s v="Completed"/>
    <s v="Completed"/>
    <s v="Include"/>
  </r>
  <r>
    <s v="ORD-2024-10109"/>
    <n v="1"/>
    <s v=""/>
    <s v="15 Aug 2024"/>
    <d v="2024-08-15T00:00:00"/>
    <s v="08/23/2024"/>
    <d v="2024-08-23T00:00:00"/>
    <s v="Valid"/>
    <n v="8"/>
    <s v="Valid"/>
    <s v="CUST-4337"/>
    <s v="Aditi Sen"/>
    <s v="Aditi Sen"/>
    <s v="Small Business"/>
    <s v="Small Business"/>
    <x v="1"/>
    <s v="East"/>
    <s v="Odisha"/>
    <s v="Bhubaneswar"/>
    <s v="Furniture"/>
    <s v="Furniture"/>
    <s v="Bookcases"/>
    <s v="Prime Bookcases 631"/>
    <s v="Same Day"/>
    <s v="Same Day"/>
    <n v="2"/>
    <n v="537.54"/>
    <n v="0.25"/>
    <n v="0.25"/>
    <s v="Valid"/>
    <n v="806.31"/>
    <n v="498.5"/>
    <n v="307.81"/>
    <x v="0"/>
    <s v="Include"/>
    <s v=""/>
    <s v="Completed"/>
    <s v="Completed"/>
    <s v="Include"/>
  </r>
  <r>
    <s v="ORD-2025-10110"/>
    <n v="1"/>
    <s v=""/>
    <s v="23-08-2025"/>
    <d v="2025-08-23T00:00:00"/>
    <s v="08/27/2025"/>
    <d v="2025-08-27T00:00:00"/>
    <s v="Valid"/>
    <n v="4"/>
    <s v="Valid"/>
    <s v="CUST-3740"/>
    <s v="Sneha Kapoor"/>
    <s v="Sneha Kapoor"/>
    <s v="Consumer"/>
    <s v="Consumer"/>
    <x v="0"/>
    <s v="North"/>
    <s v="Delhi"/>
    <s v="New Delhi"/>
    <s v="Office Supplies"/>
    <s v="Office Supplies"/>
    <s v="Binders"/>
    <s v="Classic Binders 660"/>
    <s v="Second Class"/>
    <s v="Second Class"/>
    <n v="1"/>
    <n v="2788.62"/>
    <n v="0.25"/>
    <n v="0.25"/>
    <s v="Valid"/>
    <n v="2091.4699999999998"/>
    <n v="1317.22"/>
    <n v="774.25"/>
    <x v="0"/>
    <s v="Include"/>
    <s v=""/>
    <s v="Completed"/>
    <s v="Completed"/>
    <s v="Include"/>
  </r>
  <r>
    <s v="ORD-2024-10111"/>
    <n v="1"/>
    <s v=""/>
    <s v="10/18/2024"/>
    <d v="2024-10-18T00:00:00"/>
    <s v="2024-10-24"/>
    <d v="2024-10-24T00:00:00"/>
    <s v="Valid"/>
    <n v="6"/>
    <s v="Valid"/>
    <s v="CUST-7128"/>
    <s v="Vikram Iyer"/>
    <s v="Vikram Iyer"/>
    <s v="Corporate"/>
    <s v="Corporate"/>
    <x v="2"/>
    <s v="South"/>
    <s v="Kerala"/>
    <s v="Kochi"/>
    <s v="Office Supplies"/>
    <s v="Office Supplies"/>
    <s v="Labels"/>
    <s v="Pro Labels 255"/>
    <s v="First Class"/>
    <s v="First Class"/>
    <n v="2"/>
    <n v="2250.4699999999998"/>
    <n v="0"/>
    <n v="0"/>
    <s v="Valid"/>
    <n v="4500.9399999999996"/>
    <n v="2607.73"/>
    <n v="1893.21"/>
    <x v="1"/>
    <s v="Exclude"/>
    <s v="Refunded Order"/>
    <s v="Cancelled"/>
    <s v="Cancelled"/>
    <s v="Exclude"/>
  </r>
  <r>
    <s v="ORD-2025-10112"/>
    <n v="1"/>
    <s v=""/>
    <s v="06/27/2025"/>
    <d v="2025-06-27T00:00:00"/>
    <s v="2025-06-30"/>
    <d v="2025-06-30T00:00:00"/>
    <s v="Valid"/>
    <n v="3"/>
    <s v="Valid"/>
    <s v="CUST-4743"/>
    <s v="Neha Gupta"/>
    <s v="Neha Gupta"/>
    <s v="Corporate"/>
    <s v="Corporate"/>
    <x v="1"/>
    <s v="East"/>
    <s v="Bihar"/>
    <s v="Patna"/>
    <s v="Technology"/>
    <s v="Technology"/>
    <s v="Accessories"/>
    <s v="Basic Accessories 187"/>
    <s v="First Class"/>
    <s v="First Class"/>
    <n v="1"/>
    <n v="1708.44"/>
    <n v="0.05"/>
    <n v="0.05"/>
    <s v="Valid"/>
    <n v="1623.02"/>
    <n v="1077.46"/>
    <n v="545.55999999999995"/>
    <x v="2"/>
    <s v="Exclude"/>
    <s v=""/>
    <s v="Cancelled"/>
    <s v="Cancelled"/>
    <s v="Exclude"/>
  </r>
  <r>
    <s v="ORD-2024-10113"/>
    <n v="1"/>
    <s v=""/>
    <s v="10 Jan 2024"/>
    <d v="2024-01-10T00:00:00"/>
    <s v="14-01-2024"/>
    <d v="2024-01-14T00:00:00"/>
    <s v="Valid"/>
    <n v="4"/>
    <s v="Valid"/>
    <s v="CUST-5213"/>
    <s v="Sneha Kapoor"/>
    <s v="Sneha Kapoor"/>
    <s v="Consumer"/>
    <s v="Consumer"/>
    <x v="4"/>
    <s v="Unknown"/>
    <s v="Gujarat"/>
    <s v="Ahmedabad"/>
    <s v="Technology"/>
    <s v="Technology"/>
    <s v="Accessories"/>
    <s v="Max Accessories 451"/>
    <s v="Standard Class"/>
    <s v="Standard Class"/>
    <n v="3"/>
    <n v="3829.48"/>
    <n v="0.05"/>
    <n v="0.05"/>
    <s v="Valid"/>
    <n v="10914.02"/>
    <n v="6548.74"/>
    <n v="4365.28"/>
    <x v="0"/>
    <s v="Include"/>
    <s v=""/>
    <s v="Completed"/>
    <s v="Completed"/>
    <s v="Include"/>
  </r>
  <r>
    <s v="ORD-2024-10114"/>
    <n v="1"/>
    <s v=""/>
    <s v="12-02-2024"/>
    <d v="2024-02-12T00:00:00"/>
    <s v="12-02-2024"/>
    <d v="2024-02-12T00:00:00"/>
    <s v="Valid"/>
    <n v="0"/>
    <s v="Valid"/>
    <s v="CUST-4989"/>
    <s v="Isha Nair"/>
    <s v="Isha Nair"/>
    <s v="Home Office"/>
    <s v="Home Office"/>
    <x v="2"/>
    <s v="South"/>
    <s v="Tamil Nadu"/>
    <s v="Chennai"/>
    <s v="Furniture"/>
    <s v="Furniture"/>
    <s v="Tables"/>
    <s v="Classic Tables 752"/>
    <s v="Standard Class"/>
    <s v="Standard Class"/>
    <n v="3"/>
    <n v="1089.1500000000001"/>
    <n v="0.25"/>
    <n v="0.25"/>
    <s v="Valid"/>
    <n v="2450.59"/>
    <n v="1639.89"/>
    <n v="810.7"/>
    <x v="0"/>
    <s v="Include"/>
    <s v=""/>
    <s v="Completed"/>
    <s v="Completed"/>
    <s v="Include"/>
  </r>
  <r>
    <s v="ORD-2024-10115"/>
    <n v="1"/>
    <s v=""/>
    <s v="2024-09-25"/>
    <d v="2024-09-25T00:00:00"/>
    <s v="30 Sep 2024"/>
    <d v="2024-09-30T00:00:00"/>
    <s v="Valid"/>
    <n v="5"/>
    <s v="Valid"/>
    <s v="CUST-2927"/>
    <s v="Neha Gupta"/>
    <s v="Neha Gupta"/>
    <s v="Small Business"/>
    <s v="Small Business"/>
    <x v="0"/>
    <s v="North"/>
    <s v="Rajasthan"/>
    <s v="Jaipur"/>
    <s v="Technology"/>
    <s v="Technology"/>
    <s v="Accessories"/>
    <s v="Eco Accessories 452"/>
    <s v="Second Class"/>
    <s v="Second Class"/>
    <n v="1"/>
    <n v="4388.3999999999996"/>
    <n v="0.1"/>
    <n v="0.1"/>
    <s v="Valid"/>
    <n v="3949.56"/>
    <n v="3186.73"/>
    <n v="762.83"/>
    <x v="2"/>
    <s v="Exclude"/>
    <s v=""/>
    <s v="Cancelled"/>
    <s v="Cancelled"/>
    <s v="Exclude"/>
  </r>
  <r>
    <s v="ORD-2024-10116"/>
    <n v="1"/>
    <s v=""/>
    <s v="2024-12-27"/>
    <d v="2024-12-27T00:00:00"/>
    <s v="01-01-2025"/>
    <d v="2025-01-01T00:00:00"/>
    <s v="Valid"/>
    <n v="5"/>
    <s v="Valid"/>
    <s v="CUST-7764"/>
    <s v="Kabir Singh"/>
    <s v="Kabir Singh"/>
    <s v="Corporate"/>
    <s v="Corporate"/>
    <x v="2"/>
    <s v="South"/>
    <s v="Tamil Nadu"/>
    <s v="Chennai"/>
    <s v="Office Supplies"/>
    <s v="Office Supplies"/>
    <s v="Binders"/>
    <s v="Classic Binders 203"/>
    <s v="Same Day"/>
    <s v="Same Day"/>
    <n v="2"/>
    <n v="446.34"/>
    <n v="0.15"/>
    <n v="0.15"/>
    <s v="Valid"/>
    <n v="758.78"/>
    <n v="490.74"/>
    <n v="268.04000000000002"/>
    <x v="0"/>
    <s v="Exclude"/>
    <s v=""/>
    <s v="Cancelled"/>
    <s v="Cancelled"/>
    <s v="Exclude"/>
  </r>
  <r>
    <s v="ORD-2025-10117"/>
    <n v="1"/>
    <s v=""/>
    <s v="2025-02-15"/>
    <d v="2025-02-15T00:00:00"/>
    <s v="19 Feb 2025"/>
    <d v="2025-02-19T00:00:00"/>
    <s v="Valid"/>
    <n v="4"/>
    <s v="Valid"/>
    <s v="CUST-3632"/>
    <s v="Ananya Rao"/>
    <s v="Ananya Rao"/>
    <s v="Small Business"/>
    <s v="Small Business"/>
    <x v="4"/>
    <s v="Unknown"/>
    <s v="Madhya Pradesh"/>
    <s v="Indore"/>
    <s v="Office Supplies"/>
    <s v="Office Supplies"/>
    <s v="Binders"/>
    <s v="Basic Binders 859"/>
    <s v="First Class"/>
    <s v="First Class"/>
    <n v="9"/>
    <n v="531.99"/>
    <n v="0.25"/>
    <n v="0.25"/>
    <s v="Valid"/>
    <n v="3590.93"/>
    <n v="3061.39"/>
    <n v="529.54"/>
    <x v="3"/>
    <s v="Exclude"/>
    <s v=""/>
    <s v="Cancelled"/>
    <s v="Cancelled"/>
    <s v="Exclude"/>
  </r>
  <r>
    <s v="ORD-2024-10118"/>
    <n v="1"/>
    <s v=""/>
    <s v="2024-02-15"/>
    <d v="2024-02-15T00:00:00"/>
    <s v="17 Feb 2024"/>
    <d v="2024-02-17T00:00:00"/>
    <s v="Valid"/>
    <n v="2"/>
    <s v="Valid"/>
    <s v="CUST-9608"/>
    <s v="Mira Das"/>
    <s v="Mira Das"/>
    <s v="Home Office"/>
    <s v="Home Office"/>
    <x v="2"/>
    <s v="South"/>
    <s v="Tamil Nadu"/>
    <s v="Chennai"/>
    <s v="Technology"/>
    <s v="Technology"/>
    <s v="Machines"/>
    <s v="Elite Machines 705"/>
    <s v="Standard Class"/>
    <s v="Standard Class"/>
    <n v="9"/>
    <n v="3324.55"/>
    <s v="70%"/>
    <s v="70%"/>
    <s v="Valid"/>
    <n v="25432.81"/>
    <n v="20370.16"/>
    <n v="5062.6499999999996"/>
    <x v="0"/>
    <s v="Include"/>
    <s v=""/>
    <s v="Completed"/>
    <s v="Completed"/>
    <s v="Include"/>
  </r>
  <r>
    <s v="ORD-2024-10119"/>
    <n v="1"/>
    <s v=""/>
    <s v="06/10/2024"/>
    <d v="2024-06-10T00:00:00"/>
    <s v="2024-06-18"/>
    <d v="2024-06-18T00:00:00"/>
    <s v="Valid"/>
    <n v="8"/>
    <s v="Valid"/>
    <s v="CUST-9135"/>
    <s v="Vikram  Iyer"/>
    <s v="Vikram Iyer"/>
    <s v="Home Office"/>
    <s v="Home Office"/>
    <x v="2"/>
    <s v="South"/>
    <s v="Andhra Pradesh"/>
    <s v="Vijayawada"/>
    <s v="Technology"/>
    <s v="Technology"/>
    <s v="Copiers"/>
    <s v="Pro Copiers 208"/>
    <s v="Same Day"/>
    <s v="Same Day"/>
    <n v="5"/>
    <n v="1580.27"/>
    <n v="0.2"/>
    <n v="0.2"/>
    <s v="Valid"/>
    <n v="6321.08"/>
    <n v="4407.22"/>
    <n v="1913.86"/>
    <x v="0"/>
    <s v="Include"/>
    <s v=""/>
    <s v="Completed"/>
    <s v="Completed"/>
    <s v="Include"/>
  </r>
  <r>
    <s v="ORD-2024-10120"/>
    <n v="1"/>
    <s v=""/>
    <s v="12 Jun 2024"/>
    <d v="2024-06-12T00:00:00"/>
    <s v="19 Jun 2024"/>
    <d v="2024-06-19T00:00:00"/>
    <s v="Valid"/>
    <n v="7"/>
    <s v="Valid"/>
    <s v="CUST-7861"/>
    <s v="Aditi Sen"/>
    <s v="Aditi Sen"/>
    <s v="Small Business"/>
    <s v="Small Business"/>
    <x v="2"/>
    <s v="South"/>
    <s v="Kerala"/>
    <s v="Kochi"/>
    <s v="Furniture"/>
    <s v="Furniture"/>
    <s v="Chairs"/>
    <s v="Elite Chairs 921"/>
    <s v="Standard Class"/>
    <s v="Standard Class"/>
    <n v="8"/>
    <n v="314.05"/>
    <n v="0.25"/>
    <n v="0.25"/>
    <s v="Valid"/>
    <n v="1884.3"/>
    <n v="1517.69"/>
    <n v="366.61"/>
    <x v="1"/>
    <s v="Include"/>
    <s v="Refunded Order"/>
    <s v="Returned"/>
    <s v="Returned"/>
    <s v="Include"/>
  </r>
  <r>
    <s v="ORD-2024-10121"/>
    <n v="1"/>
    <s v=""/>
    <s v="2024-08-10"/>
    <d v="2024-08-10T00:00:00"/>
    <s v="2024-08-18"/>
    <d v="2024-08-18T00:00:00"/>
    <s v="Valid"/>
    <n v="8"/>
    <s v="Valid"/>
    <s v="CUST-6096"/>
    <s v="Sneha Kapoor"/>
    <s v="Sneha Kapoor"/>
    <s v="Small Business"/>
    <s v="Small Business"/>
    <x v="1"/>
    <s v="East"/>
    <s v="Bihar"/>
    <s v="Patna"/>
    <s v="Technology"/>
    <s v="Technology"/>
    <s v="Phones"/>
    <s v="Prime Phones 540"/>
    <s v="Standard Class"/>
    <s v="Standard Class"/>
    <n v="1"/>
    <n v="1823.67"/>
    <n v="0.2"/>
    <n v="0.2"/>
    <s v="Valid"/>
    <n v="1458.94"/>
    <n v="893.2"/>
    <n v="565.74"/>
    <x v="0"/>
    <s v="Include"/>
    <s v=""/>
    <s v="Returned"/>
    <s v="Returned"/>
    <s v="Include"/>
  </r>
  <r>
    <s v="ORD-2025-10122"/>
    <n v="1"/>
    <s v=""/>
    <s v="08/22/2025"/>
    <d v="2025-08-22T00:00:00"/>
    <s v="08/26/2025"/>
    <d v="2025-08-26T00:00:00"/>
    <s v="Valid"/>
    <n v="4"/>
    <s v="Valid"/>
    <s v="CUST-2044"/>
    <s v="Kabir Singh"/>
    <s v="Kabir Singh"/>
    <s v="Small  Business"/>
    <s v="Small Business"/>
    <x v="2"/>
    <s v="South"/>
    <s v="Andhra Pradesh"/>
    <s v="Vijayawada"/>
    <s v="Technology"/>
    <s v="Technology"/>
    <s v="Machines"/>
    <s v="Max Machines 948"/>
    <s v="Second Class"/>
    <s v="Second Class"/>
    <n v="5"/>
    <n v="3482.92"/>
    <n v="0"/>
    <n v="0"/>
    <s v="Valid"/>
    <n v="17414.599999999999"/>
    <n v="11760.91"/>
    <n v="5653.69"/>
    <x v="1"/>
    <s v="Exclude"/>
    <s v="Refunded Order"/>
    <s v="Cancelled"/>
    <s v="Cancelled"/>
    <s v="Exclude"/>
  </r>
  <r>
    <s v="ORD-2024-10123"/>
    <n v="1"/>
    <s v=""/>
    <s v="11/30/2024"/>
    <d v="2024-11-30T00:00:00"/>
    <s v="04-12-2024"/>
    <d v="2024-12-04T00:00:00"/>
    <s v="Valid"/>
    <n v="4"/>
    <s v="Valid"/>
    <s v="CUST-1721"/>
    <s v="Ananya Rao"/>
    <s v="Ananya Rao"/>
    <s v="Small Business"/>
    <s v="Small Business"/>
    <x v="1"/>
    <s v="East"/>
    <s v="Assam"/>
    <s v="Guwahati"/>
    <s v="Furniture"/>
    <s v="Furniture"/>
    <s v="Chairs"/>
    <s v="Max Chairs 786"/>
    <s v="Second Class"/>
    <s v="Second Class"/>
    <n v="3"/>
    <n v="170.35"/>
    <n v="0"/>
    <n v="0"/>
    <s v="Valid"/>
    <n v="511.05"/>
    <n v="367.18"/>
    <n v="143.87"/>
    <x v="0"/>
    <s v="Include"/>
    <s v=""/>
    <s v="Completed"/>
    <s v="Completed"/>
    <s v="Include"/>
  </r>
  <r>
    <s v="ORD-2024-10124"/>
    <n v="2"/>
    <s v="Review Required"/>
    <s v="05/24/2024"/>
    <d v="2024-05-24T00:00:00"/>
    <s v="25 May 2024"/>
    <d v="2024-05-25T00:00:00"/>
    <s v="Valid"/>
    <n v="1"/>
    <s v="Valid"/>
    <s v="CUST-1007"/>
    <s v="Sneha Kapoor"/>
    <s v="Sneha Kapoor"/>
    <s v="Small Business"/>
    <s v="Small Business"/>
    <x v="0"/>
    <s v="North"/>
    <s v="Punjab"/>
    <s v="Ludhiana"/>
    <s v="Technology"/>
    <s v="Technology"/>
    <s v="Copiers"/>
    <s v="Max Copiers 970"/>
    <s v="Same Day"/>
    <s v="Same Day"/>
    <n v="1"/>
    <n v="634.13"/>
    <n v="0"/>
    <n v="0"/>
    <s v="Valid"/>
    <n v="808.67"/>
    <n v="453.35"/>
    <n v="180.78"/>
    <x v="1"/>
    <s v="Include"/>
    <s v="Refunded Order"/>
    <s v="Returned"/>
    <s v="Returned"/>
    <s v="Include"/>
  </r>
  <r>
    <s v="ORD-2024-10125"/>
    <n v="1"/>
    <s v=""/>
    <s v="21 Jul 2024"/>
    <d v="2024-07-21T00:00:00"/>
    <s v="07/24/2024"/>
    <d v="2024-07-24T00:00:00"/>
    <s v="Valid"/>
    <n v="3"/>
    <s v="Valid"/>
    <s v="CUST-4450"/>
    <s v="Isha Nair"/>
    <s v="Isha Nair"/>
    <s v="Corporate"/>
    <s v="Corporate"/>
    <x v="2"/>
    <s v="South"/>
    <s v="Karnataka"/>
    <s v="Bengaluru"/>
    <s v="Technology"/>
    <s v="Technology"/>
    <s v="Copiers"/>
    <s v="Pro Copiers 769"/>
    <s v="Standard Class"/>
    <s v="Standard Class"/>
    <n v="9"/>
    <n v="465.06"/>
    <n v="-0.15"/>
    <n v="-0.15"/>
    <s v="Invalid Discount"/>
    <n v="4185.54"/>
    <n v="3443.74"/>
    <n v="741.8"/>
    <x v="0"/>
    <s v="Include"/>
    <s v=""/>
    <s v="Completed"/>
    <s v="Completed"/>
    <s v="Include"/>
  </r>
  <r>
    <s v="ORD-2025-10126"/>
    <n v="1"/>
    <s v=""/>
    <s v="2025-07-17"/>
    <d v="2025-07-17T00:00:00"/>
    <s v="18-07-2025"/>
    <d v="2025-07-18T00:00:00"/>
    <s v="Valid"/>
    <n v="1"/>
    <s v="Valid"/>
    <s v="CUST-7924"/>
    <s v="Neha Gupta"/>
    <s v="Neha Gupta"/>
    <s v="Small Business"/>
    <s v="Small Business"/>
    <x v="3"/>
    <s v="West"/>
    <s v="Rajasthan"/>
    <s v="Udaipur"/>
    <s v="Furniture"/>
    <s v="Furniture"/>
    <s v="Tables"/>
    <s v="Basic Tables 753"/>
    <s v="Same Day"/>
    <s v="Same Day"/>
    <n v="6"/>
    <n v="3235.27"/>
    <n v="0.25"/>
    <n v="0.25"/>
    <s v="Valid"/>
    <n v="14558.72"/>
    <n v="9591.48"/>
    <n v="4967.24"/>
    <x v="1"/>
    <s v="Include"/>
    <s v="Refunded Order"/>
    <s v="Returned"/>
    <s v="Returned"/>
    <s v="Include"/>
  </r>
  <r>
    <s v="ORD-2025-10127"/>
    <n v="1"/>
    <s v=""/>
    <s v="24-09-2025"/>
    <d v="2025-09-24T00:00:00"/>
    <s v="26 Sep 2025"/>
    <d v="2025-09-26T00:00:00"/>
    <s v="Valid"/>
    <n v="2"/>
    <s v="Valid"/>
    <s v="CUST-1715"/>
    <s v="Priya Menon"/>
    <s v="Priya Menon"/>
    <s v="Corporate"/>
    <s v="Corporate"/>
    <x v="0"/>
    <s v="North"/>
    <s v="Delhi"/>
    <s v="New Delhi"/>
    <s v="Technology"/>
    <s v="Technology"/>
    <s v="Copiers"/>
    <s v="Prime Copiers 651"/>
    <s v="Standard Class"/>
    <s v="Standard Class"/>
    <n v="3"/>
    <n v="1593.86"/>
    <n v="0.1"/>
    <n v="0.1"/>
    <s v="Valid"/>
    <n v="4303.42"/>
    <n v="2568.5700000000002"/>
    <n v="1734.85"/>
    <x v="0"/>
    <s v="Include"/>
    <s v=""/>
    <s v="Completed"/>
    <s v="Completed"/>
    <s v="Include"/>
  </r>
  <r>
    <s v="ORD-2025-10128"/>
    <n v="1"/>
    <s v=""/>
    <s v="01/30/2025"/>
    <d v="2025-01-30T00:00:00"/>
    <s v="26-01-2025"/>
    <d v="2025-01-26T00:00:00"/>
    <s v="Invalid Shipping Record"/>
    <n v="-4"/>
    <s v="Invalid Shipping Record"/>
    <s v="CUST-6802"/>
    <s v="Priya Menon"/>
    <s v="Priya Menon"/>
    <s v="Corporate"/>
    <s v="Corporate"/>
    <x v="3"/>
    <s v="West"/>
    <s v="Madhya Pradesh"/>
    <s v="Indore"/>
    <s v="Office Supplies"/>
    <s v="Office Supplies"/>
    <s v="Storage"/>
    <s v="Basic Storage 321"/>
    <s v="Second Class"/>
    <s v="Second Class"/>
    <n v="2"/>
    <n v="3039.3"/>
    <n v="0.05"/>
    <n v="0.05"/>
    <s v="Valid"/>
    <n v="5774.67"/>
    <n v="3518.36"/>
    <n v="2256.31"/>
    <x v="0"/>
    <s v="Include"/>
    <s v=""/>
    <s v="Completed"/>
    <s v="Completed"/>
    <s v="Include"/>
  </r>
  <r>
    <s v="ORD-2024-10129"/>
    <n v="1"/>
    <s v=""/>
    <s v="13 Dec 2024"/>
    <d v="2024-12-13T00:00:00"/>
    <s v="16 Dec 2024"/>
    <d v="2024-12-16T00:00:00"/>
    <s v="Valid"/>
    <n v="3"/>
    <s v="Valid"/>
    <s v="CUST-9328"/>
    <s v="Neha Gupta"/>
    <s v="Neha Gupta"/>
    <s v="Small Business"/>
    <s v="Small Business"/>
    <x v="1"/>
    <s v="East"/>
    <s v="Odisha"/>
    <s v="Bhubaneswar"/>
    <s v="Furniture"/>
    <s v="Furniture"/>
    <s v="Furnishings"/>
    <s v="Prime Furnishings 710"/>
    <s v="Standard Class"/>
    <s v="Standard Class"/>
    <n v="5"/>
    <n v="923.45"/>
    <n v="0.05"/>
    <n v="0.05"/>
    <s v="Valid"/>
    <n v="4386.3900000000003"/>
    <n v="3366.88"/>
    <n v="1019.51"/>
    <x v="0"/>
    <s v="Include"/>
    <s v=""/>
    <s v="Returned"/>
    <s v="Returned"/>
    <s v="Include"/>
  </r>
  <r>
    <s v="ORD-2024-10130"/>
    <n v="1"/>
    <s v=""/>
    <s v="2024-07-19"/>
    <d v="2024-07-19T00:00:00"/>
    <s v="25-07-2024"/>
    <d v="2024-07-25T00:00:00"/>
    <s v="Valid"/>
    <n v="6"/>
    <s v="Valid"/>
    <s v="CUST-2588"/>
    <s v="Isha Nair"/>
    <s v="Isha Nair"/>
    <s v="Small Business"/>
    <s v="Small Business"/>
    <x v="3"/>
    <s v="West"/>
    <s v="Goa"/>
    <s v="Panaji"/>
    <s v="Office Supplies"/>
    <s v="Office Supplies"/>
    <s v="Binders"/>
    <s v="Elite Binders 723"/>
    <s v="Standard Class"/>
    <s v="Standard Class"/>
    <n v="7"/>
    <n v="2741.29"/>
    <n v="0.05"/>
    <n v="0.05"/>
    <s v="Valid"/>
    <n v="18229.580000000002"/>
    <n v="15139.15"/>
    <n v="3090.43"/>
    <x v="0"/>
    <s v="Include"/>
    <s v=""/>
    <s v="Completed"/>
    <s v="Completed"/>
    <s v="Include"/>
  </r>
  <r>
    <s v="ORD-2024-10131"/>
    <n v="1"/>
    <s v=""/>
    <s v="2024-01-27"/>
    <d v="2024-01-27T00:00:00"/>
    <s v="02 Feb 2024"/>
    <d v="2024-02-02T00:00:00"/>
    <s v="Valid"/>
    <n v="6"/>
    <s v="Valid"/>
    <s v="CUST-5435"/>
    <s v="Arjun Bose"/>
    <s v="Arjun Bose"/>
    <s v="Consumer"/>
    <s v="Consumer"/>
    <x v="3"/>
    <s v="West"/>
    <s v="Gujarat"/>
    <s v="Ahmedabad"/>
    <s v="Office Supplies"/>
    <s v="Office Supplies"/>
    <s v="Labels"/>
    <s v="Smart Labels 878"/>
    <s v="Same Day"/>
    <s v="Same Day"/>
    <n v="5"/>
    <n v="218.42"/>
    <n v="0.2"/>
    <n v="0.2"/>
    <s v="Valid"/>
    <n v="873.68"/>
    <n v="661.72"/>
    <n v="211.96"/>
    <x v="2"/>
    <s v="Exclude"/>
    <s v=""/>
    <s v="Cancelled"/>
    <s v="Cancelled"/>
    <s v="Exclude"/>
  </r>
  <r>
    <s v="ORD-2025-10132"/>
    <n v="1"/>
    <s v=""/>
    <s v="09/29/2025"/>
    <d v="2025-09-29T00:00:00"/>
    <s v="2025-10-04"/>
    <d v="2025-10-04T00:00:00"/>
    <s v="Valid"/>
    <n v="5"/>
    <s v="Valid"/>
    <s v="CUST-7637"/>
    <s v="Ananya Rao"/>
    <s v="Ananya Rao"/>
    <s v="Home Office"/>
    <s v="Home Office"/>
    <x v="1"/>
    <s v="East"/>
    <s v="Jharkhand"/>
    <s v="Ranchi"/>
    <s v="Office Supplies"/>
    <s v="Office Supplies"/>
    <s v="Paper"/>
    <s v="Pro Paper 934"/>
    <s v="Same Day"/>
    <s v="Same Day"/>
    <n v="9"/>
    <n v="373.91"/>
    <n v="0.2"/>
    <n v="0.2"/>
    <s v="Valid"/>
    <n v="2692.15"/>
    <n v="2044.49"/>
    <n v="647.66"/>
    <x v="0"/>
    <s v="Include"/>
    <s v=""/>
    <s v="Completed"/>
    <s v="Completed"/>
    <s v="Include"/>
  </r>
  <r>
    <s v="ORD-2024-10133"/>
    <n v="1"/>
    <s v=""/>
    <s v="04 Nov 2024"/>
    <d v="2024-11-04T00:00:00"/>
    <s v="04 Nov 2024"/>
    <d v="2024-11-04T00:00:00"/>
    <s v="Valid"/>
    <n v="0"/>
    <s v="Valid"/>
    <s v="CUST-3602"/>
    <s v="Kabir Singh"/>
    <s v="Kabir Singh"/>
    <s v="Corporate"/>
    <s v="Corporate"/>
    <x v="1"/>
    <s v="East"/>
    <s v="Assam"/>
    <s v="Guwahati"/>
    <s v="Technology"/>
    <s v="Technology"/>
    <s v="Machines"/>
    <s v="Classic Machines 886"/>
    <s v="First Class"/>
    <s v="First Class"/>
    <n v="2"/>
    <n v="533.08000000000004"/>
    <n v="0"/>
    <n v="0"/>
    <s v="Valid"/>
    <n v="1066.1600000000001"/>
    <n v="656.3"/>
    <n v="409.86"/>
    <x v="3"/>
    <s v="Exclude"/>
    <s v=""/>
    <s v="Cancelled"/>
    <s v="Cancelled"/>
    <s v="Exclude"/>
  </r>
  <r>
    <s v="ORD-2024-10134"/>
    <n v="1"/>
    <s v=""/>
    <s v="2024-12-13"/>
    <d v="2024-12-13T00:00:00"/>
    <s v="12/18/2024"/>
    <d v="2024-12-18T00:00:00"/>
    <s v="Valid"/>
    <n v="5"/>
    <s v="Valid"/>
    <s v="CUST-9441"/>
    <s v="Karan Malhotra"/>
    <s v="Karan Malhotra"/>
    <s v="Consumer"/>
    <s v="Consumer"/>
    <x v="3"/>
    <s v="West"/>
    <s v="Goa"/>
    <s v="Panaji"/>
    <s v="Technology"/>
    <s v="Technology"/>
    <s v="Phones"/>
    <s v="Prime Phones 419"/>
    <s v="Second Class"/>
    <s v="Second Class"/>
    <n v="8"/>
    <n v="3372.15"/>
    <n v="0.15"/>
    <n v="0.15"/>
    <s v="Valid"/>
    <n v="22930.62"/>
    <n v="16875.55"/>
    <n v="6055.07"/>
    <x v="0"/>
    <s v="Include"/>
    <s v=""/>
    <s v="Completed"/>
    <s v="Completed"/>
    <s v="Include"/>
  </r>
  <r>
    <s v="ORD-2025-10135"/>
    <n v="1"/>
    <s v=""/>
    <s v="07/14/2025"/>
    <d v="2025-07-14T00:00:00"/>
    <s v="2025-07-14"/>
    <d v="2025-07-14T00:00:00"/>
    <s v="Valid"/>
    <n v="0"/>
    <s v="Valid"/>
    <s v="CUST-7361"/>
    <s v="Vikram Iyer"/>
    <s v="Vikram Iyer"/>
    <s v="Home Office"/>
    <s v="Home Office"/>
    <x v="1"/>
    <s v="East"/>
    <s v="West Bengal"/>
    <s v="Kolkata"/>
    <s v="Furniture"/>
    <s v="Furniture"/>
    <s v="Bookcases"/>
    <s v="Elite Bookcases 266"/>
    <m/>
    <s v="Unknown"/>
    <n v="5"/>
    <n v="383.1"/>
    <n v="0.25"/>
    <n v="0.25"/>
    <s v="Valid"/>
    <n v="1436.62"/>
    <n v="912.52"/>
    <n v="524.1"/>
    <x v="2"/>
    <s v="Exclude"/>
    <s v=""/>
    <s v="Cancelled"/>
    <s v="Cancelled"/>
    <s v="Exclude"/>
  </r>
  <r>
    <s v="ORD-2025-10136"/>
    <n v="1"/>
    <s v=""/>
    <s v="2025-08-24"/>
    <d v="2025-08-24T00:00:00"/>
    <s v="2025-08-24"/>
    <d v="2025-08-24T00:00:00"/>
    <s v="Valid"/>
    <n v="0"/>
    <s v="Valid"/>
    <s v="CUST-1148"/>
    <s v="Diya Patel"/>
    <s v="Diya Patel"/>
    <s v="Small Business"/>
    <s v="Small Business"/>
    <x v="2"/>
    <s v="South"/>
    <s v="Kerala"/>
    <s v="Kochi"/>
    <s v="Furniture"/>
    <s v="Furniture"/>
    <s v="Bookcases"/>
    <s v="Prime Bookcases 954"/>
    <s v="Standard Class"/>
    <s v="Standard Class"/>
    <n v="1"/>
    <n v="3424.78"/>
    <n v="0"/>
    <n v="0"/>
    <s v="Valid"/>
    <n v="3424.78"/>
    <n v="1951.45"/>
    <n v="1473.33"/>
    <x v="0"/>
    <s v="Include"/>
    <s v=""/>
    <s v="Completed"/>
    <s v="Completed"/>
    <s v="Include"/>
  </r>
  <r>
    <s v="ORD-2025-10137"/>
    <n v="1"/>
    <s v=""/>
    <s v="09-02-2025"/>
    <d v="2025-02-09T00:00:00"/>
    <s v="15-02-2025"/>
    <d v="2025-02-15T00:00:00"/>
    <s v="Valid"/>
    <n v="6"/>
    <s v="Valid"/>
    <s v="CUST-3350"/>
    <s v="Mira Das"/>
    <s v="Mira Das"/>
    <s v="Home Office"/>
    <s v="Home Office"/>
    <x v="1"/>
    <s v="East"/>
    <s v="Jharkhand"/>
    <s v="Ranchi"/>
    <s v="Office Supplies"/>
    <s v="Office Supplies"/>
    <s v="Binders"/>
    <s v="Max Binders 362"/>
    <s v="Standard  Class"/>
    <s v="Standard Class"/>
    <n v="9"/>
    <n v="4330.33"/>
    <n v="0.2"/>
    <n v="0.2"/>
    <s v="Valid"/>
    <n v="31178.38"/>
    <n v="21421.09"/>
    <n v="9757.2900000000009"/>
    <x v="0"/>
    <s v="Include"/>
    <s v=""/>
    <s v="Completed"/>
    <s v="Completed"/>
    <s v="Include"/>
  </r>
  <r>
    <s v="ORD-2025-10138"/>
    <n v="1"/>
    <s v=""/>
    <s v="01/09/2025"/>
    <d v="2025-01-09T00:00:00"/>
    <s v="2025-01-09"/>
    <d v="2025-01-09T00:00:00"/>
    <s v="Valid"/>
    <n v="0"/>
    <s v="Valid"/>
    <s v="CUST-7932"/>
    <s v="Sneha Kapoor"/>
    <s v="Sneha Kapoor"/>
    <s v="Small Business"/>
    <s v="Small Business"/>
    <x v="0"/>
    <s v="North"/>
    <s v="Rajasthan"/>
    <s v="Jaipur"/>
    <s v="Furniture"/>
    <s v="Furniture"/>
    <s v="Chairs"/>
    <s v="Prime Chairs 261"/>
    <s v="Same Day"/>
    <s v="Same Day"/>
    <n v="8"/>
    <n v="2667.07"/>
    <n v="0.1"/>
    <n v="0.1"/>
    <s v="Valid"/>
    <n v="19202.900000000001"/>
    <n v="15526.62"/>
    <n v="3676.28"/>
    <x v="0"/>
    <s v="Include"/>
    <s v=""/>
    <s v="Completed"/>
    <s v="Completed"/>
    <s v="Include"/>
  </r>
  <r>
    <s v="ORD-2024-10139"/>
    <n v="1"/>
    <s v=""/>
    <s v="2024-01-20"/>
    <d v="2024-01-20T00:00:00"/>
    <s v="26-01-2024"/>
    <d v="2024-01-26T00:00:00"/>
    <s v="Valid"/>
    <n v="6"/>
    <s v="Valid"/>
    <s v="CUST-7173"/>
    <s v="Diya Patel"/>
    <s v="Diya Patel"/>
    <s v="Home Office"/>
    <s v="Home Office"/>
    <x v="1"/>
    <s v="East"/>
    <s v="Jharkhand"/>
    <s v="Ranchi"/>
    <s v="Technology"/>
    <s v="Technology"/>
    <s v="Machines"/>
    <s v="Basic Machines 185"/>
    <s v="Standard Class"/>
    <s v="Standard Class"/>
    <n v="8"/>
    <n v="4003.05"/>
    <n v="0.25"/>
    <n v="0.25"/>
    <s v="Valid"/>
    <n v="24018.3"/>
    <n v="14070.78"/>
    <n v="9947.52"/>
    <x v="0"/>
    <s v="Include"/>
    <s v=""/>
    <s v="Completed"/>
    <s v="Completed"/>
    <s v="Include"/>
  </r>
  <r>
    <s v="ORD-2025-10140"/>
    <n v="1"/>
    <s v=""/>
    <s v="03/02/2025"/>
    <d v="2025-03-02T00:00:00"/>
    <s v="07-03-2025"/>
    <d v="2025-03-07T00:00:00"/>
    <s v="Valid"/>
    <n v="5"/>
    <s v="Valid"/>
    <s v="CUST-4225"/>
    <s v="Neha Gupta"/>
    <s v="Neha Gupta"/>
    <s v="Home Office"/>
    <s v="Home Office"/>
    <x v="2"/>
    <s v="South"/>
    <s v="Karnataka"/>
    <s v="Bengaluru"/>
    <s v="Office Supplies"/>
    <s v="Office Supplies"/>
    <s v="Labels"/>
    <s v="Basic Labels 509"/>
    <s v="Standard Class"/>
    <s v="Standard Class"/>
    <n v="8"/>
    <n v="1287.6300000000001"/>
    <n v="0"/>
    <n v="0"/>
    <s v="Valid"/>
    <n v="10301.040000000001"/>
    <n v="6564.06"/>
    <n v="3736.98"/>
    <x v="0"/>
    <s v="Include"/>
    <s v=""/>
    <s v="Completed"/>
    <s v="Completed"/>
    <s v="Include"/>
  </r>
  <r>
    <s v="ORD-2024-10141"/>
    <n v="1"/>
    <s v=""/>
    <s v="31-05-2024"/>
    <d v="2024-05-31T00:00:00"/>
    <s v="01 Jun 2024"/>
    <d v="2024-06-01T00:00:00"/>
    <s v="Valid"/>
    <n v="1"/>
    <s v="Valid"/>
    <s v="CUST-2149"/>
    <s v="Mira Das"/>
    <s v="Mira Das"/>
    <s v="Corporate"/>
    <s v="Corporate"/>
    <x v="2"/>
    <s v="South"/>
    <s v="Karnataka"/>
    <s v="Bengaluru"/>
    <s v="Furniture"/>
    <s v="Furniture"/>
    <s v="Bookcases"/>
    <s v="Elite Bookcases 696"/>
    <s v="Same Day"/>
    <s v="Same Day"/>
    <n v="3"/>
    <n v="2914.55"/>
    <n v="0"/>
    <n v="0"/>
    <s v="Valid"/>
    <n v="8743.65"/>
    <n v="6603.76"/>
    <n v="2139.89"/>
    <x v="0"/>
    <s v="Include"/>
    <s v=""/>
    <s v="Completed"/>
    <s v="Completed"/>
    <s v="Include"/>
  </r>
  <r>
    <s v="ORD-2024-10142"/>
    <n v="1"/>
    <s v=""/>
    <s v="03/23/2024"/>
    <d v="2024-03-23T00:00:00"/>
    <s v="2024-03-29"/>
    <d v="2024-03-29T00:00:00"/>
    <s v="Valid"/>
    <n v="6"/>
    <s v="Valid"/>
    <s v="CUST-3314"/>
    <s v="Priya Menon"/>
    <s v="Priya Menon"/>
    <s v="Corporate"/>
    <s v="Corporate"/>
    <x v="0"/>
    <s v="North"/>
    <s v="Delhi"/>
    <s v="New Delhi"/>
    <s v="Furniture"/>
    <s v="Furniture"/>
    <s v="Bookcases"/>
    <s v="Elite Bookcases 772"/>
    <s v="Same Day"/>
    <s v="Same Day"/>
    <n v="7"/>
    <n v="634.29"/>
    <n v="0.1"/>
    <n v="0.1"/>
    <s v="Valid"/>
    <n v="3996.03"/>
    <n v="2859.51"/>
    <n v="1136.52"/>
    <x v="0"/>
    <s v="Include"/>
    <s v=""/>
    <s v="Returned"/>
    <s v="Returned"/>
    <s v="Include"/>
  </r>
  <r>
    <s v="ORD-2024-10143"/>
    <n v="2"/>
    <s v="Review Required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s v="Home Office"/>
    <s v="Home Office"/>
    <x v="0"/>
    <s v="North"/>
    <s v="Rajasthan"/>
    <s v="Jaipur"/>
    <s v="Technology"/>
    <s v="Technology"/>
    <s v="Phones"/>
    <s v="Classic Phones 142"/>
    <s v="Second Class"/>
    <s v="Second Class"/>
    <n v="5"/>
    <n v="907.54"/>
    <n v="0.15"/>
    <n v="0.15"/>
    <s v="Valid"/>
    <n v="3857.04"/>
    <n v="2769.26"/>
    <n v="1087.78"/>
    <x v="0"/>
    <s v="Include"/>
    <s v=""/>
    <s v="Completed"/>
    <s v="Completed"/>
    <s v="Include"/>
  </r>
  <r>
    <s v="ORD-2024-10144"/>
    <n v="1"/>
    <s v=""/>
    <s v="03/24/2024"/>
    <d v="2024-03-24T00:00:00"/>
    <s v="2024-03-26"/>
    <d v="2024-03-26T00:00:00"/>
    <s v="Valid"/>
    <n v="2"/>
    <s v="Valid"/>
    <s v="CUST-3144"/>
    <s v="Priya Menon"/>
    <s v="Priya Menon"/>
    <s v="Consumer"/>
    <s v="Consumer"/>
    <x v="3"/>
    <s v="West"/>
    <s v="Gujarat"/>
    <s v="Ahmedabad"/>
    <s v="Office Supplies"/>
    <s v="Office Supplies"/>
    <s v="Paper"/>
    <s v="Pro Paper 575"/>
    <s v="Second Class"/>
    <s v="Second Class"/>
    <n v="1"/>
    <n v="3409.5"/>
    <n v="0.1"/>
    <n v="0.1"/>
    <s v="Valid"/>
    <n v="3068.55"/>
    <n v="1916.16"/>
    <n v="1152.3900000000001"/>
    <x v="0"/>
    <s v="Include"/>
    <s v=""/>
    <s v="Returned"/>
    <s v="Returned"/>
    <s v="Include"/>
  </r>
  <r>
    <s v="ORD-2024-10145"/>
    <n v="1"/>
    <s v=""/>
    <s v="07-06-2024"/>
    <d v="2024-06-07T00:00:00"/>
    <s v="2024-06-15"/>
    <d v="2024-06-15T00:00:00"/>
    <s v="Valid"/>
    <n v="8"/>
    <s v="Valid"/>
    <s v="CUST-6747"/>
    <s v="Kabir Singh"/>
    <s v="Kabir Singh"/>
    <s v="Small Business"/>
    <s v="Small Business"/>
    <x v="2"/>
    <s v="South"/>
    <s v="Telangana"/>
    <s v="Hyderabad"/>
    <s v="Technology"/>
    <s v="Technology"/>
    <s v="Accessories"/>
    <s v="Elite Accessories 905"/>
    <s v="First Class"/>
    <s v="First Class"/>
    <n v="7"/>
    <n v="2147.9899999999998"/>
    <n v="0.25"/>
    <n v="0.25"/>
    <s v="Valid"/>
    <n v="11276.95"/>
    <n v="6908.76"/>
    <n v="4368.1899999999996"/>
    <x v="1"/>
    <s v="Include"/>
    <s v="Refunded Order"/>
    <s v="Returned"/>
    <s v="Returned"/>
    <s v="Include"/>
  </r>
  <r>
    <s v="ORD-2025-10146"/>
    <n v="1"/>
    <s v=""/>
    <s v="11-04-2025"/>
    <d v="2025-04-11T00:00:00"/>
    <s v="04/13/2025"/>
    <d v="2025-04-13T00:00:00"/>
    <s v="Valid"/>
    <n v="2"/>
    <s v="Valid"/>
    <s v="CUST-6161"/>
    <s v="Mira Das"/>
    <s v="Mira Das"/>
    <s v="Small Business"/>
    <s v="Small Business"/>
    <x v="3"/>
    <s v="West"/>
    <s v="Goa"/>
    <s v="Panaji"/>
    <s v="Office Supplies"/>
    <s v="Office Supplies"/>
    <s v="Paper"/>
    <s v="Smart Paper 899"/>
    <s v="Standard Class"/>
    <s v="Standard Class"/>
    <n v="4"/>
    <n v="4182.1499999999996"/>
    <n v="0.1"/>
    <n v="0.1"/>
    <s v="Valid"/>
    <n v="15055.74"/>
    <n v="9808.83"/>
    <n v="5246.91"/>
    <x v="0"/>
    <s v="Include"/>
    <s v=""/>
    <s v="Completed"/>
    <s v="Completed"/>
    <s v="Include"/>
  </r>
  <r>
    <s v="ORD-2025-10147"/>
    <n v="1"/>
    <s v=""/>
    <s v="30 Jul 2025"/>
    <d v="2025-07-30T00:00:00"/>
    <s v="08/01/2025"/>
    <d v="2025-08-01T00:00:00"/>
    <s v="Valid"/>
    <n v="2"/>
    <s v="Valid"/>
    <s v="CUST-1460"/>
    <s v="Sneha Kapoor"/>
    <s v="Sneha Kapoor"/>
    <s v="Small Business"/>
    <s v="Small Business"/>
    <x v="2"/>
    <s v="South"/>
    <s v="Tamil Nadu"/>
    <s v="Chennai"/>
    <s v="Office Supplies"/>
    <s v="Office Supplies"/>
    <s v="Storage"/>
    <s v="Classic Storage 423"/>
    <s v="Same Day"/>
    <s v="Same Day"/>
    <n v="9"/>
    <n v="3165.43"/>
    <n v="0.1"/>
    <n v="0.1"/>
    <s v="Valid"/>
    <n v="25639.98"/>
    <n v="21635.08"/>
    <n v="4004.9"/>
    <x v="0"/>
    <s v="Include"/>
    <s v=""/>
    <s v="Completed"/>
    <s v="Completed"/>
    <s v="Include"/>
  </r>
  <r>
    <s v="ORD-2024-10148"/>
    <n v="1"/>
    <s v=""/>
    <s v="23-12-2024"/>
    <d v="2024-12-23T00:00:00"/>
    <s v="2024-12-30"/>
    <d v="2024-12-30T00:00:00"/>
    <s v="Valid"/>
    <n v="7"/>
    <s v="Valid"/>
    <s v="CUST-2692"/>
    <s v="Priya Menon"/>
    <s v="Priya Menon"/>
    <s v="Home Office"/>
    <s v="Home Office"/>
    <x v="3"/>
    <s v="West"/>
    <s v="Goa"/>
    <s v="Panaji"/>
    <s v="Furniture"/>
    <s v="Furniture"/>
    <s v="Furnishings"/>
    <s v="Classic Furnishings 743"/>
    <s v="First Class"/>
    <s v="First Class"/>
    <n v="8"/>
    <n v="386.1"/>
    <n v="0.1"/>
    <n v="0.1"/>
    <s v="Valid"/>
    <n v="2779.92"/>
    <n v="1744.05"/>
    <n v="1035.8699999999999"/>
    <x v="0"/>
    <s v="Include"/>
    <s v=""/>
    <s v="Completed"/>
    <s v="Completed"/>
    <s v="Include"/>
  </r>
  <r>
    <s v="ORD-2025-10149"/>
    <n v="1"/>
    <s v=""/>
    <s v="09 Feb 2025"/>
    <d v="2025-02-09T00:00:00"/>
    <s v="13-02-2025"/>
    <d v="2025-02-13T00:00:00"/>
    <s v="Valid"/>
    <n v="4"/>
    <s v="Valid"/>
    <s v="CUST-2822"/>
    <s v="Mira Das"/>
    <s v="Mira Das"/>
    <s v="Home Office"/>
    <s v="Home Office"/>
    <x v="3"/>
    <s v="West"/>
    <s v="Madhya Pradesh"/>
    <s v="Indore"/>
    <s v="Technology"/>
    <s v="Technology"/>
    <s v="Phones"/>
    <s v="Smart Phones 336"/>
    <m/>
    <s v="Unknown"/>
    <n v="8"/>
    <n v="1696.07"/>
    <n v="0.25"/>
    <n v="0.25"/>
    <s v="Valid"/>
    <n v="10176.42"/>
    <n v="7604.47"/>
    <n v="2571.9499999999998"/>
    <x v="0"/>
    <s v="Include"/>
    <s v=""/>
    <s v="Completed"/>
    <s v="Completed"/>
    <s v="Include"/>
  </r>
  <r>
    <s v="ORD-2024-10150"/>
    <n v="1"/>
    <s v=""/>
    <s v="30-01-2024"/>
    <d v="2024-01-30T00:00:00"/>
    <s v="30-01-2024"/>
    <d v="2024-01-30T00:00:00"/>
    <s v="Valid"/>
    <n v="0"/>
    <s v="Valid"/>
    <s v="CUST-5876"/>
    <s v="Aarav Sharma"/>
    <s v="Aarav Sharma"/>
    <s v="Small Business"/>
    <s v="Small Business"/>
    <x v="3"/>
    <s v="West"/>
    <s v="Rajasthan"/>
    <s v="Udaipur"/>
    <s v="Technology"/>
    <s v="Technology"/>
    <s v="Copiers"/>
    <s v="Eco Copiers 381"/>
    <s v="Same Day"/>
    <s v="Same Day"/>
    <n v="7"/>
    <n v="2527.61"/>
    <n v="0.25"/>
    <n v="0.25"/>
    <s v="Valid"/>
    <n v="13269.95"/>
    <n v="8977.1"/>
    <n v="4292.8500000000004"/>
    <x v="0"/>
    <s v="Include"/>
    <s v=""/>
    <s v="Completed"/>
    <s v="Completed"/>
    <s v="Include"/>
  </r>
  <r>
    <s v="ORD-2024-10151"/>
    <n v="1"/>
    <s v=""/>
    <s v="04-03-2024"/>
    <d v="2024-03-04T00:00:00"/>
    <s v="2024-03-12"/>
    <d v="2024-03-12T00:00:00"/>
    <s v="Valid"/>
    <n v="8"/>
    <s v="Valid"/>
    <s v="CUST-4661"/>
    <s v="Arjun Bose"/>
    <s v="Arjun Bose"/>
    <s v="Consumer"/>
    <s v="Consumer"/>
    <x v="4"/>
    <s v="Unknown"/>
    <s v="Gujarat"/>
    <s v="Ahmedabad"/>
    <s v="Furniture"/>
    <s v="Furniture"/>
    <s v="Bookcases"/>
    <s v="Max Bookcases 595"/>
    <s v="First Class"/>
    <s v="First Class"/>
    <n v="1"/>
    <n v="1554.12"/>
    <n v="0.1"/>
    <n v="0.1"/>
    <s v="Valid"/>
    <n v="1398.71"/>
    <n v="1056.92"/>
    <n v="341.79"/>
    <x v="0"/>
    <s v="Include"/>
    <s v=""/>
    <s v="Completed"/>
    <s v="Completed"/>
    <s v="Include"/>
  </r>
  <r>
    <s v="ORD-2024-10152"/>
    <n v="1"/>
    <s v=""/>
    <s v="27 Jun 2024"/>
    <d v="2024-06-27T00:00:00"/>
    <s v="06/27/2024"/>
    <d v="2024-06-27T00:00:00"/>
    <s v="Valid"/>
    <n v="0"/>
    <s v="Valid"/>
    <s v="CUST-6011"/>
    <s v="Neha Gupta"/>
    <s v="Neha Gupta"/>
    <s v="Home Office"/>
    <s v="Home Office"/>
    <x v="4"/>
    <s v="Unknown"/>
    <s v="Madhya Pradesh"/>
    <s v="Indore"/>
    <s v="Technology"/>
    <s v="Technology"/>
    <s v="Copiers"/>
    <s v="Max Copiers 992"/>
    <s v="Standard Class"/>
    <s v="Standard Class"/>
    <n v="2"/>
    <n v="3859.11"/>
    <n v="0"/>
    <n v="0"/>
    <s v="Valid"/>
    <n v="7718.22"/>
    <n v="5355.93"/>
    <n v="2362.29"/>
    <x v="2"/>
    <s v="Include"/>
    <s v=""/>
    <s v="Returned"/>
    <s v="Returned"/>
    <s v="Include"/>
  </r>
  <r>
    <s v="ORD-2024-10153"/>
    <n v="1"/>
    <s v=""/>
    <s v="14 Jun 2024"/>
    <d v="2024-06-14T00:00:00"/>
    <s v="06/17/2024"/>
    <d v="2024-06-17T00:00:00"/>
    <s v="Valid"/>
    <n v="3"/>
    <s v="Valid"/>
    <s v="CUST-6160"/>
    <s v="Kabir Singh"/>
    <s v="Kabir Singh"/>
    <s v="Small Business"/>
    <s v="Small Business"/>
    <x v="2"/>
    <s v="South"/>
    <s v="Kerala"/>
    <s v="Kochi"/>
    <s v="Furniture"/>
    <s v="Furniture"/>
    <s v="Tables"/>
    <s v="Pro Tables 407"/>
    <s v="Second Class"/>
    <s v="Second Class"/>
    <n v="6"/>
    <n v="1088.04"/>
    <n v="0.1"/>
    <n v="0.1"/>
    <s v="Valid"/>
    <n v="5875.42"/>
    <n v="4380.55"/>
    <n v="1494.87"/>
    <x v="2"/>
    <s v="Include"/>
    <s v=""/>
    <s v="Returned"/>
    <s v="Returned"/>
    <s v="Include"/>
  </r>
  <r>
    <s v="ORD-2025-10154"/>
    <n v="1"/>
    <s v=""/>
    <s v="23 Sep 2025"/>
    <d v="2025-09-23T00:00:00"/>
    <s v="2025-09-25"/>
    <d v="2025-09-25T00:00:00"/>
    <s v="Valid"/>
    <n v="2"/>
    <s v="Valid"/>
    <s v="CUST-6971"/>
    <s v="Aditi Sen"/>
    <s v="Aditi Sen"/>
    <s v="Consumer"/>
    <s v="Consumer"/>
    <x v="1"/>
    <s v="East"/>
    <s v="Odisha"/>
    <s v="Bhubaneswar"/>
    <s v="Office Supplies"/>
    <s v="Office Supplies"/>
    <s v="Labels"/>
    <s v="Prime Labels 559"/>
    <s v="Standard Class"/>
    <s v="Standard Class"/>
    <n v="7"/>
    <n v="3280.31"/>
    <n v="0"/>
    <n v="0"/>
    <s v="Valid"/>
    <n v="22962.17"/>
    <n v="15716.5"/>
    <n v="7245.67"/>
    <x v="1"/>
    <s v="Include"/>
    <s v="Refunded Order"/>
    <s v="Returned"/>
    <s v="Returned"/>
    <s v="Include"/>
  </r>
  <r>
    <s v="ORD-2024-10155"/>
    <n v="1"/>
    <s v=""/>
    <s v="12 Feb 2024"/>
    <d v="2024-02-12T00:00:00"/>
    <s v="02/11/2024"/>
    <d v="2024-02-11T00:00:00"/>
    <s v="Invalid Shipping Record"/>
    <n v="-1"/>
    <s v="Invalid Shipping Record"/>
    <s v="CUST-7764"/>
    <s v="Priya Menon"/>
    <s v="Priya Menon"/>
    <s v="Consumer"/>
    <s v="Consumer"/>
    <x v="2"/>
    <s v="South"/>
    <s v="Tamil Nadu"/>
    <s v="Chennai"/>
    <s v="Furniture"/>
    <s v="Furniture"/>
    <s v="Bookcases"/>
    <s v="Classic Bookcases 847"/>
    <s v="Same Day"/>
    <s v="Same Day"/>
    <n v="1"/>
    <n v="2599.12"/>
    <n v="0.15"/>
    <n v="0.15"/>
    <s v="Valid"/>
    <n v="2209.25"/>
    <n v="1523.78"/>
    <n v="685.47"/>
    <x v="0"/>
    <s v="Include"/>
    <s v=""/>
    <s v="Completed"/>
    <s v="Completed"/>
    <s v="Include"/>
  </r>
  <r>
    <s v="ORD-2025-10156"/>
    <n v="1"/>
    <s v=""/>
    <s v="01/26/2025"/>
    <d v="2025-01-26T00:00:00"/>
    <s v="03 Feb 2025"/>
    <d v="2025-02-03T00:00:00"/>
    <s v="Valid"/>
    <n v="8"/>
    <s v="Valid"/>
    <s v="CUST-8327"/>
    <s v="Karan Malhotra"/>
    <s v="Karan Malhotra"/>
    <s v="Corporate"/>
    <s v="Corporate"/>
    <x v="3"/>
    <s v="West"/>
    <s v="Rajasthan"/>
    <s v="Udaipur"/>
    <s v="Furniture"/>
    <s v="Furniture"/>
    <s v="Furnishings"/>
    <s v="Classic Furnishings 655"/>
    <s v="Same Day"/>
    <s v="Same Day"/>
    <n v="3"/>
    <n v="2859.32"/>
    <n v="0.1"/>
    <n v="0.1"/>
    <s v="Valid"/>
    <n v="7720.16"/>
    <n v="5881"/>
    <n v="1839.16"/>
    <x v="1"/>
    <s v="Include"/>
    <s v="Refunded Order"/>
    <s v="Returned"/>
    <s v="Returned"/>
    <s v="Include"/>
  </r>
  <r>
    <s v="ORD-2025-10157"/>
    <n v="1"/>
    <s v=""/>
    <s v="27-03-2025"/>
    <d v="2025-03-27T00:00:00"/>
    <s v="27 Mar 2025"/>
    <d v="2025-03-27T00:00:00"/>
    <s v="Valid"/>
    <n v="0"/>
    <s v="Valid"/>
    <s v="CUST-4058"/>
    <s v="Vikram Iyer"/>
    <s v="Vikram Iyer"/>
    <s v="Small Business"/>
    <s v="Small Business"/>
    <x v="1"/>
    <s v="East"/>
    <s v="Bihar"/>
    <s v="Patna"/>
    <s v="Technology"/>
    <s v="Technology"/>
    <s v="Machines"/>
    <s v="Eco Machines 657"/>
    <s v="Second Class"/>
    <s v="Second Class"/>
    <n v="7"/>
    <n v="2305.37"/>
    <n v="0.25"/>
    <n v="0.25"/>
    <s v="Valid"/>
    <n v="12103.19"/>
    <n v="6717.87"/>
    <n v="5385.32"/>
    <x v="0"/>
    <s v="Include"/>
    <s v=""/>
    <s v="Completed"/>
    <s v="Completed"/>
    <s v="Include"/>
  </r>
  <r>
    <s v="ORD-2024-10158"/>
    <n v="1"/>
    <s v=""/>
    <s v="10/22/2024"/>
    <d v="2024-10-22T00:00:00"/>
    <s v="24-10-2024"/>
    <d v="2024-10-24T00:00:00"/>
    <s v="Valid"/>
    <n v="2"/>
    <s v="Valid"/>
    <s v="CUST-1142"/>
    <s v="Rohan Mehta"/>
    <s v="Rohan Mehta"/>
    <s v="Small Business"/>
    <s v="Small Business"/>
    <x v="2"/>
    <s v="South"/>
    <s v="Andhra Pradesh"/>
    <s v="Vijayawada"/>
    <s v="Furniture"/>
    <s v="Furniture"/>
    <s v="Bookcases"/>
    <s v="Pro Bookcases 430"/>
    <s v="Standard Class"/>
    <s v="Standard Class"/>
    <n v="3"/>
    <n v="915.84"/>
    <n v="0.15"/>
    <n v="0.15"/>
    <s v="Valid"/>
    <n v="2335.39"/>
    <n v="1466.15"/>
    <n v="869.24"/>
    <x v="0"/>
    <s v="Include"/>
    <s v=""/>
    <s v="Completed"/>
    <s v="Completed"/>
    <s v="Include"/>
  </r>
  <r>
    <s v="ORD-2024-10159"/>
    <n v="1"/>
    <s v=""/>
    <s v="2024-09-09"/>
    <d v="2024-09-09T00:00:00"/>
    <s v="09/11/2024"/>
    <d v="2024-09-11T00:00:00"/>
    <s v="Valid"/>
    <n v="2"/>
    <s v="Valid"/>
    <s v="CUST-2324"/>
    <s v="Neha Gupta"/>
    <s v="Neha Gupta"/>
    <s v="Home Office"/>
    <s v="Home Office"/>
    <x v="2"/>
    <s v="South"/>
    <s v="Telangana"/>
    <s v="Hyderabad"/>
    <s v="Furniture"/>
    <s v="Furniture"/>
    <s v="Bookcases"/>
    <s v="Max Bookcases 881"/>
    <s v="First Class"/>
    <s v="First Class"/>
    <n v="1"/>
    <n v="4199.54"/>
    <n v="0.05"/>
    <n v="0.05"/>
    <s v="Valid"/>
    <n v="3989.56"/>
    <n v="2381.38"/>
    <n v="1608.18"/>
    <x v="0"/>
    <s v="Include"/>
    <s v=""/>
    <s v="Completed"/>
    <s v="Completed"/>
    <s v="Include"/>
  </r>
  <r>
    <s v="ORD-2025-10160"/>
    <n v="1"/>
    <s v=""/>
    <s v="2025-01-30"/>
    <d v="2025-01-30T00:00:00"/>
    <s v="04-02-2025"/>
    <d v="2025-02-04T00:00:00"/>
    <s v="Valid"/>
    <n v="5"/>
    <s v="Valid"/>
    <s v="CUST-7717"/>
    <s v="Priya Menon"/>
    <s v="Priya Menon"/>
    <s v="Corporate"/>
    <s v="Corporate"/>
    <x v="0"/>
    <s v="North"/>
    <s v="Haryana"/>
    <s v="Gurugram"/>
    <s v="Furniture"/>
    <s v="Furniture"/>
    <s v="Chairs"/>
    <s v="Elite Chairs 998"/>
    <s v="Same Day"/>
    <s v="Same Day"/>
    <n v="9"/>
    <n v="4430.5"/>
    <n v="0.15"/>
    <n v="0.15"/>
    <s v="Valid"/>
    <n v="33893.32"/>
    <n v="25750.35"/>
    <n v="8142.97"/>
    <x v="2"/>
    <s v="Exclude"/>
    <s v=""/>
    <s v="Cancelled"/>
    <s v="Cancelled"/>
    <s v="Exclude"/>
  </r>
  <r>
    <s v="ORD-2025-10161"/>
    <n v="1"/>
    <s v=""/>
    <s v="08-10-2025"/>
    <d v="2025-10-08T00:00:00"/>
    <s v="10/06/2025"/>
    <d v="2025-10-06T00:00:00"/>
    <s v="Invalid Shipping Record"/>
    <n v="-2"/>
    <s v="Invalid Shipping Record"/>
    <s v="CUST-4932"/>
    <s v="Vikram Iyer"/>
    <s v="Vikram Iyer"/>
    <s v="Small Business"/>
    <s v="Small Business"/>
    <x v="3"/>
    <s v="West"/>
    <s v="Maharashtra"/>
    <s v="Mumbai"/>
    <s v="Office Supplies"/>
    <s v="Office Supplies"/>
    <s v="Paper"/>
    <s v="Max Paper 113"/>
    <s v="Second Class"/>
    <s v="Second Class"/>
    <n v="4"/>
    <n v="1260.42"/>
    <n v="0.05"/>
    <n v="0.05"/>
    <s v="Valid"/>
    <n v="4789.6000000000004"/>
    <n v="4037.64"/>
    <n v="751.96"/>
    <x v="2"/>
    <s v="Exclude"/>
    <s v=""/>
    <s v="Cancelled"/>
    <s v="Cancelled"/>
    <s v="Exclude"/>
  </r>
  <r>
    <s v="ORD-2025-10162"/>
    <n v="1"/>
    <s v=""/>
    <s v="2025-07-24"/>
    <d v="2025-07-24T00:00:00"/>
    <s v="30-07-2025"/>
    <d v="2025-07-30T00:00:00"/>
    <s v="Valid"/>
    <n v="6"/>
    <s v="Valid"/>
    <s v="CUST-2367"/>
    <s v="Arjun Bose"/>
    <s v="Arjun Bose"/>
    <s v="Consumer"/>
    <s v="Consumer"/>
    <x v="3"/>
    <s v="West"/>
    <s v="Rajasthan"/>
    <s v="Udaipur"/>
    <s v="Office Supplies"/>
    <s v="Office Supplies"/>
    <s v="Binders"/>
    <s v="Smart Binders 267"/>
    <s v="Standard Class"/>
    <s v="Standard Class"/>
    <n v="1"/>
    <n v="1643.41"/>
    <n v="0"/>
    <n v="0"/>
    <s v="Valid"/>
    <n v="1643.41"/>
    <n v="907.4"/>
    <n v="736.01"/>
    <x v="2"/>
    <s v="Exclude"/>
    <s v=""/>
    <s v="Cancelled"/>
    <s v="Cancelled"/>
    <s v="Exclude"/>
  </r>
  <r>
    <s v="ORD-2024-10163"/>
    <n v="1"/>
    <s v=""/>
    <s v="2024-03-09"/>
    <d v="2024-03-09T00:00:00"/>
    <s v="14 Mar 2024"/>
    <d v="2024-03-14T00:00:00"/>
    <s v="Valid"/>
    <n v="5"/>
    <s v="Valid"/>
    <s v="CUST-4830"/>
    <s v="Neha Gupta"/>
    <s v="Neha Gupta"/>
    <s v="Small Business"/>
    <s v="Small Business"/>
    <x v="3"/>
    <s v="West"/>
    <s v="Goa"/>
    <s v="Panaji"/>
    <s v="Furniture"/>
    <s v="Furniture"/>
    <s v="Furnishings"/>
    <s v="Pro Furnishings 108"/>
    <s v="Second Class"/>
    <s v="Second Class"/>
    <n v="8"/>
    <n v="4472.84"/>
    <n v="0"/>
    <n v="0"/>
    <s v="Valid"/>
    <n v="35997.620000000003"/>
    <n v="26424.41"/>
    <n v="9358.31"/>
    <x v="2"/>
    <s v="Include"/>
    <s v=""/>
    <s v="Returned"/>
    <s v="Returned"/>
    <s v="Include"/>
  </r>
  <r>
    <s v="ORD-2025-10164"/>
    <n v="1"/>
    <s v=""/>
    <s v="09/21/2025"/>
    <d v="2025-09-21T00:00:00"/>
    <s v="26 Sep 2025"/>
    <d v="2025-09-26T00:00:00"/>
    <s v="Valid"/>
    <n v="5"/>
    <s v="Valid"/>
    <s v="CUST-2548"/>
    <s v="Rohan Mehta"/>
    <s v="Rohan Mehta"/>
    <s v="Home Office"/>
    <s v="Home Office"/>
    <x v="3"/>
    <s v="West"/>
    <s v="Gujarat"/>
    <s v="Ahmedabad"/>
    <s v="Furniture"/>
    <s v="Furniture"/>
    <s v="Tables"/>
    <s v="Elite Tables 389"/>
    <m/>
    <s v="Unknown"/>
    <n v="6"/>
    <n v="2903.58"/>
    <n v="0.1"/>
    <n v="0.1"/>
    <s v="Valid"/>
    <n v="15679.33"/>
    <n v="12477.82"/>
    <n v="3201.51"/>
    <x v="2"/>
    <s v="Include"/>
    <s v=""/>
    <s v="Returned"/>
    <s v="Returned"/>
    <s v="Include"/>
  </r>
  <r>
    <s v="ORD-2025-10165"/>
    <n v="1"/>
    <s v=""/>
    <s v="09 Sep 2025"/>
    <d v="2025-09-09T00:00:00"/>
    <s v="09/14/2025"/>
    <d v="2025-09-14T00:00:00"/>
    <s v="Valid"/>
    <n v="5"/>
    <s v="Valid"/>
    <s v="CUST-3833"/>
    <s v="Rahul Verma"/>
    <s v="Rahul Verma"/>
    <s v="Small Business"/>
    <s v="Small Business"/>
    <x v="1"/>
    <s v="East"/>
    <s v="West Bengal"/>
    <s v="Kolkata"/>
    <s v="Furniture"/>
    <s v="Furniture"/>
    <s v="Bookcases"/>
    <s v="Pro Bookcases 595"/>
    <s v="Second Class"/>
    <s v="Second Class"/>
    <n v="1"/>
    <n v="3154.42"/>
    <n v="0.25"/>
    <n v="0.25"/>
    <s v="Valid"/>
    <n v="2365.8200000000002"/>
    <n v="1547.99"/>
    <n v="817.83"/>
    <x v="0"/>
    <s v="Include"/>
    <s v=""/>
    <s v="Completed"/>
    <s v="Completed"/>
    <s v="Include"/>
  </r>
  <r>
    <s v="ORD-2024-10166"/>
    <n v="1"/>
    <s v=""/>
    <s v="11/22/2024"/>
    <d v="2024-11-22T00:00:00"/>
    <s v="29-11-2024"/>
    <d v="2024-11-29T00:00:00"/>
    <s v="Valid"/>
    <n v="7"/>
    <s v="Valid"/>
    <s v="CUST-4598"/>
    <s v="Mira Das"/>
    <s v="Mira Das"/>
    <s v="Home Office"/>
    <s v="Home Office"/>
    <x v="1"/>
    <s v="East"/>
    <s v="Bihar"/>
    <s v="Patna"/>
    <s v="Furniture"/>
    <s v="Furniture"/>
    <s v="Chairs"/>
    <s v="Max Chairs 148"/>
    <s v="Standard Class"/>
    <s v="Standard Class"/>
    <n v="4"/>
    <n v="3422.99"/>
    <n v="0.25"/>
    <n v="0.25"/>
    <s v="Valid"/>
    <n v="10268.969999999999"/>
    <n v="6470.92"/>
    <n v="3798.05"/>
    <x v="0"/>
    <s v="Include"/>
    <s v=""/>
    <s v="Completed"/>
    <s v="Completed"/>
    <s v="Include"/>
  </r>
  <r>
    <s v="ORD-2025-10167"/>
    <n v="1"/>
    <s v=""/>
    <s v="20-02-2025"/>
    <d v="2025-02-20T00:00:00"/>
    <s v="26-02-2025"/>
    <d v="2025-02-26T00:00:00"/>
    <s v="Valid"/>
    <n v="6"/>
    <s v="Valid"/>
    <s v="CUST-7215"/>
    <s v="Karan Malhotra"/>
    <s v="Karan Malhotra"/>
    <s v="Small Business"/>
    <s v="Small Business"/>
    <x v="3"/>
    <s v="West"/>
    <s v="Gujarat"/>
    <s v="Ahmedabad"/>
    <s v="Office Supplies"/>
    <s v="Office Supplies"/>
    <s v="Labels"/>
    <s v="Basic Labels 671"/>
    <s v="First Class"/>
    <s v="First Class"/>
    <n v="1"/>
    <n v="2557.85"/>
    <n v="0.2"/>
    <n v="0.2"/>
    <s v="Valid"/>
    <n v="2046.28"/>
    <n v="1449.54"/>
    <n v="596.74"/>
    <x v="0"/>
    <s v="Include"/>
    <s v=""/>
    <s v="Completed"/>
    <s v="Completed"/>
    <s v="Include"/>
  </r>
  <r>
    <s v="ORD-2025-10168"/>
    <n v="1"/>
    <s v=""/>
    <s v="2025-08-18"/>
    <d v="2025-08-18T00:00:00"/>
    <s v="08/18/2025"/>
    <d v="2025-08-18T00:00:00"/>
    <s v="Valid"/>
    <n v="0"/>
    <s v="Valid"/>
    <s v="CUST-7770"/>
    <s v="Arjun Bose"/>
    <s v="Arjun Bose"/>
    <s v="Home Office"/>
    <s v="Home Office"/>
    <x v="2"/>
    <s v="South"/>
    <s v="Karnataka"/>
    <s v="Bengaluru"/>
    <s v="Office Supplies"/>
    <s v="Office Supplies"/>
    <s v="Storage"/>
    <s v="Elite Storage 628"/>
    <s v="First Class"/>
    <s v="First Class"/>
    <n v="9"/>
    <n v="3030.93"/>
    <n v="0.15"/>
    <n v="0.15"/>
    <s v="Valid"/>
    <n v="23186.61"/>
    <n v="17906.54"/>
    <n v="5280.07"/>
    <x v="0"/>
    <s v="Include"/>
    <s v=""/>
    <s v="Returned"/>
    <s v="Returned"/>
    <s v="Include"/>
  </r>
  <r>
    <s v="ORD-2025-10169"/>
    <n v="1"/>
    <s v=""/>
    <s v="01/20/2025"/>
    <d v="2025-01-20T00:00:00"/>
    <s v="23 Jan 2025"/>
    <d v="2025-01-23T00:00:00"/>
    <s v="Valid"/>
    <n v="3"/>
    <s v="Valid"/>
    <s v="CUST-9756"/>
    <s v="Kabir Singh"/>
    <s v="Kabir Singh"/>
    <s v="Consumer"/>
    <s v="Consumer"/>
    <x v="3"/>
    <s v="West"/>
    <s v="Maharashtra"/>
    <s v="Mumbai"/>
    <s v="Technology"/>
    <s v="Technology"/>
    <s v="Accessories"/>
    <s v="Eco Accessories 590"/>
    <s v="Same Day"/>
    <s v="Same Day"/>
    <n v="5"/>
    <n v="639.27"/>
    <n v="0.2"/>
    <n v="0.2"/>
    <s v="Valid"/>
    <n v="2557.08"/>
    <n v="2025.69"/>
    <n v="531.39"/>
    <x v="0"/>
    <s v="Exclude"/>
    <s v=""/>
    <s v="Cancelled"/>
    <s v="Cancelled"/>
    <s v="Exclude"/>
  </r>
  <r>
    <s v="ORD-2025-10170"/>
    <n v="1"/>
    <s v=""/>
    <s v="2025-09-13"/>
    <d v="2025-09-13T00:00:00"/>
    <s v="09/13/2025"/>
    <d v="2025-09-13T00:00:00"/>
    <s v="Valid"/>
    <n v="0"/>
    <s v="Valid"/>
    <s v="CUST-2261"/>
    <s v="Diya Patel"/>
    <s v="Diya Patel"/>
    <s v="Consumer"/>
    <s v="Consumer"/>
    <x v="1"/>
    <s v="East"/>
    <s v="Assam"/>
    <s v="Guwahati"/>
    <s v="Office Supplies"/>
    <s v="Office Supplies"/>
    <s v="Art"/>
    <s v="Pro Art 734"/>
    <s v="Standard Class"/>
    <s v="Standard Class"/>
    <n v="8"/>
    <n v="733.9"/>
    <n v="0.05"/>
    <n v="0.05"/>
    <s v="Valid"/>
    <n v="5577.64"/>
    <n v="3541.29"/>
    <n v="2036.35"/>
    <x v="2"/>
    <s v="Include"/>
    <s v=""/>
    <s v="Returned"/>
    <s v="Returned"/>
    <s v="Include"/>
  </r>
  <r>
    <s v="ORD-2024-10143"/>
    <n v="2"/>
    <s v="Review Required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s v="Home Office"/>
    <s v="Home Office"/>
    <x v="0"/>
    <s v="North"/>
    <s v="Rajasthan"/>
    <s v="Jaipur"/>
    <s v="Technology"/>
    <s v="Technology"/>
    <s v="Phones"/>
    <s v="Classic Phones 142"/>
    <s v="Second Class"/>
    <s v="Second Class"/>
    <n v="5"/>
    <n v="907.54"/>
    <n v="0.15"/>
    <n v="0.15"/>
    <s v="Valid"/>
    <n v="4099.6899999999996"/>
    <n v="2769.26"/>
    <n v="1087.78"/>
    <x v="0"/>
    <s v="Include"/>
    <s v=""/>
    <s v="Returned"/>
    <s v="Returned"/>
    <s v="Include"/>
  </r>
  <r>
    <s v="ORD-2025-10172"/>
    <n v="1"/>
    <s v=""/>
    <s v="2025-02-23"/>
    <d v="2025-02-23T00:00:00"/>
    <s v="02/25/2025"/>
    <d v="2025-02-25T00:00:00"/>
    <s v="Valid"/>
    <n v="2"/>
    <s v="Valid"/>
    <s v="CUST-3436"/>
    <s v="Karan Malhotra"/>
    <s v="Karan Malhotra"/>
    <s v="Corporate"/>
    <s v="Corporate"/>
    <x v="1"/>
    <s v="East"/>
    <s v="Bihar"/>
    <s v="Patna"/>
    <s v="Office Supplies"/>
    <s v="Office Supplies"/>
    <s v="Labels"/>
    <s v="Basic Labels 876"/>
    <s v="Same Day"/>
    <s v="Same Day"/>
    <n v="5"/>
    <n v="4246.2700000000004"/>
    <n v="0.25"/>
    <n v="0.25"/>
    <s v="Valid"/>
    <n v="15923.51"/>
    <n v="11291.8"/>
    <n v="4631.71"/>
    <x v="0"/>
    <s v="Include"/>
    <s v=""/>
    <s v="Completed"/>
    <s v="Completed"/>
    <s v="Include"/>
  </r>
  <r>
    <s v="ORD-2025-10173"/>
    <n v="1"/>
    <s v=""/>
    <s v="02-08-2025"/>
    <d v="2025-08-02T00:00:00"/>
    <s v="10-08-2025"/>
    <d v="2025-08-10T00:00:00"/>
    <s v="Valid"/>
    <n v="8"/>
    <s v="Valid"/>
    <s v="CUST-4845"/>
    <s v="Karan Malhotra"/>
    <s v="Karan Malhotra"/>
    <s v="Corporate"/>
    <s v="Corporate"/>
    <x v="0"/>
    <s v="North"/>
    <s v="Delhi"/>
    <s v="New Delhi"/>
    <s v="Furniture"/>
    <s v="Furniture"/>
    <s v="Furnishings"/>
    <s v="Prime Furnishings 381"/>
    <s v="Same Day"/>
    <s v="Same Day"/>
    <n v="9"/>
    <n v="2962.62"/>
    <n v="0.1"/>
    <n v="0.1"/>
    <s v="Valid"/>
    <n v="23997.22"/>
    <n v="16134.63"/>
    <n v="7862.59"/>
    <x v="1"/>
    <s v="Include"/>
    <s v="Refunded Order"/>
    <s v="Returned"/>
    <s v="Returned"/>
    <s v="Include"/>
  </r>
  <r>
    <s v="ORD-2024-10174"/>
    <n v="1"/>
    <s v=""/>
    <s v="02-05-2024"/>
    <d v="2024-05-02T00:00:00"/>
    <s v="08 May 2024"/>
    <d v="2024-05-08T00:00:00"/>
    <s v="Valid"/>
    <n v="6"/>
    <s v="Valid"/>
    <s v="CUST-6153"/>
    <s v="Priya Menon"/>
    <s v="Priya Menon"/>
    <s v="Home Office"/>
    <s v="Home Office"/>
    <x v="0"/>
    <s v="North"/>
    <s v="Punjab"/>
    <s v="Ludhiana"/>
    <s v="Technology"/>
    <s v="Technology"/>
    <s v="Copiers"/>
    <s v="Prime Copiers 440"/>
    <s v="Second Class"/>
    <s v="Second Class"/>
    <n v="1"/>
    <n v="2312.25"/>
    <n v="0.25"/>
    <n v="0.25"/>
    <s v="Valid"/>
    <n v="1734.19"/>
    <n v="1386.07"/>
    <n v="348.12"/>
    <x v="0"/>
    <s v="Include"/>
    <s v=""/>
    <s v="Completed"/>
    <s v="Completed"/>
    <s v="Include"/>
  </r>
  <r>
    <s v="ORD-2025-10175"/>
    <n v="1"/>
    <s v=""/>
    <s v="28 Sep 2025"/>
    <d v="2025-09-28T00:00:00"/>
    <s v="04-10-2025"/>
    <d v="2025-10-04T00:00:00"/>
    <s v="Valid"/>
    <n v="6"/>
    <s v="Valid"/>
    <s v="CUST-5475"/>
    <s v="Karan Malhotra"/>
    <s v="Karan Malhotra"/>
    <s v="Small Business"/>
    <s v="Small Business"/>
    <x v="2"/>
    <s v="South"/>
    <s v="Karnataka"/>
    <s v="Bengaluru"/>
    <s v="Furniture"/>
    <s v="Furniture"/>
    <s v="Bookcases"/>
    <s v="Pro Bookcases 319"/>
    <s v="First Class"/>
    <s v="First Class"/>
    <n v="6"/>
    <n v="1620.53"/>
    <n v="0.15"/>
    <n v="0.15"/>
    <s v="Valid"/>
    <n v="8264.7000000000007"/>
    <n v="4768.75"/>
    <n v="3495.95"/>
    <x v="2"/>
    <s v="Include"/>
    <s v=""/>
    <s v="Returned"/>
    <s v="Returned"/>
    <s v="Include"/>
  </r>
  <r>
    <s v="ORD-2024-10176"/>
    <n v="1"/>
    <s v=""/>
    <s v="2024-01-27"/>
    <d v="2024-01-27T00:00:00"/>
    <s v="2024-02-03"/>
    <d v="2024-02-03T00:00:00"/>
    <s v="Valid"/>
    <n v="7"/>
    <s v="Valid"/>
    <s v="CUST-5580"/>
    <s v="Arjun Bose"/>
    <s v="Arjun Bose"/>
    <s v="Small Business"/>
    <s v="Small Business"/>
    <x v="1"/>
    <s v="East"/>
    <s v="Bihar"/>
    <s v="Patna"/>
    <s v="Technology"/>
    <s v="Technology"/>
    <s v="Machines"/>
    <s v="Basic Machines 584"/>
    <s v="Same Day"/>
    <s v="Same Day"/>
    <n v="7"/>
    <n v="2673.42"/>
    <n v="0.15"/>
    <n v="0.15"/>
    <s v="Valid"/>
    <n v="15906.85"/>
    <n v="11014.46"/>
    <n v="4892.3900000000003"/>
    <x v="0"/>
    <s v="Include"/>
    <s v=""/>
    <s v="Returned"/>
    <s v="Returned"/>
    <s v="Include"/>
  </r>
  <r>
    <s v="ORD-2025-10177"/>
    <n v="1"/>
    <s v=""/>
    <s v="18-03-2025"/>
    <d v="2025-03-18T00:00:00"/>
    <s v="03/26/2025"/>
    <d v="2025-03-26T00:00:00"/>
    <s v="Valid"/>
    <n v="8"/>
    <s v="Valid"/>
    <s v="CUST-3027"/>
    <s v="Vikram Iyer"/>
    <s v="Vikram Iyer"/>
    <s v="Corporate"/>
    <s v="Corporate"/>
    <x v="1"/>
    <s v="East"/>
    <s v="Jharkhand"/>
    <s v="Ranchi"/>
    <s v="Furniture"/>
    <s v="Furniture"/>
    <s v="Bookcases"/>
    <s v="Pro Bookcases 612"/>
    <s v="Standard Class"/>
    <s v="Standard Class"/>
    <n v="8"/>
    <n v="3563.09"/>
    <n v="0.15"/>
    <n v="0.15"/>
    <s v="Valid"/>
    <n v="24229.01"/>
    <n v="13910.64"/>
    <n v="10318.370000000001"/>
    <x v="0"/>
    <s v="Include"/>
    <s v=""/>
    <s v="Completed"/>
    <s v="Completed"/>
    <s v="Include"/>
  </r>
  <r>
    <s v="ORD-2024-10178"/>
    <n v="1"/>
    <s v=""/>
    <s v="01-06-2024"/>
    <d v="2024-06-01T00:00:00"/>
    <s v="06/03/2024"/>
    <d v="2024-06-03T00:00:00"/>
    <s v="Valid"/>
    <n v="2"/>
    <s v="Valid"/>
    <s v="CUST-4399"/>
    <s v="Sneha Kapoor"/>
    <s v="Sneha Kapoor"/>
    <s v="Home Office"/>
    <s v="Home Office"/>
    <x v="4"/>
    <s v="Unknown"/>
    <s v="Bihar"/>
    <s v="Patna"/>
    <s v="Office Supplies"/>
    <s v="Office Supplies"/>
    <s v="Art"/>
    <s v="Classic Art 573"/>
    <s v="Same Day"/>
    <s v="Same Day"/>
    <n v="8"/>
    <n v="3879.95"/>
    <n v="0"/>
    <n v="0"/>
    <s v="Valid"/>
    <n v="31039.599999999999"/>
    <n v="20866.72"/>
    <n v="10172.879999999999"/>
    <x v="0"/>
    <s v="Include"/>
    <s v=""/>
    <s v="Completed"/>
    <s v="Completed"/>
    <s v="Include"/>
  </r>
  <r>
    <s v="ORD-2024-10179"/>
    <n v="1"/>
    <s v=""/>
    <s v="30-09-2024"/>
    <d v="2024-09-30T00:00:00"/>
    <s v="2024-09-30"/>
    <d v="2024-09-30T00:00:00"/>
    <s v="Valid"/>
    <n v="0"/>
    <s v="Valid"/>
    <s v="CUST-3092"/>
    <s v="Isha Nair"/>
    <s v="Isha Nair"/>
    <s v="Corporate"/>
    <s v="Corporate"/>
    <x v="2"/>
    <s v="South"/>
    <s v="Telangana"/>
    <s v="Hyderabad"/>
    <s v="Office Supplies"/>
    <s v="Office Supplies"/>
    <s v="Art"/>
    <s v="Eco Art 854"/>
    <s v="Standard Class"/>
    <s v="Standard Class"/>
    <n v="4"/>
    <n v="3281.74"/>
    <n v="0"/>
    <n v="0"/>
    <s v="Valid"/>
    <n v="13126.96"/>
    <n v="10732.44"/>
    <n v="2394.52"/>
    <x v="0"/>
    <s v="Include"/>
    <s v=""/>
    <s v="Completed"/>
    <s v="Completed"/>
    <s v="Include"/>
  </r>
  <r>
    <s v="ORD-2024-10180"/>
    <n v="1"/>
    <s v=""/>
    <s v="2024-03-15"/>
    <d v="2024-03-15T00:00:00"/>
    <s v="03/19/2024"/>
    <d v="2024-03-19T00:00:00"/>
    <s v="Valid"/>
    <n v="4"/>
    <s v="Valid"/>
    <s v="CUST-1778"/>
    <s v="Ananya Rao"/>
    <s v="Ananya Rao"/>
    <s v="Small Business"/>
    <s v="Small Business"/>
    <x v="2"/>
    <s v="South"/>
    <s v="Tamil Nadu"/>
    <s v="Chennai"/>
    <s v="Furniture"/>
    <s v="Furniture"/>
    <s v="Furnishings"/>
    <s v="Classic Furnishings 996"/>
    <s v="Standard Class"/>
    <s v="Standard Class"/>
    <n v="4"/>
    <n v="3186.3"/>
    <n v="0.25"/>
    <n v="0.25"/>
    <s v="Valid"/>
    <n v="9558.9"/>
    <n v="5516.76"/>
    <n v="4042.14"/>
    <x v="1"/>
    <s v="Include"/>
    <s v="Refunded Order"/>
    <s v="Returned"/>
    <s v="Returned"/>
    <s v="Include"/>
  </r>
  <r>
    <s v="ORD-2024-10181"/>
    <n v="1"/>
    <s v=""/>
    <s v="2024-08-26"/>
    <d v="2024-08-26T00:00:00"/>
    <s v="26-08-2024"/>
    <d v="2024-08-26T00:00:00"/>
    <s v="Valid"/>
    <n v="0"/>
    <s v="Valid"/>
    <s v="CUST-3787"/>
    <s v="Mira Das"/>
    <s v="Mira Das"/>
    <s v="Home Office"/>
    <s v="Home Office"/>
    <x v="0"/>
    <s v="North"/>
    <s v="Uttar Pradesh"/>
    <s v="Noida"/>
    <s v="Office Supplies"/>
    <s v="Office Supplies"/>
    <s v="Binders"/>
    <s v="Prime Binders 735"/>
    <s v="First Class"/>
    <s v="First Class"/>
    <n v="7"/>
    <n v="844.59"/>
    <n v="0.1"/>
    <n v="0.1"/>
    <s v="Valid"/>
    <n v="5320.92"/>
    <n v="3041.5"/>
    <n v="2279.42"/>
    <x v="0"/>
    <s v="Include"/>
    <s v=""/>
    <s v="Completed"/>
    <s v="Completed"/>
    <s v="Include"/>
  </r>
  <r>
    <s v="ORD-2025-10182"/>
    <n v="1"/>
    <s v=""/>
    <s v="09/09/2025"/>
    <d v="2025-09-09T00:00:00"/>
    <s v="10-09-2025"/>
    <d v="2025-09-10T00:00:00"/>
    <s v="Valid"/>
    <n v="1"/>
    <s v="Valid"/>
    <s v="CUST-5119"/>
    <s v="Priya Menon"/>
    <s v="Priya Menon"/>
    <s v="Home Office"/>
    <s v="Home Office"/>
    <x v="2"/>
    <s v="South"/>
    <s v="Tamil Nadu"/>
    <s v="Chennai"/>
    <s v="Office Supplies"/>
    <s v="Office Supplies"/>
    <s v="Art"/>
    <s v="Pro Art 587"/>
    <s v="Second Class"/>
    <s v="Second Class"/>
    <n v="4"/>
    <n v="2551.4499999999998"/>
    <n v="0"/>
    <n v="0"/>
    <s v="Valid"/>
    <n v="10205.799999999999"/>
    <n v="5986.31"/>
    <n v="4219.49"/>
    <x v="0"/>
    <s v="Include"/>
    <s v=""/>
    <s v="Completed"/>
    <s v="Completed"/>
    <s v="Include"/>
  </r>
  <r>
    <s v="ORD-2024-10183"/>
    <n v="1"/>
    <s v=""/>
    <s v="16 Oct 2024"/>
    <d v="2024-10-16T00:00:00"/>
    <s v="16 Oct 2024"/>
    <d v="2024-10-16T00:00:00"/>
    <s v="Valid"/>
    <n v="0"/>
    <s v="Valid"/>
    <s v="CUST-4121"/>
    <s v="Ananya Rao"/>
    <s v="Ananya Rao"/>
    <s v="Home Office"/>
    <s v="Home Office"/>
    <x v="1"/>
    <s v="East"/>
    <s v="Bihar"/>
    <s v="Patna"/>
    <s v="Technology"/>
    <s v="Technology"/>
    <s v="Machines"/>
    <s v="Basic Machines 575"/>
    <s v="Standard Class"/>
    <s v="Standard Class"/>
    <n v="7"/>
    <n v="775.77"/>
    <n v="0"/>
    <n v="0"/>
    <s v="Valid"/>
    <n v="5430.39"/>
    <n v="3707.66"/>
    <n v="1722.73"/>
    <x v="0"/>
    <s v="Include"/>
    <s v=""/>
    <s v="Completed"/>
    <s v="Completed"/>
    <s v="Include"/>
  </r>
  <r>
    <s v="ORD-2025-10184"/>
    <n v="1"/>
    <s v=""/>
    <s v="2025-06-24"/>
    <d v="2025-06-24T00:00:00"/>
    <s v="27-06-2025"/>
    <d v="2025-06-27T00:00:00"/>
    <s v="Valid"/>
    <n v="3"/>
    <s v="Valid"/>
    <s v="CUST-3366"/>
    <s v="Vikram Iyer"/>
    <s v="Vikram Iyer"/>
    <s v="Home Office"/>
    <s v="Home Office"/>
    <x v="2"/>
    <s v="South"/>
    <s v="Telangana"/>
    <s v="Hyderabad"/>
    <s v="Technology"/>
    <s v="Technology"/>
    <s v="Copiers"/>
    <s v="Elite Copiers 788"/>
    <s v="Standard Class"/>
    <s v="Standard Class"/>
    <n v="7"/>
    <n v="2304.86"/>
    <n v="0.2"/>
    <n v="0.2"/>
    <s v="Valid"/>
    <n v="12907.22"/>
    <n v="8327.89"/>
    <n v="4579.33"/>
    <x v="0"/>
    <s v="Include"/>
    <s v=""/>
    <s v="Returned"/>
    <s v="Returned"/>
    <s v="Include"/>
  </r>
  <r>
    <s v="ORD-2024-10185"/>
    <n v="1"/>
    <s v=""/>
    <s v="2024-04-02"/>
    <d v="2024-04-02T00:00:00"/>
    <s v="2024-04-06"/>
    <d v="2024-04-06T00:00:00"/>
    <s v="Valid"/>
    <n v="4"/>
    <s v="Valid"/>
    <s v="CUST-1358"/>
    <s v="Vikram Iyer"/>
    <s v="Vikram Iyer"/>
    <s v="Corporate"/>
    <s v="Corporate"/>
    <x v="3"/>
    <s v="West"/>
    <s v="Madhya Pradesh"/>
    <s v="Indore"/>
    <s v="Furniture"/>
    <s v="Furniture"/>
    <s v="Bookcases"/>
    <s v="Max Bookcases 472"/>
    <s v="Standard Class"/>
    <s v="Standard Class"/>
    <n v="2"/>
    <n v="888.98"/>
    <n v="0"/>
    <n v="0"/>
    <s v="Valid"/>
    <n v="1777.96"/>
    <n v="1021.16"/>
    <n v="756.8"/>
    <x v="1"/>
    <s v="Include"/>
    <s v="Refunded Order"/>
    <s v="Returned"/>
    <s v="Returned"/>
    <s v="Include"/>
  </r>
  <r>
    <s v="ORD-2024-10186"/>
    <n v="1"/>
    <s v=""/>
    <s v="11/05/2024"/>
    <d v="2024-11-05T00:00:00"/>
    <s v="2024-11-13"/>
    <d v="2024-11-13T00:00:00"/>
    <s v="Valid"/>
    <n v="8"/>
    <s v="Valid"/>
    <s v="CUST-4968"/>
    <s v="Arjun Bose"/>
    <s v="Arjun Bose"/>
    <s v="Consumer"/>
    <s v="Consumer"/>
    <x v="4"/>
    <s v="Unknown"/>
    <s v="Punjab"/>
    <s v="Ludhiana"/>
    <s v="Office Supplies"/>
    <s v="Office Supplies"/>
    <s v="Labels"/>
    <s v="Smart Labels 475"/>
    <s v="Second Class"/>
    <s v="Second Class"/>
    <n v="2"/>
    <n v="1003.17"/>
    <n v="0.2"/>
    <n v="0.2"/>
    <s v="Valid"/>
    <n v="1605.07"/>
    <n v="1337.28"/>
    <n v="267.79000000000002"/>
    <x v="0"/>
    <s v="Include"/>
    <s v=""/>
    <s v="Completed"/>
    <s v="Completed"/>
    <s v="Include"/>
  </r>
  <r>
    <s v="ORD-2024-10187"/>
    <n v="1"/>
    <s v=""/>
    <s v="19-07-2024"/>
    <d v="2024-07-19T00:00:00"/>
    <s v="20 Jul 2024"/>
    <d v="2024-07-20T00:00:00"/>
    <s v="Valid"/>
    <n v="1"/>
    <s v="Valid"/>
    <s v="CUST-2778"/>
    <s v="Vikram Iyer"/>
    <s v="Vikram Iyer"/>
    <s v="Consumer"/>
    <s v="Consumer"/>
    <x v="2"/>
    <s v="South"/>
    <s v="Tamil Nadu"/>
    <s v="Chennai"/>
    <s v="Furniture"/>
    <s v="Furniture"/>
    <s v="Tables"/>
    <s v="Basic Tables 417"/>
    <s v="First Class"/>
    <s v="First Class"/>
    <n v="7"/>
    <n v="3608.43"/>
    <n v="0.05"/>
    <n v="0.05"/>
    <s v="Valid"/>
    <n v="23996.06"/>
    <n v="20167.28"/>
    <n v="3828.78"/>
    <x v="0"/>
    <s v="Include"/>
    <s v=""/>
    <s v="Completed"/>
    <s v="Completed"/>
    <s v="Include"/>
  </r>
  <r>
    <s v="ORD-2025-10188"/>
    <n v="1"/>
    <s v=""/>
    <s v="2025-05-01"/>
    <d v="2025-05-01T00:00:00"/>
    <s v="02 May 2025"/>
    <d v="2025-05-02T00:00:00"/>
    <s v="Valid"/>
    <n v="1"/>
    <s v="Valid"/>
    <s v="CUST-3109"/>
    <s v="Mira Das"/>
    <s v="Mira Das"/>
    <s v="Consumer"/>
    <s v="Consumer"/>
    <x v="3"/>
    <s v="West"/>
    <s v="Madhya Pradesh"/>
    <s v="Indore"/>
    <s v="Furniture"/>
    <s v="Furniture"/>
    <s v="Chairs"/>
    <s v="Pro Chairs 844"/>
    <s v="Same Day"/>
    <s v="Same Day"/>
    <n v="3"/>
    <n v="2905.74"/>
    <n v="0"/>
    <n v="0"/>
    <s v="Valid"/>
    <n v="8717.2199999999993"/>
    <n v="6215.96"/>
    <n v="2501.2600000000002"/>
    <x v="0"/>
    <s v="Include"/>
    <s v=""/>
    <s v="Returned"/>
    <s v="Returned"/>
    <s v="Include"/>
  </r>
  <r>
    <s v="ORD-2025-10189"/>
    <n v="1"/>
    <s v=""/>
    <s v="2025-05-21"/>
    <d v="2025-05-21T00:00:00"/>
    <s v="28 May 2025"/>
    <d v="2025-05-28T00:00:00"/>
    <s v="Valid"/>
    <n v="7"/>
    <s v="Valid"/>
    <s v="CUST-3422"/>
    <s v="Priya Menon"/>
    <s v="Priya Menon"/>
    <s v="Corporate"/>
    <s v="Corporate"/>
    <x v="1"/>
    <s v="East"/>
    <s v="West Bengal"/>
    <s v="Kolkata"/>
    <s v="Furniture"/>
    <s v="Furniture"/>
    <s v="Bookcases"/>
    <s v="Elite Bookcases 883"/>
    <s v="Same Day"/>
    <s v="Same Day"/>
    <n v="2"/>
    <n v="3559.57"/>
    <n v="0.1"/>
    <n v="0.1"/>
    <s v="Valid"/>
    <n v="6553.95"/>
    <n v="4923.09"/>
    <n v="1484.14"/>
    <x v="0"/>
    <s v="Include"/>
    <s v=""/>
    <s v="Completed"/>
    <s v="Completed"/>
    <s v="Include"/>
  </r>
  <r>
    <s v="ORD-2025-10190"/>
    <n v="1"/>
    <s v=""/>
    <s v="2025-05-06"/>
    <d v="2025-05-06T00:00:00"/>
    <s v="07 May 2025"/>
    <d v="2025-05-07T00:00:00"/>
    <s v="Valid"/>
    <n v="1"/>
    <s v="Valid"/>
    <s v="CUST-3375"/>
    <s v="Arjun Bose"/>
    <s v="Arjun Bose"/>
    <s v="Consumer"/>
    <s v="Consumer"/>
    <x v="3"/>
    <s v="West"/>
    <s v="Rajasthan"/>
    <s v="Udaipur"/>
    <s v="Furniture"/>
    <s v="Furniture"/>
    <s v="Bookcases"/>
    <s v="Basic Bookcases 754"/>
    <s v="First Class"/>
    <s v="First Class"/>
    <n v="9"/>
    <n v="3318.24"/>
    <m/>
    <n v="0"/>
    <s v="Valid"/>
    <n v="25384.54"/>
    <n v="16872.39"/>
    <n v="8512.15"/>
    <x v="0"/>
    <s v="Include"/>
    <s v=""/>
    <s v="Completed"/>
    <s v="Completed"/>
    <s v="Include"/>
  </r>
  <r>
    <s v="ORD-2025-10191"/>
    <n v="1"/>
    <s v=""/>
    <s v="20-04-2025"/>
    <d v="2025-04-20T00:00:00"/>
    <s v="04/21/2025"/>
    <d v="2025-04-21T00:00:00"/>
    <s v="Valid"/>
    <n v="1"/>
    <s v="Valid"/>
    <s v="CUST-5138"/>
    <s v="Aditi Sen"/>
    <s v="Aditi Sen"/>
    <s v="Consumer"/>
    <s v="Consumer"/>
    <x v="2"/>
    <s v="South"/>
    <s v="Tamil Nadu"/>
    <s v="Chennai"/>
    <s v="Office Supplies"/>
    <s v="Office Supplies"/>
    <s v="Storage"/>
    <s v="Eco Storage 158"/>
    <s v="First Class"/>
    <s v="First Class"/>
    <n v="3"/>
    <n v="540.09"/>
    <n v="0.1"/>
    <n v="0.1"/>
    <s v="Valid"/>
    <n v="1458.24"/>
    <n v="943.32"/>
    <n v="514.91999999999996"/>
    <x v="0"/>
    <s v="Include"/>
    <s v=""/>
    <s v="Completed"/>
    <s v="Completed"/>
    <s v="Include"/>
  </r>
  <r>
    <s v="ORD-2024-10192"/>
    <n v="1"/>
    <s v=""/>
    <s v="19-10-2024"/>
    <d v="2024-10-19T00:00:00"/>
    <s v="2024-10-24"/>
    <d v="2024-10-24T00:00:00"/>
    <s v="Valid"/>
    <n v="5"/>
    <s v="Valid"/>
    <s v="CUST-7410"/>
    <s v="Sneha Kapoor"/>
    <s v="Sneha Kapoor"/>
    <s v="Small Business"/>
    <s v="Small Business"/>
    <x v="2"/>
    <s v="South"/>
    <s v="Tamil Nadu"/>
    <s v="Chennai"/>
    <s v="Furniture"/>
    <s v="Furniture"/>
    <s v="Bookcases"/>
    <s v="Prime Bookcases 602"/>
    <s v="Second Class"/>
    <s v="Second Class"/>
    <n v="6"/>
    <n v="4308.3999999999996"/>
    <n v="0.65"/>
    <n v="0.65"/>
    <s v="Valid"/>
    <n v="25850.400000000001"/>
    <n v="19397.68"/>
    <n v="6452.72"/>
    <x v="0"/>
    <s v="Include"/>
    <s v=""/>
    <s v="Completed"/>
    <s v="Completed"/>
    <s v="Include"/>
  </r>
  <r>
    <s v="ORD-2024-10193"/>
    <n v="1"/>
    <s v=""/>
    <s v="2024-12-09"/>
    <d v="2024-12-09T00:00:00"/>
    <s v="12/16/2024"/>
    <d v="2024-12-16T00:00:00"/>
    <s v="Valid"/>
    <n v="7"/>
    <s v="Valid"/>
    <s v="CUST-7115"/>
    <s v="Isha Nair"/>
    <s v="Isha Nair"/>
    <s v="Home Office"/>
    <s v="Home Office"/>
    <x v="3"/>
    <s v="West"/>
    <s v="Gujarat"/>
    <s v="Ahmedabad"/>
    <s v="Furniture"/>
    <s v="Furniture"/>
    <s v="Chairs"/>
    <s v="Eco Chairs 438"/>
    <s v="First Class"/>
    <s v="First Class"/>
    <n v="4"/>
    <n v="2191.0300000000002"/>
    <n v="0"/>
    <n v="0"/>
    <s v="Valid"/>
    <n v="8764.1200000000008"/>
    <n v="7220.05"/>
    <n v="1544.07"/>
    <x v="0"/>
    <s v="Include"/>
    <s v=""/>
    <s v="Completed"/>
    <s v="Completed"/>
    <s v="Include"/>
  </r>
  <r>
    <s v="ORD-2024-10194"/>
    <n v="1"/>
    <s v=""/>
    <s v="2024-06-23"/>
    <d v="2024-06-23T00:00:00"/>
    <s v="28-06-2024"/>
    <d v="2024-06-28T00:00:00"/>
    <s v="Valid"/>
    <n v="5"/>
    <s v="Valid"/>
    <s v="CUST-9853"/>
    <s v="Priya Menon"/>
    <s v="Priya Menon"/>
    <s v="Small Business"/>
    <s v="Small Business"/>
    <x v="0"/>
    <s v="North"/>
    <s v="Punjab"/>
    <s v="Ludhiana"/>
    <s v="Technology"/>
    <s v="Technology"/>
    <s v="Copiers"/>
    <s v="Prime Copiers 142"/>
    <s v="Same Day"/>
    <s v="Same Day"/>
    <n v="6"/>
    <n v="1956.63"/>
    <n v="0.2"/>
    <n v="0.2"/>
    <s v="Valid"/>
    <n v="9391.82"/>
    <n v="6013.22"/>
    <n v="3378.6"/>
    <x v="1"/>
    <s v="Include"/>
    <s v="Refunded Order"/>
    <s v="Returned"/>
    <s v="Returned"/>
    <s v="Include"/>
  </r>
  <r>
    <s v="ORD-2025-10195"/>
    <n v="1"/>
    <s v=""/>
    <s v="2025-01-28"/>
    <d v="2025-01-28T00:00:00"/>
    <s v="01/31/2025"/>
    <d v="2025-01-31T00:00:00"/>
    <s v="Valid"/>
    <n v="3"/>
    <s v="Valid"/>
    <s v="CUST-3637"/>
    <s v="Priya Menon"/>
    <s v="Priya Menon"/>
    <s v="Consumer"/>
    <s v="Consumer"/>
    <x v="3"/>
    <s v="West"/>
    <s v="Maharashtra"/>
    <s v="Mumbai"/>
    <s v="Furniture"/>
    <s v="Furniture"/>
    <s v="Furnishings"/>
    <s v="Prime Furnishings 433"/>
    <s v="First Class"/>
    <s v="First Class"/>
    <n v="9"/>
    <n v="858.39"/>
    <n v="0.05"/>
    <n v="0.05"/>
    <s v="Valid"/>
    <n v="7339.23"/>
    <n v="5434.12"/>
    <n v="1905.11"/>
    <x v="2"/>
    <s v="Include"/>
    <s v=""/>
    <s v="Returned"/>
    <s v="Returned"/>
    <s v="Include"/>
  </r>
  <r>
    <s v="ORD-2025-10196"/>
    <n v="1"/>
    <s v=""/>
    <s v="22 Jul 2025"/>
    <d v="2025-07-22T00:00:00"/>
    <s v="07/24/2025"/>
    <d v="2025-07-24T00:00:00"/>
    <s v="Valid"/>
    <n v="2"/>
    <s v="Valid"/>
    <s v="CUST-4328"/>
    <s v="Neha Gupta"/>
    <s v="Neha Gupta"/>
    <s v="Home Office"/>
    <s v="Home Office"/>
    <x v="2"/>
    <s v="South"/>
    <s v="Andhra Pradesh"/>
    <s v="Vijayawada"/>
    <s v="Furniture"/>
    <s v="Furniture"/>
    <s v="Furnishings"/>
    <s v="Smart Furnishings 685"/>
    <s v="Same Day"/>
    <s v="Same Day"/>
    <n v="5"/>
    <n v="1922.83"/>
    <n v="0"/>
    <n v="0"/>
    <s v="Valid"/>
    <n v="9614.15"/>
    <n v="7576.84"/>
    <n v="2037.31"/>
    <x v="0"/>
    <s v="Include"/>
    <s v=""/>
    <s v="Completed"/>
    <s v="Completed"/>
    <s v="Include"/>
  </r>
  <r>
    <s v="ORD-2024-10197"/>
    <n v="1"/>
    <s v=""/>
    <s v="22-01-2024"/>
    <d v="2024-01-22T00:00:00"/>
    <s v="25 Jan 2024"/>
    <d v="2024-01-25T00:00:00"/>
    <s v="Valid"/>
    <n v="3"/>
    <s v="Valid"/>
    <s v="CUST-8028"/>
    <s v="Kabir Singh"/>
    <s v="Kabir Singh"/>
    <s v="Home Office"/>
    <s v="Home Office"/>
    <x v="0"/>
    <s v="North"/>
    <s v="Uttar Pradesh"/>
    <s v="Noida"/>
    <s v="Office Supplies"/>
    <s v="Office Supplies"/>
    <s v="Storage"/>
    <s v="Elite Storage 915"/>
    <s v="First Class"/>
    <s v="First Class"/>
    <n v="3"/>
    <n v="1212.03"/>
    <n v="0.1"/>
    <n v="0.1"/>
    <s v="Valid"/>
    <n v="3272.48"/>
    <n v="2517.44"/>
    <n v="755.04"/>
    <x v="0"/>
    <s v="Include"/>
    <s v=""/>
    <s v="Completed"/>
    <s v="Completed"/>
    <s v="Include"/>
  </r>
  <r>
    <s v="ORD-2025-10198"/>
    <n v="1"/>
    <s v=""/>
    <s v="31 Mar 2025"/>
    <d v="2025-03-31T00:00:00"/>
    <s v="07-04-2025"/>
    <d v="2025-04-07T00:00:00"/>
    <s v="Valid"/>
    <n v="7"/>
    <s v="Valid"/>
    <s v="CUST-6106"/>
    <s v="Rahul Verma"/>
    <s v="Rahul Verma"/>
    <s v="Small  Business"/>
    <s v="Small Business"/>
    <x v="1"/>
    <s v="East"/>
    <s v="Bihar"/>
    <s v="Patna"/>
    <s v="Office Supplies"/>
    <s v="Office Supplies"/>
    <s v="Storage"/>
    <s v="Basic Storage 961"/>
    <s v="Second Class"/>
    <s v="Second Class"/>
    <n v="5"/>
    <n v="4096.4399999999996"/>
    <n v="0.15"/>
    <n v="0.15"/>
    <s v="Valid"/>
    <n v="17409.87"/>
    <n v="14076.25"/>
    <n v="3333.62"/>
    <x v="0"/>
    <s v="Include"/>
    <s v=""/>
    <s v="Completed"/>
    <s v="Completed"/>
    <s v="Include"/>
  </r>
  <r>
    <s v="ORD-2024-10199"/>
    <n v="1"/>
    <s v=""/>
    <s v="05-06-2024"/>
    <d v="2024-06-05T00:00:00"/>
    <s v="06/06/2024"/>
    <d v="2024-06-06T00:00:00"/>
    <s v="Valid"/>
    <n v="1"/>
    <s v="Valid"/>
    <s v="CUST-7820"/>
    <s v="Sneha Kapoor"/>
    <s v="Sneha Kapoor"/>
    <s v="Consumer"/>
    <s v="Consumer"/>
    <x v="3"/>
    <s v="West"/>
    <s v="Gujarat"/>
    <s v="Ahmedabad"/>
    <s v="Office Supplies"/>
    <s v="Office Supplies"/>
    <s v="Art"/>
    <s v="Classic Art 968"/>
    <s v="Second Class"/>
    <s v="Second Class"/>
    <n v="1"/>
    <n v="1184.58"/>
    <n v="0.05"/>
    <n v="0.05"/>
    <s v="Valid"/>
    <n v="1125.3499999999999"/>
    <n v="676.97"/>
    <n v="448.38"/>
    <x v="3"/>
    <s v="Exclude"/>
    <s v=""/>
    <s v="Cancelled"/>
    <s v="Cancelled"/>
    <s v="Exclude"/>
  </r>
  <r>
    <s v="ORD-2024-10200"/>
    <n v="1"/>
    <s v=""/>
    <s v="03/12/2024"/>
    <d v="2024-03-12T00:00:00"/>
    <s v="12-03-2024"/>
    <d v="2024-03-12T00:00:00"/>
    <s v="Valid"/>
    <n v="0"/>
    <s v="Valid"/>
    <s v="CUST-4536"/>
    <s v="Rahul Verma"/>
    <s v="Rahul Verma"/>
    <s v="Home Office"/>
    <s v="Home Office"/>
    <x v="1"/>
    <s v="East"/>
    <s v="Bihar"/>
    <s v="Patna"/>
    <s v="Technology"/>
    <s v="Technology"/>
    <s v="Machines"/>
    <s v="Prime Machines 806"/>
    <m/>
    <s v="Unknown"/>
    <n v="6"/>
    <n v="2185.58"/>
    <n v="0.25"/>
    <n v="0.25"/>
    <s v="Valid"/>
    <n v="9835.11"/>
    <n v="5437.64"/>
    <n v="4397.47"/>
    <x v="0"/>
    <s v="Include"/>
    <s v=""/>
    <s v="Completed"/>
    <s v="Completed"/>
    <s v="Include"/>
  </r>
  <r>
    <s v="ORD-2025-10201"/>
    <n v="1"/>
    <s v=""/>
    <s v="27-06-2025"/>
    <d v="2025-06-27T00:00:00"/>
    <s v="05 Jul 2025"/>
    <d v="2025-07-05T00:00:00"/>
    <s v="Valid"/>
    <n v="8"/>
    <s v="Valid"/>
    <s v="CUST-7047"/>
    <s v="Priya Menon"/>
    <s v="Priya Menon"/>
    <s v="Small Business"/>
    <s v="Small Business"/>
    <x v="0"/>
    <s v="North"/>
    <s v="Rajasthan"/>
    <s v="Jaipur"/>
    <s v="Technology"/>
    <s v="Technology"/>
    <s v="Copiers"/>
    <s v="Classic Copiers 479"/>
    <s v="First Class"/>
    <s v="First Class"/>
    <n v="5"/>
    <n v="2868.44"/>
    <n v="0.1"/>
    <n v="0.1"/>
    <s v="Valid"/>
    <n v="12907.98"/>
    <n v="9197.08"/>
    <n v="3710.9"/>
    <x v="2"/>
    <s v="Exclude"/>
    <s v=""/>
    <s v="Cancelled"/>
    <s v="Cancelled"/>
    <s v="Exclude"/>
  </r>
  <r>
    <s v="ORD-2025-10202"/>
    <n v="1"/>
    <s v=""/>
    <s v="26-07-2025"/>
    <d v="2025-07-26T00:00:00"/>
    <s v="08/03/2025"/>
    <d v="2025-08-03T00:00:00"/>
    <s v="Valid"/>
    <n v="8"/>
    <s v="Valid"/>
    <s v="CUST-8005"/>
    <s v="Vikram Iyer"/>
    <s v="Vikram Iyer"/>
    <s v="Consumer"/>
    <s v="Consumer"/>
    <x v="3"/>
    <s v="West"/>
    <s v="Madhya Pradesh"/>
    <s v="Indore"/>
    <s v="Office Supplies"/>
    <s v="Office Supplies"/>
    <s v="Labels"/>
    <s v="Basic Labels 511"/>
    <s v="Second Class"/>
    <s v="Second Class"/>
    <n v="2"/>
    <n v="2503.5300000000002"/>
    <n v="-0.16"/>
    <n v="-0.16"/>
    <s v="Invalid Discount"/>
    <n v="4756.71"/>
    <n v="2954.86"/>
    <n v="1801.85"/>
    <x v="1"/>
    <s v="Exclude"/>
    <s v="Refunded Order"/>
    <s v="Cancelled"/>
    <s v="Cancelled"/>
    <s v="Exclude"/>
  </r>
  <r>
    <s v="ORD-2025-10203"/>
    <n v="1"/>
    <s v=""/>
    <s v="2025-03-28"/>
    <d v="2025-03-28T00:00:00"/>
    <s v="28 Mar 2025"/>
    <d v="2025-03-28T00:00:00"/>
    <s v="Valid"/>
    <n v="0"/>
    <s v="Valid"/>
    <s v="CUST-9378"/>
    <s v="Sneha Kapoor"/>
    <s v="Sneha Kapoor"/>
    <s v="Corporate"/>
    <s v="Corporate"/>
    <x v="3"/>
    <s v="West"/>
    <s v="Goa"/>
    <s v="Panaji"/>
    <s v="Technology"/>
    <s v="Technology"/>
    <s v="Accessories"/>
    <s v="Prime Accessories 733"/>
    <s v="Standard Class"/>
    <s v="Standard Class"/>
    <n v="8"/>
    <n v="1740.94"/>
    <n v="0.05"/>
    <n v="0.05"/>
    <s v="Valid"/>
    <n v="13231.14"/>
    <n v="11290.06"/>
    <n v="1941.08"/>
    <x v="0"/>
    <s v="Include"/>
    <s v=""/>
    <s v="Completed"/>
    <s v="Completed"/>
    <s v="Include"/>
  </r>
  <r>
    <s v="ORD-2024-10204"/>
    <n v="1"/>
    <s v=""/>
    <s v="28 Mar 2024"/>
    <d v="2024-03-28T00:00:00"/>
    <s v="2024-03-30"/>
    <d v="2024-03-30T00:00:00"/>
    <s v="Valid"/>
    <n v="2"/>
    <s v="Valid"/>
    <s v="CUST-3384"/>
    <s v="Sneha Kapoor"/>
    <s v="Sneha Kapoor"/>
    <s v="Corporate"/>
    <s v="Corporate"/>
    <x v="3"/>
    <s v="West"/>
    <s v="Rajasthan"/>
    <s v="Udaipur"/>
    <s v="Technology"/>
    <s v="Technology"/>
    <s v="Accessories"/>
    <s v="Max Accessories 186"/>
    <s v="Second Class"/>
    <s v="Second Class"/>
    <n v="1"/>
    <n v="570.34"/>
    <n v="0.15"/>
    <n v="0.15"/>
    <s v="Valid"/>
    <n v="484.79"/>
    <n v="333.54"/>
    <n v="151.25"/>
    <x v="0"/>
    <s v="Include"/>
    <s v=""/>
    <s v="Completed"/>
    <s v="Completed"/>
    <s v="Include"/>
  </r>
  <r>
    <s v="ORD-2025-10205"/>
    <n v="1"/>
    <s v=""/>
    <s v="20-07-2025"/>
    <d v="2025-07-20T00:00:00"/>
    <s v="2025-07-23"/>
    <d v="2025-07-23T00:00:00"/>
    <s v="Valid"/>
    <n v="3"/>
    <s v="Valid"/>
    <s v="CUST-1986"/>
    <s v="Mira Das"/>
    <s v="Mira Das"/>
    <s v="Home Office"/>
    <s v="Home Office"/>
    <x v="1"/>
    <s v="East"/>
    <s v="West Bengal"/>
    <s v="Kolkata"/>
    <s v="Furniture"/>
    <s v="Furniture"/>
    <s v="Tables"/>
    <s v="Elite Tables 318"/>
    <s v="Second Class"/>
    <s v="Second Class"/>
    <n v="4"/>
    <n v="477.69"/>
    <n v="0.15"/>
    <n v="0.15"/>
    <s v="Valid"/>
    <n v="1624.15"/>
    <n v="1217.99"/>
    <n v="406.16"/>
    <x v="0"/>
    <s v="Include"/>
    <s v=""/>
    <s v="Completed"/>
    <s v="Completed"/>
    <s v="Include"/>
  </r>
  <r>
    <s v="ORD-2025-10206"/>
    <n v="1"/>
    <s v=""/>
    <s v="21-04-2025"/>
    <d v="2025-04-21T00:00:00"/>
    <s v="04/26/2025"/>
    <d v="2025-04-26T00:00:00"/>
    <s v="Valid"/>
    <n v="5"/>
    <s v="Valid"/>
    <s v="CUST-3338"/>
    <s v="Ananya Rao"/>
    <s v="Ananya Rao"/>
    <s v="Consumer"/>
    <s v="Consumer"/>
    <x v="3"/>
    <s v="West"/>
    <s v="Maharashtra"/>
    <s v="Mumbai"/>
    <s v="Office Supplies"/>
    <s v="Office Supplies"/>
    <s v="Labels"/>
    <s v="Smart Labels 354"/>
    <s v="Same Day"/>
    <s v="Same Day"/>
    <n v="6"/>
    <n v="873.59"/>
    <n v="0.2"/>
    <n v="0.2"/>
    <s v="Valid"/>
    <n v="4193.2299999999996"/>
    <n v="3329.99"/>
    <n v="863.24"/>
    <x v="0"/>
    <s v="Include"/>
    <s v=""/>
    <s v="Completed"/>
    <s v="Completed"/>
    <s v="Include"/>
  </r>
  <r>
    <s v="ORD-2025-10207"/>
    <n v="1"/>
    <s v=""/>
    <s v="05/18/2025"/>
    <d v="2025-05-18T00:00:00"/>
    <s v="20 May 2025"/>
    <d v="2025-05-20T00:00:00"/>
    <s v="Valid"/>
    <n v="2"/>
    <s v="Valid"/>
    <s v="CUST-2343"/>
    <s v="Diya Patel"/>
    <s v="Diya Patel"/>
    <s v="Small Business"/>
    <s v="Small Business"/>
    <x v="0"/>
    <s v="North"/>
    <s v="Uttar Pradesh"/>
    <s v="Noida"/>
    <s v="Furniture"/>
    <s v="Furniture"/>
    <s v="Furnishings"/>
    <s v="Pro Furnishings 981"/>
    <s v="First Class"/>
    <s v="First Class"/>
    <n v="2"/>
    <n v="215.13"/>
    <n v="0"/>
    <n v="0"/>
    <s v="Valid"/>
    <n v="430.26"/>
    <n v="286.38"/>
    <n v="143.88"/>
    <x v="0"/>
    <s v="Include"/>
    <s v=""/>
    <s v="Completed"/>
    <s v="Completed"/>
    <s v="Include"/>
  </r>
  <r>
    <s v="ORD-2024-10208"/>
    <n v="1"/>
    <s v=""/>
    <s v="10 Jul 2024"/>
    <d v="2024-07-10T00:00:00"/>
    <s v="2024-07-16"/>
    <d v="2024-07-16T00:00:00"/>
    <s v="Valid"/>
    <n v="6"/>
    <s v="Valid"/>
    <s v="CUST-3362"/>
    <s v="Aarav Sharma"/>
    <s v="Aarav Sharma"/>
    <s v="Home Office"/>
    <s v="Home Office"/>
    <x v="3"/>
    <s v="West"/>
    <s v="Goa"/>
    <s v="Panaji"/>
    <s v="Furniture"/>
    <s v="Furniture"/>
    <s v="Bookcases"/>
    <s v="Eco Bookcases 671"/>
    <s v="Second Class"/>
    <s v="Second Class"/>
    <n v="2"/>
    <n v="1095.45"/>
    <n v="0.2"/>
    <n v="0.2"/>
    <s v="Valid"/>
    <n v="1752.72"/>
    <n v="996.41"/>
    <n v="756.31"/>
    <x v="0"/>
    <s v="Include"/>
    <s v=""/>
    <s v="Completed"/>
    <s v="Completed"/>
    <s v="Include"/>
  </r>
  <r>
    <s v="ORD-2025-10209"/>
    <n v="1"/>
    <s v=""/>
    <s v="06/29/2025"/>
    <d v="2025-06-29T00:00:00"/>
    <s v="05-07-2025"/>
    <d v="2025-07-05T00:00:00"/>
    <s v="Valid"/>
    <n v="6"/>
    <s v="Valid"/>
    <s v="CUST-3662"/>
    <s v="Diya Patel"/>
    <s v="Diya Patel"/>
    <s v="Consumer"/>
    <s v="Consumer"/>
    <x v="0"/>
    <s v="North"/>
    <s v="Punjab"/>
    <s v="Ludhiana"/>
    <s v="Furniture"/>
    <s v="Furniture"/>
    <s v="Chairs"/>
    <s v="Max Chairs 151"/>
    <s v="Same Day"/>
    <s v="Same Day"/>
    <n v="1"/>
    <n v="999.83"/>
    <n v="0"/>
    <n v="0"/>
    <s v="Valid"/>
    <n v="999.83"/>
    <n v="634.91"/>
    <n v="364.92"/>
    <x v="0"/>
    <s v="Include"/>
    <s v=""/>
    <s v="Completed"/>
    <s v="Completed"/>
    <s v="Include"/>
  </r>
  <r>
    <s v="ORD-2025-10210"/>
    <n v="1"/>
    <s v=""/>
    <s v="08/13/2025"/>
    <d v="2025-08-13T00:00:00"/>
    <s v="08/14/2025"/>
    <d v="2025-08-14T00:00:00"/>
    <s v="Valid"/>
    <n v="1"/>
    <s v="Valid"/>
    <s v="CUST-4947"/>
    <s v="Rohan Mehta"/>
    <s v="Rohan Mehta"/>
    <s v="Small Business"/>
    <s v="Small Business"/>
    <x v="2"/>
    <s v="South"/>
    <s v="Andhra Pradesh"/>
    <s v="Vijayawada"/>
    <s v="Office Supplies"/>
    <s v="Office Supplies"/>
    <s v="Paper"/>
    <s v="Prime Paper 903"/>
    <s v="First Class"/>
    <s v="First Class"/>
    <n v="9"/>
    <n v="864.98"/>
    <n v="0.1"/>
    <n v="0.1"/>
    <s v="Valid"/>
    <n v="7006.34"/>
    <n v="4640.88"/>
    <n v="2365.46"/>
    <x v="0"/>
    <s v="Include"/>
    <s v=""/>
    <s v="Completed"/>
    <s v="Completed"/>
    <s v="Include"/>
  </r>
  <r>
    <s v="ORD-2024-10211"/>
    <n v="1"/>
    <s v=""/>
    <s v="03/15/2024"/>
    <d v="2024-03-15T00:00:00"/>
    <s v="18-03-2024"/>
    <d v="2024-03-18T00:00:00"/>
    <s v="Valid"/>
    <n v="3"/>
    <s v="Valid"/>
    <s v="CUST-3076"/>
    <s v="Kabir Singh"/>
    <s v="Kabir Singh"/>
    <s v="Home Office"/>
    <s v="Home Office"/>
    <x v="2"/>
    <s v="South"/>
    <s v="Karnataka"/>
    <s v="Bengaluru"/>
    <s v="Technology"/>
    <s v="Technology"/>
    <s v="Machines"/>
    <s v="Classic Machines 944"/>
    <s v="Second Class"/>
    <s v="Second Class"/>
    <n v="1"/>
    <n v="4131.3599999999997"/>
    <n v="0"/>
    <n v="0"/>
    <s v="Valid"/>
    <n v="4131.3599999999997"/>
    <n v="2937.07"/>
    <n v="1194.29"/>
    <x v="3"/>
    <s v="Exclude"/>
    <s v=""/>
    <s v="Returned"/>
    <s v="Returned"/>
    <s v="Include"/>
  </r>
  <r>
    <s v="ORD-2024-10212"/>
    <n v="1"/>
    <s v=""/>
    <s v="05/16/2024"/>
    <d v="2024-05-16T00:00:00"/>
    <s v="05/17/2024"/>
    <d v="2024-05-17T00:00:00"/>
    <s v="Valid"/>
    <n v="1"/>
    <s v="Valid"/>
    <s v="CUST-2222"/>
    <s v="Rohan Mehta"/>
    <s v="Rohan Mehta"/>
    <s v="Corporate"/>
    <s v="Corporate"/>
    <x v="1"/>
    <s v="East"/>
    <s v="West Bengal"/>
    <s v="Kolkata"/>
    <s v="Technology"/>
    <s v="Technology"/>
    <s v="Copiers"/>
    <s v="Basic Copiers 222"/>
    <s v="Second Class"/>
    <s v="Second Class"/>
    <n v="8"/>
    <n v="4221.95"/>
    <n v="0.2"/>
    <n v="0.2"/>
    <s v="Valid"/>
    <n v="27020.48"/>
    <n v="22885.24"/>
    <n v="4135.24"/>
    <x v="0"/>
    <s v="Include"/>
    <s v=""/>
    <s v="Completed"/>
    <s v="Completed"/>
    <s v="Include"/>
  </r>
  <r>
    <s v="ORD-2024-10213"/>
    <n v="1"/>
    <s v=""/>
    <s v="09/21/2024"/>
    <d v="2024-09-21T00:00:00"/>
    <s v="2024-09-21"/>
    <d v="2024-09-21T00:00:00"/>
    <s v="Valid"/>
    <n v="0"/>
    <s v="Valid"/>
    <s v="CUST-3610"/>
    <s v="Ananya Rao"/>
    <s v="Ananya Rao"/>
    <s v="Small Business"/>
    <s v="Small Business"/>
    <x v="1"/>
    <s v="East"/>
    <s v="Odisha"/>
    <s v="Bhubaneswar"/>
    <s v="Technology"/>
    <s v="Technology"/>
    <s v="Phones"/>
    <s v="Max Phones 329"/>
    <s v="Same Day"/>
    <s v="Same Day"/>
    <n v="2"/>
    <n v="214.5"/>
    <n v="0.15"/>
    <n v="0.15"/>
    <s v="Valid"/>
    <n v="364.65"/>
    <n v="280.74"/>
    <n v="83.91"/>
    <x v="0"/>
    <s v="Include"/>
    <s v=""/>
    <s v="Completed"/>
    <s v="Completed"/>
    <s v="Include"/>
  </r>
  <r>
    <s v="ORD-2024-10214"/>
    <n v="1"/>
    <s v=""/>
    <s v="15 May 2024"/>
    <d v="2024-05-15T00:00:00"/>
    <s v="21-05-2024"/>
    <d v="2024-05-21T00:00:00"/>
    <s v="Valid"/>
    <n v="6"/>
    <s v="Valid"/>
    <s v="CUST-9136"/>
    <s v="Isha Nair"/>
    <s v="Isha Nair"/>
    <s v="Small Business"/>
    <s v="Small Business"/>
    <x v="1"/>
    <s v="East"/>
    <s v="Bihar"/>
    <s v="Patna"/>
    <s v="Technology"/>
    <s v="Technology"/>
    <s v="Accessories"/>
    <s v="Classic Accessories 840"/>
    <s v="Second Class"/>
    <s v="Second Class"/>
    <n v="4"/>
    <n v="4332.7299999999996"/>
    <n v="0.2"/>
    <n v="0.2"/>
    <s v="Valid"/>
    <n v="13864.74"/>
    <n v="11294.06"/>
    <n v="2570.6799999999998"/>
    <x v="0"/>
    <s v="Include"/>
    <s v=""/>
    <s v="Completed"/>
    <s v="Completed"/>
    <s v="Include"/>
  </r>
  <r>
    <s v="ORD-2024-10215"/>
    <n v="1"/>
    <s v=""/>
    <s v="17 Mar 2024"/>
    <d v="2024-03-17T00:00:00"/>
    <s v="23-03-2024"/>
    <d v="2024-03-23T00:00:00"/>
    <s v="Valid"/>
    <n v="6"/>
    <s v="Valid"/>
    <s v="CUST-1301"/>
    <s v="Rahul Verma"/>
    <s v="Rahul Verma"/>
    <s v="Consumer"/>
    <s v="Consumer"/>
    <x v="0"/>
    <s v="North"/>
    <s v="Haryana"/>
    <s v="Gurugram"/>
    <s v="Technology"/>
    <s v="Technology"/>
    <s v="Accessories"/>
    <s v="Classic Accessories 757"/>
    <s v="First Class"/>
    <s v="First Class"/>
    <n v="3"/>
    <n v="248.18"/>
    <n v="0.05"/>
    <n v="0.05"/>
    <s v="Valid"/>
    <n v="707.31"/>
    <n v="569"/>
    <n v="138.31"/>
    <x v="0"/>
    <s v="Include"/>
    <s v=""/>
    <s v="Completed"/>
    <s v="Completed"/>
    <s v="Include"/>
  </r>
  <r>
    <s v="ORD-2024-10216"/>
    <n v="1"/>
    <s v=""/>
    <s v="01-03-2024"/>
    <d v="2024-03-01T00:00:00"/>
    <s v="2024-03-04"/>
    <d v="2024-03-04T00:00:00"/>
    <s v="Valid"/>
    <n v="3"/>
    <s v="Valid"/>
    <s v="CUST-8603"/>
    <s v="Mira Das"/>
    <s v="Mira Das"/>
    <s v="Consumer"/>
    <s v="Consumer"/>
    <x v="3"/>
    <s v="West"/>
    <s v="Madhya Pradesh"/>
    <s v="Indore"/>
    <s v="Office Supplies"/>
    <s v="Office Supplies"/>
    <s v="Paper"/>
    <s v="Prime Paper 286"/>
    <s v="First Class"/>
    <s v="First Class"/>
    <n v="8"/>
    <n v="3202.4"/>
    <n v="0.25"/>
    <n v="0.25"/>
    <s v="Valid"/>
    <n v="19214.400000000001"/>
    <n v="10916.01"/>
    <n v="8298.39"/>
    <x v="0"/>
    <s v="Include"/>
    <s v=""/>
    <s v="Completed"/>
    <s v="Completed"/>
    <s v="Include"/>
  </r>
  <r>
    <s v="ORD-2025-10217"/>
    <n v="1"/>
    <s v=""/>
    <s v="04/10/2025"/>
    <d v="2025-04-10T00:00:00"/>
    <s v="15 Apr 2025"/>
    <d v="2025-04-15T00:00:00"/>
    <s v="Valid"/>
    <n v="5"/>
    <s v="Valid"/>
    <s v="CUST-4330"/>
    <s v="Isha Nair"/>
    <s v="Isha Nair"/>
    <s v="Consumer"/>
    <s v="Consumer"/>
    <x v="3"/>
    <s v="West"/>
    <s v="Gujarat"/>
    <s v="Ahmedabad"/>
    <s v="Furniture"/>
    <s v="Furniture"/>
    <s v="Tables"/>
    <s v="Basic Tables 400"/>
    <s v="Standard Class"/>
    <s v="Standard Class"/>
    <n v="8"/>
    <n v="1839.87"/>
    <n v="0.25"/>
    <n v="0.25"/>
    <s v="Valid"/>
    <n v="11039.22"/>
    <n v="7642.91"/>
    <n v="3396.31"/>
    <x v="3"/>
    <s v="Exclude"/>
    <s v=""/>
    <s v="Returned"/>
    <s v="Returned"/>
    <s v="Include"/>
  </r>
  <r>
    <s v="ORD-2025-10218"/>
    <n v="1"/>
    <s v=""/>
    <s v="01-04-2025"/>
    <d v="2025-04-01T00:00:00"/>
    <s v="04/08/2025"/>
    <d v="2025-04-08T00:00:00"/>
    <s v="Valid"/>
    <n v="7"/>
    <s v="Valid"/>
    <s v="CUST-4533"/>
    <s v="Aditi Sen"/>
    <s v="Aditi Sen"/>
    <s v="Consumer"/>
    <s v="Consumer"/>
    <x v="1"/>
    <s v="East"/>
    <s v="Odisha"/>
    <s v="Bhubaneswar"/>
    <s v="Furniture"/>
    <s v="Furniture"/>
    <s v="Bookcases"/>
    <s v="Basic Bookcases 405"/>
    <s v="Second Class"/>
    <s v="Second Class"/>
    <n v="5"/>
    <n v="1021.28"/>
    <n v="0.1"/>
    <n v="0.1"/>
    <s v="Valid"/>
    <n v="4595.76"/>
    <n v="3396.8"/>
    <n v="1198.96"/>
    <x v="1"/>
    <s v="Exclude"/>
    <s v="Refunded Order"/>
    <s v="Cancelled"/>
    <s v="Cancelled"/>
    <s v="Exclude"/>
  </r>
  <r>
    <s v="ORD-2025-10219"/>
    <n v="1"/>
    <s v=""/>
    <s v="26 Feb 2025"/>
    <d v="2025-02-26T00:00:00"/>
    <s v="27-02-2025"/>
    <d v="2025-02-27T00:00:00"/>
    <s v="Valid"/>
    <n v="1"/>
    <s v="Valid"/>
    <s v="CUST-8270"/>
    <s v="Priya Menon"/>
    <s v="Priya Menon"/>
    <s v="Corporate"/>
    <s v="Corporate"/>
    <x v="3"/>
    <s v="West"/>
    <s v="Gujarat"/>
    <s v="Ahmedabad"/>
    <s v="Furniture"/>
    <s v="Furniture"/>
    <s v="Bookcases"/>
    <s v="Classic Bookcases 139"/>
    <s v="Standard Class"/>
    <s v="Standard Class"/>
    <n v="5"/>
    <n v="258.27999999999997"/>
    <n v="0"/>
    <n v="0"/>
    <s v="Valid"/>
    <n v="1291.4000000000001"/>
    <n v="756.93"/>
    <n v="534.47"/>
    <x v="0"/>
    <s v="Include"/>
    <s v=""/>
    <s v="Completed"/>
    <s v="Completed"/>
    <s v="Include"/>
  </r>
  <r>
    <s v="ORD-2024-10220"/>
    <n v="1"/>
    <s v=""/>
    <s v="2024-06-18"/>
    <d v="2024-06-18T00:00:00"/>
    <s v="06/19/2024"/>
    <d v="2024-06-19T00:00:00"/>
    <s v="Valid"/>
    <n v="1"/>
    <s v="Valid"/>
    <s v="CUST-1472"/>
    <s v="Rahul Verma"/>
    <s v="Rahul Verma"/>
    <s v="Consumer"/>
    <s v="Consumer"/>
    <x v="1"/>
    <s v="East"/>
    <s v="Bihar"/>
    <s v="Patna"/>
    <s v="Technology"/>
    <s v="Technology"/>
    <s v="Machines"/>
    <s v="Elite Machines 290"/>
    <s v="First Class"/>
    <s v="First Class"/>
    <n v="2"/>
    <n v="121.49"/>
    <s v="85%"/>
    <s v="85%"/>
    <s v="Valid"/>
    <n v="242.98"/>
    <n v="161.41999999999999"/>
    <n v="81.56"/>
    <x v="0"/>
    <s v="Include"/>
    <s v=""/>
    <s v="Completed"/>
    <s v="Completed"/>
    <s v="Include"/>
  </r>
  <r>
    <s v="ORD-2024-10221"/>
    <n v="1"/>
    <s v=""/>
    <s v="09/03/2024"/>
    <d v="2024-09-03T00:00:00"/>
    <s v="09/03/2024"/>
    <d v="2024-09-03T00:00:00"/>
    <s v="Valid"/>
    <n v="0"/>
    <s v="Valid"/>
    <s v="CUST-1031"/>
    <s v="Sneha Kapoor"/>
    <s v="Sneha Kapoor"/>
    <s v="Consumer"/>
    <s v="Consumer"/>
    <x v="2"/>
    <s v="South"/>
    <s v="Kerala"/>
    <s v="Kochi"/>
    <s v="Office Supplies"/>
    <s v="Office Supplies"/>
    <s v="Storage"/>
    <s v="Elite Storage 925"/>
    <s v="First Class"/>
    <s v="First Class"/>
    <n v="4"/>
    <n v="2810.17"/>
    <n v="0.15"/>
    <n v="0.15"/>
    <s v="Valid"/>
    <n v="9554.58"/>
    <n v="6068.47"/>
    <n v="3486.11"/>
    <x v="1"/>
    <s v="Exclude"/>
    <s v="Refunded Order"/>
    <s v="Cancelled"/>
    <s v="Cancelled"/>
    <s v="Exclude"/>
  </r>
  <r>
    <s v="ORD-2025-10222"/>
    <n v="1"/>
    <s v=""/>
    <s v="12-01-2025"/>
    <d v="2025-01-12T00:00:00"/>
    <s v="2025-01-15"/>
    <d v="2025-01-15T00:00:00"/>
    <s v="Valid"/>
    <n v="3"/>
    <s v="Valid"/>
    <s v="CUST-2495"/>
    <s v="Mira Das"/>
    <s v="Mira Das"/>
    <s v="Corporate"/>
    <s v="Corporate"/>
    <x v="2"/>
    <s v="South"/>
    <s v="Karnataka"/>
    <s v="Bengaluru"/>
    <s v="Furniture"/>
    <s v="Furniture"/>
    <s v="Chairs"/>
    <s v="Classic Chairs 231"/>
    <s v="Same Day"/>
    <s v="Same Day"/>
    <n v="4"/>
    <n v="1531.53"/>
    <n v="0.2"/>
    <n v="0.2"/>
    <s v="Valid"/>
    <n v="4900.8999999999996"/>
    <n v="3552.69"/>
    <n v="1348.21"/>
    <x v="0"/>
    <s v="Include"/>
    <s v=""/>
    <s v="Completed"/>
    <s v="Completed"/>
    <s v="Include"/>
  </r>
  <r>
    <s v="ORD-2025-10223"/>
    <n v="1"/>
    <s v=""/>
    <s v="04/29/2025"/>
    <d v="2025-04-29T00:00:00"/>
    <s v="02 May 2025"/>
    <d v="2025-05-02T00:00:00"/>
    <s v="Valid"/>
    <n v="3"/>
    <s v="Valid"/>
    <s v="CUST-4583"/>
    <s v="Vikram Iyer"/>
    <s v="Vikram Iyer"/>
    <s v="Small Business"/>
    <s v="Small Business"/>
    <x v="3"/>
    <s v="West"/>
    <s v="Goa"/>
    <s v="Panaji"/>
    <s v="Office Supplies"/>
    <s v="Office Supplies"/>
    <s v="Storage"/>
    <s v="Prime Storage 818"/>
    <s v="First Class"/>
    <s v="First Class"/>
    <n v="6"/>
    <n v="4308.09"/>
    <n v="0"/>
    <n v="0"/>
    <s v="Valid"/>
    <n v="25848.54"/>
    <n v="17729.09"/>
    <n v="8119.45"/>
    <x v="0"/>
    <s v="Include"/>
    <s v=""/>
    <s v="Completed"/>
    <s v="Completed"/>
    <s v="Include"/>
  </r>
  <r>
    <s v="ORD-2025-10224"/>
    <n v="1"/>
    <s v=""/>
    <s v="19-02-2025"/>
    <d v="2025-02-19T00:00:00"/>
    <s v="02/26/2025"/>
    <d v="2025-02-26T00:00:00"/>
    <s v="Valid"/>
    <n v="7"/>
    <s v="Valid"/>
    <s v="CUST-5319"/>
    <s v="Mira Das"/>
    <s v="Mira Das"/>
    <s v="Corporate"/>
    <s v="Corporate"/>
    <x v="3"/>
    <s v="West"/>
    <s v="Maharashtra"/>
    <s v="Mumbai"/>
    <s v="Furniture"/>
    <s v="Furniture"/>
    <s v="Furnishings"/>
    <s v="Elite Furnishings 449"/>
    <s v="First Class"/>
    <s v="First Class"/>
    <n v="3"/>
    <n v="490.3"/>
    <n v="0.2"/>
    <n v="0.2"/>
    <s v="Valid"/>
    <n v="1176.72"/>
    <n v="654.33000000000004"/>
    <n v="522.39"/>
    <x v="2"/>
    <s v="Include"/>
    <s v=""/>
    <s v="Returned"/>
    <s v="Returned"/>
    <s v="Include"/>
  </r>
  <r>
    <s v="ORD-2024-10273"/>
    <n v="2"/>
    <s v="Review Required"/>
    <s v="08/18/2024"/>
    <d v="2024-08-18T00:00:00"/>
    <s v="24 Aug 2024"/>
    <d v="2024-08-24T00:00:00"/>
    <s v="Valid"/>
    <n v="6"/>
    <s v="Valid"/>
    <s v="CUST-7389"/>
    <s v="Arjun Bose"/>
    <s v="Arjun Bose"/>
    <s v="Consumer"/>
    <s v="Consumer"/>
    <x v="2"/>
    <s v="South"/>
    <s v="Andhra Pradesh"/>
    <s v="Vijayawada"/>
    <s v="Furniture"/>
    <s v="Furniture"/>
    <s v="Chairs"/>
    <s v="Eco Chairs 314"/>
    <s v="First Class"/>
    <s v="First Class"/>
    <n v="7"/>
    <n v="557.21"/>
    <n v="0.1"/>
    <n v="0.1"/>
    <s v="Valid"/>
    <n v="3510.42"/>
    <n v="2191.5"/>
    <n v="1213.48"/>
    <x v="0"/>
    <s v="Include"/>
    <s v=""/>
    <s v="Completed"/>
    <s v="Completed"/>
    <s v="Include"/>
  </r>
  <r>
    <s v="ORD-2024-10226"/>
    <n v="1"/>
    <s v=""/>
    <s v="02 Sep 2024"/>
    <d v="2024-09-02T00:00:00"/>
    <s v="2024-09-10"/>
    <d v="2024-09-10T00:00:00"/>
    <s v="Valid"/>
    <n v="8"/>
    <s v="Valid"/>
    <s v="CUST-1266"/>
    <s v="Mira Das"/>
    <s v="Mira Das"/>
    <s v="Corporate"/>
    <s v="Corporate"/>
    <x v="3"/>
    <s v="West"/>
    <s v="Goa"/>
    <s v="Panaji"/>
    <s v="Technology"/>
    <s v="Technology"/>
    <s v="Phones"/>
    <s v="Classic Phones 548"/>
    <s v="Standard Class"/>
    <s v="Standard Class"/>
    <n v="6"/>
    <n v="1032.47"/>
    <n v="0.15"/>
    <n v="0.15"/>
    <s v="Valid"/>
    <n v="5265.6"/>
    <n v="4293.1099999999997"/>
    <n v="787.57"/>
    <x v="0"/>
    <s v="Include"/>
    <s v=""/>
    <s v="Completed"/>
    <s v="Completed"/>
    <s v="Include"/>
  </r>
  <r>
    <s v="ORD-2025-10227"/>
    <n v="1"/>
    <s v=""/>
    <s v="10-04-2025"/>
    <d v="2025-04-10T00:00:00"/>
    <s v="15 Apr 2025"/>
    <d v="2025-04-15T00:00:00"/>
    <s v="Valid"/>
    <n v="5"/>
    <s v="Valid"/>
    <s v="CUST-2545"/>
    <s v="Diya Patel"/>
    <s v="Diya Patel"/>
    <s v="Home Office"/>
    <s v="Home Office"/>
    <x v="4"/>
    <s v="Unknown"/>
    <s v="Kerala"/>
    <s v="Kochi"/>
    <s v="Technology"/>
    <s v="Technology"/>
    <s v="Copiers"/>
    <s v="Max Copiers 363"/>
    <s v="Same Day"/>
    <s v="Same Day"/>
    <n v="1"/>
    <n v="2208.27"/>
    <n v="0.1"/>
    <n v="0.1"/>
    <s v="Valid"/>
    <n v="1987.44"/>
    <n v="1110.23"/>
    <n v="877.21"/>
    <x v="0"/>
    <s v="Include"/>
    <s v=""/>
    <s v="Completed"/>
    <s v="Completed"/>
    <s v="Include"/>
  </r>
  <r>
    <s v="ORD-2024-10228"/>
    <n v="1"/>
    <s v=""/>
    <s v="2024-07-05"/>
    <d v="2024-07-05T00:00:00"/>
    <s v="12 Jul 2024"/>
    <d v="2024-07-12T00:00:00"/>
    <s v="Valid"/>
    <n v="7"/>
    <s v="Valid"/>
    <s v="CUST-2819"/>
    <s v="Ananya Rao"/>
    <s v="Ananya Rao"/>
    <s v="Small Business"/>
    <s v="Small Business"/>
    <x v="3"/>
    <s v="West"/>
    <s v="Goa"/>
    <s v="Panaji"/>
    <s v="Office Supplies"/>
    <s v="Office Supplies"/>
    <s v="Binders"/>
    <s v="Prime Binders 507"/>
    <s v="First Class"/>
    <s v="First Class"/>
    <n v="3"/>
    <n v="577.75"/>
    <n v="0.15"/>
    <n v="0.15"/>
    <s v="Valid"/>
    <n v="1473.26"/>
    <n v="899.86"/>
    <n v="573.4"/>
    <x v="0"/>
    <s v="Include"/>
    <s v=""/>
    <s v="Completed"/>
    <s v="Completed"/>
    <s v="Include"/>
  </r>
  <r>
    <s v="ORD-2024-10229"/>
    <n v="1"/>
    <s v=""/>
    <s v="24-04-2024"/>
    <d v="2024-04-24T00:00:00"/>
    <s v="28 Apr 2024"/>
    <d v="2024-04-28T00:00:00"/>
    <s v="Valid"/>
    <n v="4"/>
    <s v="Valid"/>
    <s v="CUST-1076"/>
    <s v="Karan Malhotra"/>
    <s v="Karan Malhotra"/>
    <s v="Small Business"/>
    <s v="Small Business"/>
    <x v="2"/>
    <s v="South"/>
    <s v="Telangana"/>
    <s v="Hyderabad"/>
    <s v="Office Supplies"/>
    <s v="Office Supplies"/>
    <s v="Labels"/>
    <s v="Smart Labels 914"/>
    <s v="Second Class"/>
    <s v="Second Class"/>
    <n v="1"/>
    <n v="3194.37"/>
    <n v="0.15"/>
    <n v="0.15"/>
    <s v="Valid"/>
    <n v="2715.21"/>
    <n v="1551.55"/>
    <n v="1163.6600000000001"/>
    <x v="0"/>
    <s v="Include"/>
    <s v=""/>
    <s v="Completed"/>
    <s v="Completed"/>
    <s v="Include"/>
  </r>
  <r>
    <s v="ORD-2025-10230"/>
    <n v="1"/>
    <s v=""/>
    <s v="2025-06-28"/>
    <d v="2025-06-28T00:00:00"/>
    <s v="07/04/2025"/>
    <d v="2025-07-04T00:00:00"/>
    <s v="Valid"/>
    <n v="6"/>
    <s v="Valid"/>
    <s v="CUST-1943"/>
    <s v="Rohan Mehta"/>
    <s v="Rohan Mehta"/>
    <s v="Consumer"/>
    <s v="Consumer"/>
    <x v="2"/>
    <s v="South"/>
    <s v="Telangana"/>
    <s v="Hyderabad"/>
    <s v="Furniture"/>
    <s v="Furniture"/>
    <s v="Bookcases"/>
    <s v="Smart Bookcases 662"/>
    <s v="First Class"/>
    <s v="First Class"/>
    <n v="3"/>
    <n v="2886.23"/>
    <n v="0"/>
    <n v="0"/>
    <s v="Valid"/>
    <n v="8658.69"/>
    <n v="5535.94"/>
    <n v="3122.75"/>
    <x v="1"/>
    <s v="Include"/>
    <s v="Refunded Order"/>
    <s v="Returned"/>
    <s v="Returned"/>
    <s v="Include"/>
  </r>
  <r>
    <s v="ORD-2024-10231"/>
    <n v="1"/>
    <s v=""/>
    <s v="28-05-2024"/>
    <d v="2024-05-28T00:00:00"/>
    <s v="03-06-2024"/>
    <d v="2024-06-03T00:00:00"/>
    <s v="Valid"/>
    <n v="6"/>
    <s v="Valid"/>
    <s v="CUST-3434"/>
    <s v="Neha Gupta"/>
    <s v="Neha Gupta"/>
    <s v="Small Business"/>
    <s v="Small Business"/>
    <x v="0"/>
    <s v="North"/>
    <s v="Rajasthan"/>
    <s v="Jaipur"/>
    <s v="Office Supplies"/>
    <s v="Office Supplies"/>
    <s v="Paper"/>
    <s v="Eco Paper 937"/>
    <s v="Standard Class"/>
    <s v="Standard Class"/>
    <n v="8"/>
    <n v="1540.33"/>
    <n v="0.1"/>
    <n v="0.1"/>
    <s v="Valid"/>
    <n v="11090.38"/>
    <n v="8840.9500000000007"/>
    <n v="2249.4299999999998"/>
    <x v="0"/>
    <s v="Include"/>
    <s v=""/>
    <s v="Completed"/>
    <s v="Completed"/>
    <s v="Include"/>
  </r>
  <r>
    <s v="ORD-2024-10232"/>
    <n v="1"/>
    <s v=""/>
    <s v="2024-05-02"/>
    <d v="2024-05-02T00:00:00"/>
    <s v="05/02/2024"/>
    <d v="2024-05-02T00:00:00"/>
    <s v="Valid"/>
    <n v="0"/>
    <s v="Valid"/>
    <s v="CUST-9139"/>
    <s v="Ananya Rao"/>
    <s v="Ananya Rao"/>
    <s v="Corporate"/>
    <s v="Corporate"/>
    <x v="0"/>
    <s v="North"/>
    <s v="Rajasthan"/>
    <s v="Jaipur"/>
    <s v="Office  Supplies"/>
    <s v="Office Supplies"/>
    <s v="Labels"/>
    <s v="Max Labels 370"/>
    <s v="First Class"/>
    <s v="First Class"/>
    <n v="7"/>
    <n v="2183.38"/>
    <n v="0.25"/>
    <n v="0.25"/>
    <s v="Valid"/>
    <n v="11462.74"/>
    <n v="7163.54"/>
    <n v="4299.2"/>
    <x v="1"/>
    <s v="Exclude"/>
    <s v="Refunded Order"/>
    <s v="Cancelled"/>
    <s v="Cancelled"/>
    <s v="Exclude"/>
  </r>
  <r>
    <s v="ORD-2025-10233"/>
    <n v="1"/>
    <s v=""/>
    <s v="2025-06-04"/>
    <d v="2025-06-04T00:00:00"/>
    <s v="2025-06-10"/>
    <d v="2025-06-10T00:00:00"/>
    <s v="Valid"/>
    <n v="6"/>
    <s v="Valid"/>
    <s v="CUST-5341"/>
    <s v="Rahul Verma"/>
    <s v="Rahul Verma"/>
    <s v="Consumer"/>
    <s v="Consumer"/>
    <x v="2"/>
    <s v="South"/>
    <s v="Andhra Pradesh"/>
    <s v="Vijayawada"/>
    <s v="Technology"/>
    <s v="Technology"/>
    <s v="Phones"/>
    <s v="Classic Phones 530"/>
    <s v="Standard Class"/>
    <s v="Standard Class"/>
    <n v="4"/>
    <n v="223.37"/>
    <n v="0.25"/>
    <n v="0.25"/>
    <s v="Valid"/>
    <n v="670.11"/>
    <n v="559.57000000000005"/>
    <n v="110.54"/>
    <x v="0"/>
    <s v="Include"/>
    <s v=""/>
    <s v="Completed"/>
    <s v="Completed"/>
    <s v="Include"/>
  </r>
  <r>
    <s v="ORD-2024-10234"/>
    <n v="1"/>
    <s v=""/>
    <s v="14-10-2024"/>
    <d v="2024-10-14T00:00:00"/>
    <s v="10/14/2024"/>
    <d v="2024-10-14T00:00:00"/>
    <s v="Valid"/>
    <n v="0"/>
    <s v="Valid"/>
    <s v="CUST-3710"/>
    <s v="Vikram Iyer"/>
    <s v="Vikram Iyer"/>
    <s v="Corporate"/>
    <s v="Corporate"/>
    <x v="2"/>
    <s v="South"/>
    <s v="Karnataka"/>
    <s v="Bengaluru"/>
    <s v="Furniture"/>
    <s v="Furniture"/>
    <s v="Bookcases"/>
    <s v="Smart Bookcases 328"/>
    <m/>
    <s v="Unknown"/>
    <n v="8"/>
    <n v="3904.59"/>
    <n v="0"/>
    <n v="0"/>
    <s v="Valid"/>
    <n v="31236.720000000001"/>
    <n v="26377.7"/>
    <n v="4859.0200000000004"/>
    <x v="0"/>
    <s v="Include"/>
    <s v=""/>
    <s v="Completed"/>
    <s v="Completed"/>
    <s v="Include"/>
  </r>
  <r>
    <s v="ORD-2024-10235"/>
    <n v="1"/>
    <s v=""/>
    <s v="09/02/2024"/>
    <d v="2024-09-02T00:00:00"/>
    <s v="03 Sep 2024"/>
    <d v="2024-09-03T00:00:00"/>
    <s v="Valid"/>
    <n v="1"/>
    <s v="Valid"/>
    <s v="CUST-9754"/>
    <s v="Kabir Singh"/>
    <s v="Kabir Singh"/>
    <s v="Home Office"/>
    <s v="Home Office"/>
    <x v="0"/>
    <s v="North"/>
    <s v="Delhi"/>
    <s v="New Delhi"/>
    <s v="Furniture"/>
    <s v="Furniture"/>
    <s v="Furnishings"/>
    <s v="Eco Furnishings 981"/>
    <s v="First Class"/>
    <s v="First Class"/>
    <n v="9"/>
    <n v="1353.61"/>
    <n v="0.1"/>
    <n v="0.1"/>
    <s v="Valid"/>
    <n v="10964.24"/>
    <n v="9262.4699999999993"/>
    <n v="1701.77"/>
    <x v="0"/>
    <s v="Include"/>
    <s v=""/>
    <s v="Completed"/>
    <s v="Completed"/>
    <s v="Include"/>
  </r>
  <r>
    <s v="ORD-2024-10236"/>
    <n v="1"/>
    <s v=""/>
    <s v="11/02/2024"/>
    <d v="2024-11-02T00:00:00"/>
    <s v="11/03/2024"/>
    <d v="2024-11-03T00:00:00"/>
    <s v="Valid"/>
    <n v="1"/>
    <s v="Valid"/>
    <s v="CUST-6256"/>
    <s v="Rahul Verma"/>
    <s v="Rahul Verma"/>
    <s v="Small Business"/>
    <s v="Small Business"/>
    <x v="3"/>
    <s v="West"/>
    <s v="Rajasthan"/>
    <s v="Udaipur"/>
    <s v="Office Supplies"/>
    <s v="Office Supplies"/>
    <s v="Storage"/>
    <s v="Basic Storage 195"/>
    <s v="Standard Class"/>
    <s v="Standard Class"/>
    <n v="6"/>
    <n v="2671.29"/>
    <n v="0.05"/>
    <n v="0.05"/>
    <s v="Valid"/>
    <n v="15226.35"/>
    <n v="11145.28"/>
    <n v="4081.07"/>
    <x v="0"/>
    <s v="Include"/>
    <s v=""/>
    <s v="Completed"/>
    <s v="Completed"/>
    <s v="Include"/>
  </r>
  <r>
    <s v="ORD-2024-10237"/>
    <n v="1"/>
    <s v=""/>
    <s v="10/14/2024"/>
    <d v="2024-10-14T00:00:00"/>
    <s v="21 Oct 2024"/>
    <d v="2024-10-21T00:00:00"/>
    <s v="Valid"/>
    <n v="7"/>
    <s v="Valid"/>
    <s v="CUST-7113"/>
    <s v="Priya Menon"/>
    <s v="Priya Menon"/>
    <s v="Corporate"/>
    <s v="Corporate"/>
    <x v="0"/>
    <s v="North"/>
    <s v="Uttar Pradesh"/>
    <s v="Noida"/>
    <s v="Furniture"/>
    <s v="Furniture"/>
    <s v="Bookcases"/>
    <s v="Elite Bookcases 907"/>
    <s v="First Class"/>
    <s v="First Class"/>
    <n v="6"/>
    <n v="4062.78"/>
    <n v="0"/>
    <n v="0"/>
    <s v="Valid"/>
    <n v="24376.68"/>
    <n v="18533.39"/>
    <n v="5843.29"/>
    <x v="0"/>
    <s v="Include"/>
    <s v=""/>
    <s v="Completed"/>
    <s v="Completed"/>
    <s v="Include"/>
  </r>
  <r>
    <s v="ORD-2024-10238"/>
    <n v="1"/>
    <s v=""/>
    <s v="2024-08-27"/>
    <d v="2024-08-27T00:00:00"/>
    <s v="2024-08-27"/>
    <d v="2024-08-27T00:00:00"/>
    <s v="Valid"/>
    <n v="0"/>
    <s v="Valid"/>
    <s v="CUST-3827"/>
    <s v="Mira Das"/>
    <s v="Mira Das"/>
    <s v="Consumer"/>
    <s v="Consumer"/>
    <x v="0"/>
    <s v="North"/>
    <s v="Haryana"/>
    <s v="Gurugram"/>
    <s v="Technology"/>
    <s v="Technology"/>
    <s v="Copiers"/>
    <s v="Smart Copiers 471"/>
    <s v="Standard Class"/>
    <s v="Standard Class"/>
    <n v="9"/>
    <n v="2330.3000000000002"/>
    <n v="0"/>
    <n v="0"/>
    <s v="Valid"/>
    <n v="20972.7"/>
    <n v="13504.88"/>
    <n v="7467.82"/>
    <x v="0"/>
    <s v="Include"/>
    <s v=""/>
    <s v="Completed"/>
    <s v="Completed"/>
    <s v="Include"/>
  </r>
  <r>
    <s v="ORD-2024-10239"/>
    <n v="1"/>
    <s v=""/>
    <s v="01/12/2024"/>
    <d v="2024-01-12T00:00:00"/>
    <s v="01/17/2024"/>
    <d v="2024-01-17T00:00:00"/>
    <s v="Valid"/>
    <n v="5"/>
    <s v="Valid"/>
    <s v="CUST-2375"/>
    <s v="Arjun Bose"/>
    <s v="Arjun Bose"/>
    <s v="Consumer"/>
    <s v="Consumer"/>
    <x v="2"/>
    <s v="South"/>
    <s v="Andhra Pradesh"/>
    <s v="Vijayawada"/>
    <s v="Office Supplies"/>
    <s v="Office Supplies"/>
    <s v="Storage"/>
    <s v="Prime Storage 625"/>
    <s v="First Class"/>
    <s v="First Class"/>
    <n v="7"/>
    <n v="4005.05"/>
    <n v="0.55000000000000004"/>
    <n v="0.55000000000000004"/>
    <s v="Valid"/>
    <n v="26633.58"/>
    <n v="18838.75"/>
    <n v="7794.83"/>
    <x v="0"/>
    <s v="Include"/>
    <s v=""/>
    <s v="Completed"/>
    <s v="Completed"/>
    <s v="Include"/>
  </r>
  <r>
    <s v="ORD-2024-10240"/>
    <n v="1"/>
    <s v=""/>
    <s v="21-09-2024"/>
    <d v="2024-09-21T00:00:00"/>
    <s v="09/21/2024"/>
    <d v="2024-09-21T00:00:00"/>
    <s v="Valid"/>
    <n v="0"/>
    <s v="Valid"/>
    <s v="CUST-2233"/>
    <s v="Kabir Singh"/>
    <s v="Kabir Singh"/>
    <s v="Corporate"/>
    <s v="Corporate"/>
    <x v="2"/>
    <s v="South"/>
    <s v="Karnataka"/>
    <s v="Bengaluru"/>
    <s v="Technology"/>
    <s v="Technology"/>
    <s v="Machines"/>
    <s v="Smart Machines 801"/>
    <s v="First Class"/>
    <s v="First Class"/>
    <n v="2"/>
    <n v="1960.06"/>
    <n v="0.2"/>
    <n v="0.2"/>
    <s v="Valid"/>
    <n v="3136.1"/>
    <n v="2279.4899999999998"/>
    <n v="856.61"/>
    <x v="0"/>
    <s v="Include"/>
    <s v=""/>
    <s v="Completed"/>
    <s v="Completed"/>
    <s v="Include"/>
  </r>
  <r>
    <s v="ORD-2024-10241"/>
    <n v="1"/>
    <s v=""/>
    <s v="17 Dec 2024"/>
    <d v="2024-12-17T00:00:00"/>
    <s v="23-12-2024"/>
    <d v="2024-12-23T00:00:00"/>
    <s v="Valid"/>
    <n v="6"/>
    <s v="Valid"/>
    <s v="CUST-9778"/>
    <s v="Aarav Sharma"/>
    <s v="Aarav Sharma"/>
    <s v="Corporate"/>
    <s v="Corporate"/>
    <x v="2"/>
    <s v="South"/>
    <s v="Telangana"/>
    <s v="Hyderabad"/>
    <s v="Office Supplies"/>
    <s v="Office Supplies"/>
    <s v="Binders"/>
    <s v="Max Binders 170"/>
    <s v="First Class"/>
    <s v="First Class"/>
    <n v="9"/>
    <n v="2315.1"/>
    <n v="0"/>
    <n v="0"/>
    <s v="Valid"/>
    <n v="20835.900000000001"/>
    <n v="13928.19"/>
    <n v="6907.71"/>
    <x v="0"/>
    <s v="Include"/>
    <s v=""/>
    <s v="Completed"/>
    <s v="Completed"/>
    <s v="Include"/>
  </r>
  <r>
    <s v="ORD-2025-10242"/>
    <n v="1"/>
    <s v=""/>
    <s v="07/06/2025"/>
    <d v="2025-07-06T00:00:00"/>
    <s v="06-07-2025"/>
    <d v="2025-07-06T00:00:00"/>
    <s v="Valid"/>
    <n v="0"/>
    <s v="Valid"/>
    <s v="CUST-6949"/>
    <s v="Sneha Kapoor"/>
    <s v="Sneha Kapoor"/>
    <s v="Corporate"/>
    <s v="Corporate"/>
    <x v="0"/>
    <s v="North"/>
    <s v="Haryana"/>
    <s v="Gurugram"/>
    <s v="Office Supplies"/>
    <s v="Office Supplies"/>
    <s v="Storage"/>
    <s v="Basic Storage 737"/>
    <s v="Standard Class"/>
    <s v="Standard Class"/>
    <n v="1"/>
    <n v="1617.2"/>
    <n v="0.25"/>
    <n v="0.25"/>
    <s v="Valid"/>
    <n v="1212.9000000000001"/>
    <n v="690.52"/>
    <n v="522.38"/>
    <x v="2"/>
    <s v="Include"/>
    <s v=""/>
    <s v="Returned"/>
    <s v="Returned"/>
    <s v="Include"/>
  </r>
  <r>
    <s v="ORD-2025-10243"/>
    <n v="1"/>
    <s v=""/>
    <s v="07 Feb 2025"/>
    <d v="2025-02-07T00:00:00"/>
    <s v="2025-02-07"/>
    <d v="2025-02-07T00:00:00"/>
    <s v="Valid"/>
    <n v="0"/>
    <s v="Valid"/>
    <s v="CUST-3430"/>
    <s v="Arjun Bose"/>
    <s v="Arjun Bose"/>
    <s v="Consumer"/>
    <s v="Consumer"/>
    <x v="0"/>
    <s v="North"/>
    <s v="Uttar Pradesh"/>
    <s v="Noida"/>
    <s v="Office Supplies"/>
    <s v="Office Supplies"/>
    <s v="Art"/>
    <s v="Classic Art 126"/>
    <s v="Second Class"/>
    <s v="Second Class"/>
    <n v="3"/>
    <n v="1999.24"/>
    <n v="0.05"/>
    <n v="0.05"/>
    <s v="Valid"/>
    <n v="5697.83"/>
    <n v="4251.5"/>
    <n v="1446.33"/>
    <x v="0"/>
    <s v="Include"/>
    <s v=""/>
    <s v="Completed"/>
    <s v="Completed"/>
    <s v="Include"/>
  </r>
  <r>
    <s v="ORD-2025-10244"/>
    <n v="1"/>
    <s v=""/>
    <s v="29-07-2025"/>
    <d v="2025-07-29T00:00:00"/>
    <s v="02 Aug 2025"/>
    <d v="2025-08-02T00:00:00"/>
    <s v="Valid"/>
    <n v="4"/>
    <s v="Valid"/>
    <s v="CUST-6310"/>
    <s v="Sneha Kapoor"/>
    <s v="Sneha Kapoor"/>
    <s v="Small Business"/>
    <s v="Small Business"/>
    <x v="4"/>
    <s v="Unknown"/>
    <s v="Madhya Pradesh"/>
    <s v="Indore"/>
    <s v="Technology"/>
    <s v="Technology"/>
    <s v="Accessories"/>
    <s v="Prime Accessories 243"/>
    <s v="First Class"/>
    <s v="First Class"/>
    <n v="1"/>
    <n v="4499.46"/>
    <n v="0.1"/>
    <n v="0.1"/>
    <s v="Valid"/>
    <n v="4049.51"/>
    <n v="2509.1999999999998"/>
    <n v="1540.31"/>
    <x v="0"/>
    <s v="Include"/>
    <s v=""/>
    <s v="Completed"/>
    <s v="Completed"/>
    <s v="Include"/>
  </r>
  <r>
    <s v="ORD-2024-10245"/>
    <n v="1"/>
    <s v=""/>
    <s v="08/23/2024"/>
    <d v="2024-08-23T00:00:00"/>
    <s v="2024-08-24"/>
    <d v="2024-08-24T00:00:00"/>
    <s v="Valid"/>
    <n v="1"/>
    <s v="Valid"/>
    <s v="CUST-6008"/>
    <s v="Neha Gupta"/>
    <s v="Neha Gupta"/>
    <s v="Consumer"/>
    <s v="Consumer"/>
    <x v="2"/>
    <s v="South"/>
    <s v="Telangana"/>
    <s v="Hyderabad"/>
    <s v="Furniture"/>
    <s v="Furniture"/>
    <s v="Bookcases"/>
    <s v="Eco Bookcases 768"/>
    <s v="Same Day"/>
    <s v="Same Day"/>
    <n v="6"/>
    <n v="1021.89"/>
    <n v="0"/>
    <n v="0"/>
    <s v="Valid"/>
    <n v="6131.34"/>
    <n v="4060.88"/>
    <n v="2070.46"/>
    <x v="0"/>
    <s v="Include"/>
    <s v=""/>
    <s v="Completed"/>
    <s v="Completed"/>
    <s v="Include"/>
  </r>
  <r>
    <s v="ORD-2024-10246"/>
    <n v="1"/>
    <s v=""/>
    <s v="10/18/2024"/>
    <d v="2024-10-18T00:00:00"/>
    <s v="24-10-2024"/>
    <d v="2024-10-24T00:00:00"/>
    <s v="Valid"/>
    <n v="6"/>
    <s v="Valid"/>
    <s v="CUST-1704"/>
    <s v="Neha Gupta"/>
    <s v="Neha Gupta"/>
    <s v="Home Office"/>
    <s v="Home Office"/>
    <x v="2"/>
    <s v="South"/>
    <s v="Kerala"/>
    <s v="Kochi"/>
    <s v="Furniture"/>
    <s v="Furniture"/>
    <s v="Chairs"/>
    <s v="Pro Chairs 316"/>
    <s v="Second Class"/>
    <s v="Second Class"/>
    <n v="3"/>
    <n v="3275.93"/>
    <n v="0"/>
    <n v="0"/>
    <s v="Valid"/>
    <n v="9827.7900000000009"/>
    <n v="5478.28"/>
    <n v="4349.51"/>
    <x v="0"/>
    <s v="Include"/>
    <s v=""/>
    <s v="Completed"/>
    <s v="Completed"/>
    <s v="Include"/>
  </r>
  <r>
    <s v="ORD-2024-10247"/>
    <n v="1"/>
    <s v=""/>
    <s v="04 May 2024"/>
    <d v="2024-05-04T00:00:00"/>
    <s v="09 May 2024"/>
    <d v="2024-05-09T00:00:00"/>
    <s v="Valid"/>
    <n v="5"/>
    <s v="Valid"/>
    <s v="CUST-1827"/>
    <s v="Ananya Rao"/>
    <s v="Ananya Rao"/>
    <s v="Corporate"/>
    <s v="Corporate"/>
    <x v="0"/>
    <s v="North"/>
    <s v="Punjab"/>
    <s v="Ludhiana"/>
    <s v="Technology"/>
    <s v="Technology"/>
    <s v="Machines"/>
    <s v="Classic Machines 819"/>
    <s v="Same Day"/>
    <s v="Same Day"/>
    <n v="3"/>
    <n v="231.95"/>
    <n v="0.25"/>
    <n v="0.25"/>
    <s v="Valid"/>
    <n v="521.89"/>
    <n v="444.52"/>
    <n v="77.37"/>
    <x v="1"/>
    <s v="Exclude"/>
    <s v="Refunded Order"/>
    <s v="Cancelled"/>
    <s v="Cancelled"/>
    <s v="Exclude"/>
  </r>
  <r>
    <s v="ORD-2024-10248"/>
    <n v="1"/>
    <s v=""/>
    <s v="07/25/2024"/>
    <d v="2024-07-25T00:00:00"/>
    <s v="01 Aug 2024"/>
    <d v="2024-08-01T00:00:00"/>
    <s v="Valid"/>
    <n v="7"/>
    <s v="Valid"/>
    <s v="CUST-6663"/>
    <s v="Rahul Verma"/>
    <s v="Rahul Verma"/>
    <s v="Corporate"/>
    <s v="Corporate"/>
    <x v="0"/>
    <s v="North"/>
    <s v="Rajasthan"/>
    <s v="Jaipur"/>
    <s v="Technology"/>
    <s v="Technology"/>
    <s v="Accessories"/>
    <s v="Smart Accessories 572"/>
    <s v="Second Class"/>
    <s v="Second Class"/>
    <n v="8"/>
    <n v="2493.4"/>
    <n v="0.25"/>
    <n v="0.25"/>
    <s v="Valid"/>
    <n v="14960.4"/>
    <n v="12500.84"/>
    <n v="2459.56"/>
    <x v="0"/>
    <s v="Include"/>
    <s v=""/>
    <s v="Completed"/>
    <s v="Completed"/>
    <s v="Include"/>
  </r>
  <r>
    <s v="ORD-2024-10249"/>
    <n v="1"/>
    <s v=""/>
    <s v="06/02/2024"/>
    <d v="2024-06-02T00:00:00"/>
    <s v="07-06-2024"/>
    <d v="2024-06-07T00:00:00"/>
    <s v="Valid"/>
    <n v="5"/>
    <s v="Valid"/>
    <s v="CUST-6278"/>
    <s v="Rohan Mehta"/>
    <s v="Rohan Mehta"/>
    <s v="Home Office"/>
    <s v="Home Office"/>
    <x v="1"/>
    <s v="East"/>
    <s v="Odisha"/>
    <s v="Bhubaneswar"/>
    <s v="Office Supplies"/>
    <s v="Office Supplies"/>
    <s v="Labels"/>
    <s v="Basic Labels 432"/>
    <s v="Second Class"/>
    <s v="Second Class"/>
    <n v="9"/>
    <n v="787.91"/>
    <n v="0.15"/>
    <n v="0.15"/>
    <s v="Valid"/>
    <n v="6027.51"/>
    <n v="4883.82"/>
    <n v="1143.69"/>
    <x v="0"/>
    <s v="Include"/>
    <s v=""/>
    <s v="Completed"/>
    <s v="Completed"/>
    <s v="Include"/>
  </r>
  <r>
    <s v="ORD-2025-10250"/>
    <n v="1"/>
    <s v=""/>
    <s v="08/01/2025"/>
    <d v="2025-08-01T00:00:00"/>
    <s v="08/02/2025"/>
    <d v="2025-08-02T00:00:00"/>
    <s v="Valid"/>
    <n v="1"/>
    <s v="Valid"/>
    <s v="CUST-2305"/>
    <s v="Mira Das"/>
    <s v="Mira Das"/>
    <s v="Corporate"/>
    <s v="Corporate"/>
    <x v="0"/>
    <s v="North"/>
    <s v="Rajasthan"/>
    <s v="Jaipur"/>
    <s v="Furniture"/>
    <s v="Furniture"/>
    <s v="Furnishings"/>
    <s v="Classic Furnishings 378"/>
    <s v="First Class"/>
    <s v="First Class"/>
    <n v="4"/>
    <n v="2790.29"/>
    <n v="0.2"/>
    <n v="0.2"/>
    <s v="Valid"/>
    <n v="8928.93"/>
    <n v="5634.38"/>
    <n v="3294.55"/>
    <x v="0"/>
    <s v="Include"/>
    <s v=""/>
    <s v="Completed"/>
    <s v="Completed"/>
    <s v="Include"/>
  </r>
  <r>
    <s v="ORD-2024-10251"/>
    <n v="1"/>
    <s v=""/>
    <s v="02/21/2024"/>
    <d v="2024-02-21T00:00:00"/>
    <s v="02/27/2024"/>
    <d v="2024-02-27T00:00:00"/>
    <s v="Valid"/>
    <n v="6"/>
    <s v="Valid"/>
    <s v="CUST-5351"/>
    <s v="Arjun Bose"/>
    <s v="Arjun Bose"/>
    <s v="Small Business"/>
    <s v="Small Business"/>
    <x v="1"/>
    <s v="East"/>
    <s v="West Bengal"/>
    <s v="Kolkata"/>
    <s v="Furniture"/>
    <s v="Furniture"/>
    <s v="Furnishings"/>
    <s v="Prime Furnishings 781"/>
    <s v="Standard Class"/>
    <s v="Standard Class"/>
    <n v="5"/>
    <n v="3373.86"/>
    <n v="0.15"/>
    <n v="0.15"/>
    <s v="Valid"/>
    <n v="14338.9"/>
    <n v="11897.65"/>
    <n v="2441.25"/>
    <x v="2"/>
    <s v="Include"/>
    <s v=""/>
    <s v="Returned"/>
    <s v="Returned"/>
    <s v="Include"/>
  </r>
  <r>
    <s v="ORD-2025-10252"/>
    <n v="1"/>
    <s v=""/>
    <s v="2025-04-06"/>
    <d v="2025-04-06T00:00:00"/>
    <s v="04/10/2025"/>
    <d v="2025-04-10T00:00:00"/>
    <s v="Valid"/>
    <n v="4"/>
    <s v="Valid"/>
    <s v="CUST-6268"/>
    <s v="Ananya Rao"/>
    <s v="Ananya Rao"/>
    <s v="Corporate"/>
    <s v="Corporate"/>
    <x v="3"/>
    <s v="West"/>
    <s v="Gujarat"/>
    <s v="Ahmedabad"/>
    <s v="Furniture"/>
    <s v="Furniture"/>
    <s v="Tables"/>
    <s v="Prime Tables 263"/>
    <s v="Second Class"/>
    <s v="Second Class"/>
    <n v="6"/>
    <n v="1022.16"/>
    <n v="0"/>
    <n v="0"/>
    <s v="Valid"/>
    <n v="6132.96"/>
    <n v="4881.1000000000004"/>
    <n v="1251.8599999999999"/>
    <x v="0"/>
    <s v="Include"/>
    <s v=""/>
    <s v="Completed"/>
    <s v="Completed"/>
    <s v="Include"/>
  </r>
  <r>
    <s v="ORD-2025-10253"/>
    <n v="1"/>
    <s v=""/>
    <s v="25-06-2025"/>
    <d v="2025-06-25T00:00:00"/>
    <s v="2025-06-28"/>
    <d v="2025-06-28T00:00:00"/>
    <s v="Valid"/>
    <n v="3"/>
    <s v="Valid"/>
    <s v="CUST-2103"/>
    <s v="Arjun Bose"/>
    <s v="Arjun Bose"/>
    <s v="Corporate"/>
    <s v="Corporate"/>
    <x v="0"/>
    <s v="North"/>
    <s v="Haryana"/>
    <s v="Gurugram"/>
    <s v="Office Supplies"/>
    <s v="Office Supplies"/>
    <s v="Storage"/>
    <s v="Basic Storage 269"/>
    <s v="First Class"/>
    <s v="First Class"/>
    <n v="2"/>
    <n v="1455.92"/>
    <n v="0.2"/>
    <n v="0.2"/>
    <s v="Valid"/>
    <n v="2329.4699999999998"/>
    <n v="1603.62"/>
    <n v="725.85"/>
    <x v="2"/>
    <s v="Include"/>
    <s v=""/>
    <s v="Returned"/>
    <s v="Returned"/>
    <s v="Include"/>
  </r>
  <r>
    <s v="ORD-2024-10254"/>
    <n v="1"/>
    <s v=""/>
    <s v="2024-09-12"/>
    <d v="2024-09-12T00:00:00"/>
    <s v="09/13/2024"/>
    <d v="2024-09-13T00:00:00"/>
    <s v="Valid"/>
    <n v="1"/>
    <s v="Valid"/>
    <s v="CUST-5394"/>
    <s v="Priya Menon"/>
    <s v="Priya Menon"/>
    <s v="Small Business"/>
    <s v="Small Business"/>
    <x v="0"/>
    <s v="North"/>
    <s v="Rajasthan"/>
    <s v="Jaipur"/>
    <s v="Technology"/>
    <s v="Technology"/>
    <s v="Phones"/>
    <s v="Classic Phones 442"/>
    <s v="Same Day"/>
    <s v="Same Day"/>
    <n v="6"/>
    <n v="832.79"/>
    <n v="0.05"/>
    <n v="0.05"/>
    <s v="Valid"/>
    <n v="4746.8999999999996"/>
    <n v="2825.38"/>
    <n v="1472.89"/>
    <x v="1"/>
    <s v="Exclude"/>
    <s v="Refunded Order"/>
    <s v="Cancelled"/>
    <s v="Cancelled"/>
    <s v="Exclude"/>
  </r>
  <r>
    <s v="ORD-2025-10255"/>
    <n v="1"/>
    <s v=""/>
    <s v="01/01/2025"/>
    <d v="2025-01-01T00:00:00"/>
    <s v="03-01-2025"/>
    <d v="2025-01-03T00:00:00"/>
    <s v="Valid"/>
    <n v="2"/>
    <s v="Valid"/>
    <s v="CUST-6853"/>
    <s v="Ananya Rao"/>
    <s v="Ananya Rao"/>
    <s v="Consumer"/>
    <s v="Consumer"/>
    <x v="3"/>
    <s v="West"/>
    <s v="Madhya Pradesh"/>
    <s v="Indore"/>
    <s v="Technology"/>
    <s v="Technology"/>
    <s v="Accessories"/>
    <s v="Elite Accessories 978"/>
    <s v="Same Day"/>
    <s v="Same Day"/>
    <n v="7"/>
    <n v="1000.55"/>
    <n v="0.2"/>
    <n v="0.2"/>
    <s v="Valid"/>
    <n v="5603.08"/>
    <n v="3132.52"/>
    <n v="2470.56"/>
    <x v="0"/>
    <s v="Include"/>
    <s v=""/>
    <s v="Returned"/>
    <s v="Returned"/>
    <s v="Include"/>
  </r>
  <r>
    <s v="ORD-2025-10256"/>
    <n v="1"/>
    <s v=""/>
    <s v="2025-02-04"/>
    <d v="2025-02-04T00:00:00"/>
    <s v="02/10/2025"/>
    <d v="2025-02-10T00:00:00"/>
    <s v="Valid"/>
    <n v="6"/>
    <s v="Valid"/>
    <s v="CUST-1549"/>
    <s v="Isha Nair"/>
    <s v="Isha Nair"/>
    <s v="Corporate"/>
    <s v="Corporate"/>
    <x v="3"/>
    <s v="West"/>
    <s v="Maharashtra"/>
    <s v="Mumbai"/>
    <s v="Technology"/>
    <s v="Technology"/>
    <s v="Phones"/>
    <s v="Eco Phones 132"/>
    <s v="First Class"/>
    <s v="First Class"/>
    <n v="7"/>
    <n v="1830"/>
    <n v="0"/>
    <n v="0"/>
    <s v="Valid"/>
    <n v="12810"/>
    <n v="9334.1200000000008"/>
    <n v="3475.88"/>
    <x v="0"/>
    <s v="Include"/>
    <s v=""/>
    <s v="Completed"/>
    <s v="Completed"/>
    <s v="Include"/>
  </r>
  <r>
    <s v="ORD-2024-10257"/>
    <n v="1"/>
    <s v=""/>
    <s v="2024-11-05"/>
    <d v="2024-11-05T00:00:00"/>
    <s v="03 Nov 2024"/>
    <d v="2024-11-03T00:00:00"/>
    <s v="Invalid Shipping Record"/>
    <n v="-2"/>
    <s v="Invalid Shipping Record"/>
    <s v="CUST-8411"/>
    <s v="Ananya Rao"/>
    <s v="Ananya Rao"/>
    <s v="Consumer"/>
    <s v="Consumer"/>
    <x v="1"/>
    <s v="East"/>
    <s v="West Bengal"/>
    <s v="Kolkata"/>
    <s v="Furniture"/>
    <s v="Furniture"/>
    <s v="Tables"/>
    <s v="Prime Tables 481"/>
    <s v="First Class"/>
    <s v="First Class"/>
    <n v="9"/>
    <n v="2260.61"/>
    <n v="0.05"/>
    <n v="0.05"/>
    <s v="Valid"/>
    <n v="19328.22"/>
    <n v="12039.5"/>
    <n v="7288.72"/>
    <x v="0"/>
    <s v="Include"/>
    <s v=""/>
    <s v="Completed"/>
    <s v="Completed"/>
    <s v="Include"/>
  </r>
  <r>
    <s v="ORD-2025-10258"/>
    <n v="1"/>
    <s v=""/>
    <s v="2025-08-09"/>
    <d v="2025-08-09T00:00:00"/>
    <s v="2025-08-12"/>
    <d v="2025-08-12T00:00:00"/>
    <s v="Valid"/>
    <n v="3"/>
    <s v="Valid"/>
    <s v="CUST-5615"/>
    <s v="Diya Patel"/>
    <s v="Diya Patel"/>
    <s v="Corporate"/>
    <s v="Corporate"/>
    <x v="2"/>
    <s v="South"/>
    <s v="Karnataka"/>
    <s v="Bengaluru"/>
    <s v="Technology"/>
    <s v="Technology"/>
    <s v="Accessories"/>
    <s v="Smart Accessories 180"/>
    <s v="Second Class"/>
    <s v="Second Class"/>
    <n v="2"/>
    <n v="3237.27"/>
    <n v="0"/>
    <n v="0"/>
    <s v="Valid"/>
    <n v="6474.54"/>
    <n v="5095.91"/>
    <n v="1378.63"/>
    <x v="0"/>
    <s v="Exclude"/>
    <s v=""/>
    <s v="Cancelled"/>
    <s v="Cancelled"/>
    <s v="Exclude"/>
  </r>
  <r>
    <s v="ORD-2024-10259"/>
    <n v="1"/>
    <s v=""/>
    <s v="2024-12-30"/>
    <d v="2024-12-30T00:00:00"/>
    <s v="2025-01-04"/>
    <d v="2025-01-04T00:00:00"/>
    <s v="Valid"/>
    <n v="5"/>
    <s v="Valid"/>
    <s v="CUST-8467"/>
    <s v="Sneha Kapoor"/>
    <s v="Sneha Kapoor"/>
    <s v="Corporate"/>
    <s v="Corporate"/>
    <x v="2"/>
    <s v="South"/>
    <s v="Tamil Nadu"/>
    <s v="Chennai"/>
    <s v="Furniture"/>
    <s v="Furniture"/>
    <s v="Tables"/>
    <s v="Smart Tables 774"/>
    <s v="Same Day"/>
    <s v="Same Day"/>
    <n v="2"/>
    <n v="3720.07"/>
    <n v="0.25"/>
    <n v="0.25"/>
    <s v="Valid"/>
    <n v="5580.11"/>
    <n v="4307.01"/>
    <n v="1273.0999999999999"/>
    <x v="0"/>
    <s v="Include"/>
    <s v=""/>
    <s v="Completed"/>
    <s v="Completed"/>
    <s v="Include"/>
  </r>
  <r>
    <s v="ORD-2024-10260"/>
    <n v="1"/>
    <s v=""/>
    <s v="06/21/2024"/>
    <d v="2024-06-21T00:00:00"/>
    <s v="29 Jun 2024"/>
    <d v="2024-06-29T00:00:00"/>
    <s v="Valid"/>
    <n v="8"/>
    <s v="Valid"/>
    <s v="CUST-5174"/>
    <s v="Neha Gupta"/>
    <s v="Neha Gupta"/>
    <s v="Consumer"/>
    <s v="Consumer"/>
    <x v="2"/>
    <s v="South"/>
    <s v="Tamil Nadu"/>
    <s v="Chennai"/>
    <s v="Technology"/>
    <s v="Technology"/>
    <s v="Machines"/>
    <s v="Prime Machines 793"/>
    <s v="Standard Class"/>
    <s v="Standard Class"/>
    <n v="8"/>
    <n v="2853.92"/>
    <n v="0.2"/>
    <n v="0.2"/>
    <s v="Valid"/>
    <n v="18265.09"/>
    <n v="10437.14"/>
    <n v="7827.95"/>
    <x v="0"/>
    <s v="Include"/>
    <s v=""/>
    <s v="Completed"/>
    <s v="Completed"/>
    <s v="Include"/>
  </r>
  <r>
    <s v="ORD-2025-10261"/>
    <n v="1"/>
    <s v=""/>
    <s v="2025-09-23"/>
    <d v="2025-09-23T00:00:00"/>
    <s v="09/27/2025"/>
    <d v="2025-09-27T00:00:00"/>
    <s v="Valid"/>
    <n v="4"/>
    <s v="Valid"/>
    <s v="CUST-3543"/>
    <s v="Aditi Sen"/>
    <s v="Aditi Sen"/>
    <s v="Corporate"/>
    <s v="Corporate"/>
    <x v="1"/>
    <s v="East"/>
    <s v="West Bengal"/>
    <s v="Kolkata"/>
    <s v="Office Supplies"/>
    <s v="Office Supplies"/>
    <s v="Binders"/>
    <s v="Elite Binders 827"/>
    <s v="Same Day"/>
    <s v="Same Day"/>
    <n v="7"/>
    <n v="2897.12"/>
    <n v="0.25"/>
    <n v="0.25"/>
    <s v="Valid"/>
    <n v="15209.88"/>
    <n v="10891.15"/>
    <n v="4318.7299999999996"/>
    <x v="3"/>
    <s v="Exclude"/>
    <s v=""/>
    <s v="Returned"/>
    <s v="Returned"/>
    <s v="Include"/>
  </r>
  <r>
    <s v="ORD-2025-10262"/>
    <n v="1"/>
    <s v=""/>
    <s v="06/18/2025"/>
    <d v="2025-06-18T00:00:00"/>
    <s v="06/24/2025"/>
    <d v="2025-06-24T00:00:00"/>
    <s v="Valid"/>
    <n v="6"/>
    <s v="Valid"/>
    <s v="CUST-7623"/>
    <s v="Sneha Kapoor"/>
    <s v="Sneha Kapoor"/>
    <s v="Corporate"/>
    <s v="Corporate"/>
    <x v="0"/>
    <s v="North"/>
    <s v="Rajasthan"/>
    <s v="Jaipur"/>
    <s v="Office Supplies"/>
    <s v="Office Supplies"/>
    <s v="Labels"/>
    <s v="Prime Labels 326"/>
    <s v="Standard Class"/>
    <s v="Standard Class"/>
    <n v="3"/>
    <n v="686.74"/>
    <n v="0.2"/>
    <n v="0.2"/>
    <s v="Valid"/>
    <n v="1648.18"/>
    <n v="987.91"/>
    <n v="660.27"/>
    <x v="3"/>
    <s v="Exclude"/>
    <s v=""/>
    <s v="Cancelled"/>
    <s v="Cancelled"/>
    <s v="Exclude"/>
  </r>
  <r>
    <s v="ORD-2025-10263"/>
    <n v="1"/>
    <s v=""/>
    <s v="2025-05-26"/>
    <d v="2025-05-26T00:00:00"/>
    <s v="01 Jun 2025"/>
    <d v="2025-06-01T00:00:00"/>
    <s v="Valid"/>
    <n v="6"/>
    <s v="Valid"/>
    <s v="CUST-6153"/>
    <s v="Arjun Bose"/>
    <s v="Arjun Bose"/>
    <s v="Small Business"/>
    <s v="Small Business"/>
    <x v="0"/>
    <s v="North"/>
    <s v="Delhi"/>
    <s v="New Delhi"/>
    <s v="Technology"/>
    <s v="Technology"/>
    <s v="Phones"/>
    <s v="Eco Phones 245"/>
    <s v="Same Day"/>
    <s v="Same Day"/>
    <n v="4"/>
    <n v="3349.86"/>
    <n v="0"/>
    <n v="0"/>
    <s v="Valid"/>
    <n v="13399.44"/>
    <n v="8581.35"/>
    <n v="4818.09"/>
    <x v="2"/>
    <s v="Include"/>
    <s v=""/>
    <s v="Returned"/>
    <s v="Returned"/>
    <s v="Include"/>
  </r>
  <r>
    <s v="ORD-2025-10264"/>
    <n v="1"/>
    <s v=""/>
    <s v="06 Aug 2025"/>
    <d v="2025-08-06T00:00:00"/>
    <s v="10-08-2025"/>
    <d v="2025-08-10T00:00:00"/>
    <s v="Valid"/>
    <n v="4"/>
    <s v="Valid"/>
    <s v="CUST-8265"/>
    <s v="Rohan Mehta"/>
    <s v="Rohan Mehta"/>
    <s v="Small Business"/>
    <s v="Small Business"/>
    <x v="0"/>
    <s v="North"/>
    <s v="Delhi"/>
    <s v="New Delhi"/>
    <s v="Office Supplies"/>
    <s v="Office Supplies"/>
    <s v="Binders"/>
    <s v="Smart Binders 905"/>
    <s v="Second Class"/>
    <s v="Second Class"/>
    <n v="9"/>
    <n v="4042.45"/>
    <n v="0.1"/>
    <n v="0.1"/>
    <s v="Valid"/>
    <n v="32743.84"/>
    <n v="22452.05"/>
    <n v="10291.790000000001"/>
    <x v="2"/>
    <s v="Include"/>
    <s v=""/>
    <s v="Returned"/>
    <s v="Returned"/>
    <s v="Include"/>
  </r>
  <r>
    <s v="ORD-2024-10265"/>
    <n v="1"/>
    <s v=""/>
    <s v="16-05-2024"/>
    <d v="2024-05-16T00:00:00"/>
    <s v="05/21/2024"/>
    <d v="2024-05-21T00:00:00"/>
    <s v="Valid"/>
    <n v="5"/>
    <s v="Valid"/>
    <s v="CUST-4750"/>
    <s v="Diya Patel"/>
    <s v="Diya Patel"/>
    <s v="Small Business"/>
    <s v="Small Business"/>
    <x v="1"/>
    <s v="East"/>
    <s v="Bihar"/>
    <s v="Patna"/>
    <s v="Technology"/>
    <s v="Technology"/>
    <s v="Copiers"/>
    <s v="Pro Copiers 599"/>
    <s v="Standard Class"/>
    <s v="Standard Class"/>
    <n v="4"/>
    <n v="1503.07"/>
    <n v="0"/>
    <n v="0"/>
    <s v="Valid"/>
    <n v="6012.28"/>
    <n v="3927.64"/>
    <n v="2084.64"/>
    <x v="0"/>
    <s v="Include"/>
    <s v=""/>
    <s v="Completed"/>
    <s v="Completed"/>
    <s v="Include"/>
  </r>
  <r>
    <s v="ORD-2024-10266"/>
    <n v="1"/>
    <s v=""/>
    <s v="14 Nov 2024"/>
    <d v="2024-11-14T00:00:00"/>
    <s v="11/22/2024"/>
    <d v="2024-11-22T00:00:00"/>
    <s v="Valid"/>
    <n v="8"/>
    <s v="Valid"/>
    <s v="CUST-3974"/>
    <s v="Priya Menon"/>
    <s v="Priya Menon"/>
    <s v="Corporate"/>
    <s v="Corporate"/>
    <x v="1"/>
    <s v="East"/>
    <s v="Bihar"/>
    <s v="Patna"/>
    <s v="Furniture"/>
    <s v="Furniture"/>
    <s v="Bookcases"/>
    <s v="Basic Bookcases 570"/>
    <s v="Same Day"/>
    <s v="Same Day"/>
    <n v="1"/>
    <n v="582.37"/>
    <n v="0.15"/>
    <n v="0.15"/>
    <s v="Valid"/>
    <n v="495.01"/>
    <n v="285.13"/>
    <n v="209.88"/>
    <x v="1"/>
    <s v="Exclude"/>
    <s v="Refunded Order"/>
    <s v="Cancelled"/>
    <s v="Cancelled"/>
    <s v="Exclude"/>
  </r>
  <r>
    <s v="ORD-2025-10267"/>
    <n v="1"/>
    <s v=""/>
    <s v="2025-05-03"/>
    <d v="2025-05-03T00:00:00"/>
    <s v="2025-05-10"/>
    <d v="2025-05-10T00:00:00"/>
    <s v="Valid"/>
    <n v="7"/>
    <s v="Valid"/>
    <s v="CUST-7114"/>
    <s v="Neha Gupta"/>
    <s v="Neha Gupta"/>
    <s v="Home Office"/>
    <s v="Home Office"/>
    <x v="3"/>
    <s v="West"/>
    <s v="Maharashtra"/>
    <s v="Mumbai"/>
    <s v="Office Supplies"/>
    <s v="Office Supplies"/>
    <s v="Storage"/>
    <s v="Classic Storage 926"/>
    <s v="Second Class"/>
    <s v="Second Class"/>
    <n v="3"/>
    <n v="4339.24"/>
    <n v="0"/>
    <n v="0"/>
    <s v="Valid"/>
    <n v="13017.72"/>
    <n v="10170.57"/>
    <n v="2847.15"/>
    <x v="0"/>
    <s v="Include"/>
    <s v=""/>
    <s v="Completed"/>
    <s v="Completed"/>
    <s v="Include"/>
  </r>
  <r>
    <s v="ORD-2025-10268"/>
    <n v="1"/>
    <s v=""/>
    <s v="28 May 2025"/>
    <d v="2025-05-28T00:00:00"/>
    <s v="04-06-2025"/>
    <d v="2025-06-04T00:00:00"/>
    <s v="Valid"/>
    <n v="7"/>
    <s v="Valid"/>
    <s v="CUST-4431"/>
    <s v="Diya Patel"/>
    <s v="Diya Patel"/>
    <s v="Corporate"/>
    <s v="Corporate"/>
    <x v="1"/>
    <s v="East"/>
    <s v="Jharkhand"/>
    <s v="Ranchi"/>
    <s v="Furniture"/>
    <s v="Furniture"/>
    <s v="Furnishings"/>
    <s v="Basic Furnishings 372"/>
    <s v="First Class"/>
    <s v="First Class"/>
    <n v="4"/>
    <n v="261.8"/>
    <n v="0.25"/>
    <n v="0.25"/>
    <s v="Valid"/>
    <n v="785.4"/>
    <n v="557.22"/>
    <n v="228.18"/>
    <x v="0"/>
    <s v="Include"/>
    <s v=""/>
    <s v="Completed"/>
    <s v="Completed"/>
    <s v="Include"/>
  </r>
  <r>
    <s v="ORD-2025-10269"/>
    <n v="1"/>
    <s v=""/>
    <s v="08/17/2025"/>
    <d v="2025-08-17T00:00:00"/>
    <s v="08/17/2025"/>
    <d v="2025-08-17T00:00:00"/>
    <s v="Valid"/>
    <n v="0"/>
    <s v="Valid"/>
    <s v="CUST-1488"/>
    <s v="Aarav Sharma"/>
    <s v="Aarav Sharma"/>
    <s v="Home Office"/>
    <s v="Home Office"/>
    <x v="0"/>
    <s v="North"/>
    <s v="Punjab"/>
    <s v="Ludhiana"/>
    <s v="Technology"/>
    <s v="Technology"/>
    <s v="Accessories"/>
    <s v="Prime Accessories 367"/>
    <s v="First Class"/>
    <s v="First Class"/>
    <n v="7"/>
    <n v="632.20000000000005"/>
    <n v="0.25"/>
    <n v="0.25"/>
    <s v="Valid"/>
    <n v="3319.05"/>
    <n v="2124.6"/>
    <n v="1194.45"/>
    <x v="0"/>
    <s v="Include"/>
    <s v=""/>
    <s v="Completed"/>
    <s v="Completed"/>
    <s v="Include"/>
  </r>
  <r>
    <s v="ORD-2025-10270"/>
    <n v="1"/>
    <s v=""/>
    <s v="02/10/2025"/>
    <d v="2025-02-10T00:00:00"/>
    <s v="02/12/2025"/>
    <d v="2025-02-12T00:00:00"/>
    <s v="Valid"/>
    <n v="2"/>
    <s v="Valid"/>
    <s v="CUST-1586"/>
    <s v="Rahul Verma"/>
    <s v="Rahul Verma"/>
    <s v="Small Business"/>
    <s v="Small Business"/>
    <x v="3"/>
    <s v="West"/>
    <s v="Rajasthan"/>
    <s v="Udaipur"/>
    <s v="Furniture"/>
    <s v="Furniture"/>
    <s v="Tables"/>
    <s v="Max Tables 526"/>
    <s v="Same Day"/>
    <s v="Same Day"/>
    <n v="1"/>
    <n v="1925.86"/>
    <n v="0"/>
    <n v="0"/>
    <s v="Valid"/>
    <n v="1925.86"/>
    <n v="1321.89"/>
    <n v="603.97"/>
    <x v="0"/>
    <s v="Include"/>
    <s v=""/>
    <s v="Completed"/>
    <s v="Completed"/>
    <s v="Include"/>
  </r>
  <r>
    <s v="ORD-2024-10271"/>
    <n v="1"/>
    <s v=""/>
    <s v="01/12/2024"/>
    <d v="2024-01-12T00:00:00"/>
    <s v="13-01-2024"/>
    <d v="2024-01-13T00:00:00"/>
    <s v="Valid"/>
    <n v="1"/>
    <s v="Valid"/>
    <s v="CUST-2487"/>
    <s v="Aditi Sen"/>
    <s v="Aditi Sen"/>
    <s v="Corporate"/>
    <s v="Corporate"/>
    <x v="0"/>
    <s v="North"/>
    <s v="Uttar Pradesh"/>
    <s v="Noida"/>
    <s v="Technology"/>
    <s v="Technology"/>
    <s v="Machines"/>
    <s v="Prime Machines 794"/>
    <s v="Same Day"/>
    <s v="Same Day"/>
    <n v="3"/>
    <n v="827.44"/>
    <n v="0"/>
    <n v="0"/>
    <s v="Valid"/>
    <n v="2482.3200000000002"/>
    <n v="1520.21"/>
    <n v="962.11"/>
    <x v="0"/>
    <s v="Include"/>
    <s v=""/>
    <s v="Completed"/>
    <s v="Completed"/>
    <s v="Include"/>
  </r>
  <r>
    <s v="ORD-2024-10272"/>
    <n v="1"/>
    <s v=""/>
    <s v="21 Dec 2024"/>
    <d v="2024-12-21T00:00:00"/>
    <s v="25 Dec 2024"/>
    <d v="2024-12-25T00:00:00"/>
    <s v="Valid"/>
    <n v="4"/>
    <s v="Valid"/>
    <s v="CUST-8009"/>
    <s v="Aditi Sen"/>
    <s v="Aditi Sen"/>
    <s v="Consumer"/>
    <s v="Consumer"/>
    <x v="2"/>
    <s v="South"/>
    <s v="Telangana"/>
    <s v="Hyderabad"/>
    <s v="Office Supplies"/>
    <s v="Office Supplies"/>
    <s v="Binders"/>
    <s v="Max Binders 927"/>
    <s v="Standard Class"/>
    <s v="Standard Class"/>
    <n v="7"/>
    <n v="1667.75"/>
    <n v="0"/>
    <n v="0"/>
    <s v="Valid"/>
    <n v="11674.25"/>
    <n v="9621.19"/>
    <n v="2053.06"/>
    <x v="3"/>
    <s v="Exclude"/>
    <s v=""/>
    <s v="Cancelled"/>
    <s v="Cancelled"/>
    <s v="Exclude"/>
  </r>
  <r>
    <s v="ORD-2024-10273"/>
    <n v="2"/>
    <s v="Review Required"/>
    <s v="08/18/2024"/>
    <d v="2024-08-18T00:00:00"/>
    <s v="24 Aug 2024"/>
    <d v="2024-08-24T00:00:00"/>
    <s v="Valid"/>
    <n v="6"/>
    <s v="Valid"/>
    <s v="CUST-7389"/>
    <s v="Arjun Bose"/>
    <s v="Arjun Bose"/>
    <s v="Consumer"/>
    <s v="Consumer"/>
    <x v="2"/>
    <s v="South"/>
    <s v="Andhra Pradesh"/>
    <s v="Vijayawada"/>
    <s v="Furniture"/>
    <s v="Furniture"/>
    <s v="Chairs"/>
    <s v="Eco Chairs 314"/>
    <s v="First Class"/>
    <s v="First Class"/>
    <n v="7"/>
    <n v="557.21"/>
    <n v="0.1"/>
    <n v="0.1"/>
    <s v="Valid"/>
    <n v="3797.79"/>
    <n v="2191.5"/>
    <n v="1213.48"/>
    <x v="0"/>
    <s v="Include"/>
    <s v=""/>
    <s v="Returned"/>
    <s v="Returned"/>
    <s v="Include"/>
  </r>
  <r>
    <s v="ORD-2025-10274"/>
    <n v="1"/>
    <s v=""/>
    <s v="02/13/2025"/>
    <d v="2025-02-13T00:00:00"/>
    <s v="13 Feb 2025"/>
    <d v="2025-02-13T00:00:00"/>
    <s v="Valid"/>
    <n v="0"/>
    <s v="Valid"/>
    <s v="CUST-8249"/>
    <s v="Isha Nair"/>
    <s v="Isha Nair"/>
    <s v="Consumer"/>
    <s v="Consumer"/>
    <x v="1"/>
    <s v="East"/>
    <s v="Bihar"/>
    <s v="Patna"/>
    <s v="Office Supplies"/>
    <s v="Office Supplies"/>
    <s v="Paper"/>
    <s v="Basic Paper 657"/>
    <s v="Second Class"/>
    <s v="Second Class"/>
    <n v="9"/>
    <n v="2521.63"/>
    <n v="0"/>
    <n v="0"/>
    <s v="Valid"/>
    <n v="22694.67"/>
    <n v="15405.36"/>
    <n v="7289.31"/>
    <x v="0"/>
    <s v="Include"/>
    <s v=""/>
    <s v="Returned"/>
    <s v="Returned"/>
    <s v="Include"/>
  </r>
  <r>
    <s v="ORD-2024-10275"/>
    <n v="1"/>
    <s v=""/>
    <s v="07-04-2024"/>
    <d v="2024-04-07T00:00:00"/>
    <s v="14-04-2024"/>
    <d v="2024-04-14T00:00:00"/>
    <s v="Valid"/>
    <n v="7"/>
    <s v="Valid"/>
    <s v="CUST-4202"/>
    <s v="Rohan Mehta"/>
    <s v="Rohan Mehta"/>
    <s v="Consumer"/>
    <s v="Consumer"/>
    <x v="2"/>
    <s v="South"/>
    <s v="Kerala"/>
    <s v="Kochi"/>
    <s v="Technology"/>
    <s v="Technology"/>
    <s v="Copiers"/>
    <s v="Pro Copiers 406"/>
    <s v="Standard Class"/>
    <s v="Standard Class"/>
    <n v="6"/>
    <n v="4246.71"/>
    <n v="0.15"/>
    <n v="0.15"/>
    <s v="Valid"/>
    <n v="21658.22"/>
    <n v="15490.69"/>
    <n v="6167.53"/>
    <x v="3"/>
    <s v="Exclude"/>
    <s v=""/>
    <s v="Returned"/>
    <s v="Returned"/>
    <s v="Include"/>
  </r>
  <r>
    <s v="ORD-2024-10276"/>
    <n v="1"/>
    <s v=""/>
    <s v="2024-02-15"/>
    <d v="2024-02-15T00:00:00"/>
    <s v="02/22/2024"/>
    <d v="2024-02-22T00:00:00"/>
    <s v="Valid"/>
    <n v="7"/>
    <s v="Valid"/>
    <s v="CUST-2875"/>
    <s v="Priya Menon"/>
    <s v="Priya Menon"/>
    <s v="Small Business"/>
    <s v="Small Business"/>
    <x v="1"/>
    <s v="East"/>
    <s v="West Bengal"/>
    <s v="Kolkata"/>
    <s v="Furniture"/>
    <s v="Furniture"/>
    <s v="Furnishings"/>
    <s v="Eco Furnishings 678"/>
    <s v="Same Day"/>
    <s v="Same Day"/>
    <n v="1"/>
    <n v="980.51"/>
    <n v="0"/>
    <n v="0"/>
    <s v="Valid"/>
    <n v="980.51"/>
    <n v="660.92"/>
    <n v="319.58999999999997"/>
    <x v="0"/>
    <s v="Include"/>
    <s v=""/>
    <s v="Completed"/>
    <s v="Completed"/>
    <s v="Include"/>
  </r>
  <r>
    <s v="ORD-2024-10277"/>
    <n v="1"/>
    <s v=""/>
    <s v="22-01-2024"/>
    <d v="2024-01-22T00:00:00"/>
    <s v="23-01-2024"/>
    <d v="2024-01-23T00:00:00"/>
    <s v="Valid"/>
    <n v="1"/>
    <s v="Valid"/>
    <s v="CUST-7039"/>
    <s v="Aarav Sharma"/>
    <s v="Aarav Sharma"/>
    <s v="Small Business"/>
    <s v="Small Business"/>
    <x v="4"/>
    <s v="Unknown"/>
    <s v="Assam"/>
    <s v="Guwahati"/>
    <s v="Furniture"/>
    <s v="Furniture"/>
    <s v="Chairs"/>
    <s v="Basic Chairs 141"/>
    <s v="Second Class"/>
    <s v="Second Class"/>
    <n v="6"/>
    <n v="3391.53"/>
    <n v="-0.14000000000000001"/>
    <n v="-0.14000000000000001"/>
    <s v="Invalid Discount"/>
    <n v="15261.89"/>
    <n v="8413.5300000000007"/>
    <n v="6848.36"/>
    <x v="0"/>
    <s v="Include"/>
    <s v=""/>
    <s v="Completed"/>
    <s v="Completed"/>
    <s v="Include"/>
  </r>
  <r>
    <s v="ORD-2025-10278"/>
    <n v="1"/>
    <s v=""/>
    <s v="04 Jun 2025"/>
    <d v="2025-06-04T00:00:00"/>
    <s v="04 Jun 2025"/>
    <d v="2025-06-04T00:00:00"/>
    <s v="Valid"/>
    <n v="0"/>
    <s v="Valid"/>
    <s v="CUST-2819"/>
    <s v="Isha Nair"/>
    <s v="Isha Nair"/>
    <s v="Corporate"/>
    <s v="Corporate"/>
    <x v="0"/>
    <s v="North"/>
    <s v="Haryana"/>
    <s v="Gurugram"/>
    <s v="Technology"/>
    <s v="Technology"/>
    <s v="Accessories"/>
    <s v="Elite Accessories 291"/>
    <s v="Second Class"/>
    <s v="Second Class"/>
    <n v="1"/>
    <n v="2133.73"/>
    <n v="0.15"/>
    <n v="0.15"/>
    <s v="Valid"/>
    <n v="2008.39"/>
    <n v="1002.57"/>
    <n v="811.1"/>
    <x v="2"/>
    <s v="Exclude"/>
    <s v=""/>
    <s v="Cancelled"/>
    <s v="Cancelled"/>
    <s v="Exclude"/>
  </r>
  <r>
    <s v="ORD-2025-10279"/>
    <n v="1"/>
    <s v=""/>
    <s v="07-03-2025"/>
    <d v="2025-03-07T00:00:00"/>
    <s v="2025-03-14"/>
    <d v="2025-03-14T00:00:00"/>
    <s v="Valid"/>
    <n v="7"/>
    <s v="Valid"/>
    <s v="CUST-8242"/>
    <s v="Priya Menon"/>
    <s v="Priya Menon"/>
    <s v="Small Business"/>
    <s v="Small Business"/>
    <x v="0"/>
    <s v="North"/>
    <s v="Delhi"/>
    <s v="New Delhi"/>
    <s v="Technology"/>
    <s v="Technology"/>
    <s v="Accessories"/>
    <s v="Pro Accessories 207"/>
    <s v="Same Day"/>
    <s v="Same Day"/>
    <n v="1"/>
    <n v="3979.64"/>
    <n v="0.05"/>
    <n v="0.05"/>
    <s v="Valid"/>
    <n v="3780.66"/>
    <n v="2148.31"/>
    <n v="1632.35"/>
    <x v="0"/>
    <s v="Include"/>
    <s v=""/>
    <s v="Returned"/>
    <s v="Returned"/>
    <s v="Include"/>
  </r>
  <r>
    <s v="ORD-2024-10280"/>
    <n v="1"/>
    <s v=""/>
    <s v="04/09/2024"/>
    <d v="2024-04-09T00:00:00"/>
    <s v="10 Apr 2024"/>
    <d v="2024-04-10T00:00:00"/>
    <s v="Valid"/>
    <n v="1"/>
    <s v="Valid"/>
    <s v="CUST-4571"/>
    <s v="Rohan Mehta"/>
    <s v="Rohan Mehta"/>
    <s v="Small Business"/>
    <s v="Small Business"/>
    <x v="3"/>
    <s v="West"/>
    <s v="Maharashtra"/>
    <s v="Mumbai"/>
    <s v="Office Supplies"/>
    <s v="Office Supplies"/>
    <s v="Storage"/>
    <s v="Max Storage 564"/>
    <s v="First Class"/>
    <s v="First Class"/>
    <n v="1"/>
    <n v="4359.12"/>
    <n v="0.05"/>
    <n v="0.05"/>
    <s v="Valid"/>
    <n v="4141.16"/>
    <n v="2754.17"/>
    <n v="1386.99"/>
    <x v="0"/>
    <s v="Include"/>
    <s v=""/>
    <s v="Completed"/>
    <s v="Completed"/>
    <s v="Include"/>
  </r>
  <r>
    <s v="ORD-2024-10281"/>
    <n v="1"/>
    <s v=""/>
    <s v="12/23/2024"/>
    <d v="2024-12-23T00:00:00"/>
    <s v="26-12-2024"/>
    <d v="2024-12-26T00:00:00"/>
    <s v="Valid"/>
    <n v="3"/>
    <s v="Valid"/>
    <s v="CUST-4098"/>
    <s v="Aditi Sen"/>
    <s v="Aditi Sen"/>
    <s v="Consumer"/>
    <s v="Consumer"/>
    <x v="2"/>
    <s v="South"/>
    <s v="Karnataka"/>
    <s v="Bengaluru"/>
    <s v="Technology"/>
    <s v="Technology"/>
    <s v="Copiers"/>
    <s v="Prime Copiers 961"/>
    <s v="Standard Class"/>
    <s v="Standard Class"/>
    <n v="9"/>
    <n v="993.67"/>
    <n v="0"/>
    <n v="0"/>
    <s v="Valid"/>
    <n v="8943.0300000000007"/>
    <n v="5165.38"/>
    <n v="3777.65"/>
    <x v="0"/>
    <s v="Include"/>
    <s v=""/>
    <s v="Completed"/>
    <s v="Completed"/>
    <s v="Include"/>
  </r>
  <r>
    <s v="ORD-2025-10282"/>
    <n v="1"/>
    <s v=""/>
    <s v="25-07-2025"/>
    <d v="2025-07-25T00:00:00"/>
    <s v="07/27/2025"/>
    <d v="2025-07-27T00:00:00"/>
    <s v="Valid"/>
    <n v="2"/>
    <s v="Valid"/>
    <s v="CUST-2052"/>
    <s v="Kabir Singh"/>
    <s v="Kabir Singh"/>
    <s v="Consumer"/>
    <s v="Consumer"/>
    <x v="1"/>
    <s v="East"/>
    <s v="Jharkhand"/>
    <s v="Ranchi"/>
    <s v="Office Supplies"/>
    <s v="Office Supplies"/>
    <s v="Binders"/>
    <s v="Basic Binders 637"/>
    <s v="Second Class"/>
    <s v="Second Class"/>
    <n v="6"/>
    <n v="3438.38"/>
    <n v="0.2"/>
    <n v="0.2"/>
    <s v="Valid"/>
    <n v="16504.22"/>
    <n v="11262.71"/>
    <n v="5241.51"/>
    <x v="0"/>
    <s v="Include"/>
    <s v=""/>
    <s v="Completed"/>
    <s v="Completed"/>
    <s v="Include"/>
  </r>
  <r>
    <s v="ORD-2024-10283"/>
    <n v="1"/>
    <s v=""/>
    <s v="2024-10-01"/>
    <d v="2024-10-01T00:00:00"/>
    <s v="10/02/2024"/>
    <d v="2024-10-02T00:00:00"/>
    <s v="Valid"/>
    <n v="1"/>
    <s v="Valid"/>
    <s v="CUST-9445"/>
    <s v="Karan Malhotra"/>
    <s v="Karan Malhotra"/>
    <s v="Home Office"/>
    <s v="Home Office"/>
    <x v="1"/>
    <s v="East"/>
    <s v="Assam"/>
    <s v="Guwahati"/>
    <s v="Furniture"/>
    <s v="Furniture"/>
    <s v="Tables"/>
    <s v="Classic Tables 811"/>
    <s v="Second Class"/>
    <s v="Second Class"/>
    <n v="2"/>
    <n v="2298"/>
    <n v="0"/>
    <n v="0"/>
    <s v="Valid"/>
    <n v="4596"/>
    <n v="3220.33"/>
    <n v="1375.67"/>
    <x v="0"/>
    <s v="Include"/>
    <s v=""/>
    <s v="Completed"/>
    <s v="Completed"/>
    <s v="Include"/>
  </r>
  <r>
    <s v="ORD-2025-10284"/>
    <n v="1"/>
    <s v=""/>
    <s v="03/13/2025"/>
    <d v="2025-03-13T00:00:00"/>
    <s v="20-03-2025"/>
    <d v="2025-03-20T00:00:00"/>
    <s v="Valid"/>
    <n v="7"/>
    <s v="Valid"/>
    <s v="CUST-6568"/>
    <s v="Vikram Iyer"/>
    <s v="Vikram Iyer"/>
    <s v="Consumer"/>
    <s v="Consumer"/>
    <x v="3"/>
    <s v="West"/>
    <s v="Maharashtra"/>
    <s v="Mumbai"/>
    <s v="Furniture"/>
    <s v="Furniture"/>
    <s v="Furnishings"/>
    <s v="Classic Furnishings 819"/>
    <s v="First Class"/>
    <s v="First Class"/>
    <n v="1"/>
    <n v="1814.01"/>
    <n v="0"/>
    <n v="0"/>
    <s v="Valid"/>
    <n v="1814.01"/>
    <n v="1033.47"/>
    <n v="780.54"/>
    <x v="0"/>
    <s v="Include"/>
    <s v=""/>
    <s v="Completed"/>
    <s v="Completed"/>
    <s v="Include"/>
  </r>
  <r>
    <s v="ORD-2024-10285"/>
    <n v="1"/>
    <s v=""/>
    <s v="12/08/2024"/>
    <d v="2024-12-08T00:00:00"/>
    <s v="12/14/2024"/>
    <d v="2024-12-14T00:00:00"/>
    <s v="Valid"/>
    <n v="6"/>
    <s v="Valid"/>
    <s v="CUST-2076"/>
    <s v="Karan Malhotra"/>
    <s v="Karan Malhotra"/>
    <s v="Consumer"/>
    <s v="Consumer"/>
    <x v="1"/>
    <s v="East"/>
    <s v="Odisha"/>
    <s v="Bhubaneswar"/>
    <s v="Furniture"/>
    <s v="Furniture"/>
    <s v="Tables"/>
    <s v="Prime Tables 542"/>
    <s v="Same Day"/>
    <s v="Same Day"/>
    <n v="3"/>
    <n v="1576.92"/>
    <n v="0"/>
    <n v="0"/>
    <s v="Valid"/>
    <n v="4730.76"/>
    <n v="3139.73"/>
    <n v="1591.03"/>
    <x v="0"/>
    <s v="Include"/>
    <s v=""/>
    <s v="Returned"/>
    <s v="Returned"/>
    <s v="Include"/>
  </r>
  <r>
    <s v="ORD-2025-10286"/>
    <n v="1"/>
    <s v=""/>
    <s v="2025-08-15"/>
    <d v="2025-08-15T00:00:00"/>
    <s v="2025-08-20"/>
    <d v="2025-08-20T00:00:00"/>
    <s v="Valid"/>
    <n v="5"/>
    <s v="Valid"/>
    <s v="CUST-5610"/>
    <s v="Neha Gupta"/>
    <s v="Neha Gupta"/>
    <s v="Home Office"/>
    <s v="Home Office"/>
    <x v="0"/>
    <s v="North"/>
    <s v="Rajasthan"/>
    <s v="Jaipur"/>
    <s v="Office Supplies"/>
    <s v="Office Supplies"/>
    <s v="Storage"/>
    <s v="Basic Storage 771"/>
    <s v="Standard Class"/>
    <s v="Standard Class"/>
    <n v="9"/>
    <n v="4081.77"/>
    <n v="0"/>
    <n v="0"/>
    <s v="Valid"/>
    <n v="36735.93"/>
    <n v="30820.84"/>
    <n v="5915.09"/>
    <x v="0"/>
    <s v="Include"/>
    <s v=""/>
    <s v="Completed"/>
    <s v="Completed"/>
    <s v="Include"/>
  </r>
  <r>
    <s v="ORD-2024-10287"/>
    <n v="1"/>
    <s v=""/>
    <s v="28-02-2024"/>
    <d v="2024-02-28T00:00:00"/>
    <s v="03/02/2024"/>
    <d v="2024-03-02T00:00:00"/>
    <s v="Valid"/>
    <n v="3"/>
    <s v="Valid"/>
    <s v="CUST-5823"/>
    <s v="Priya Menon"/>
    <s v="Priya Menon"/>
    <s v="Small Business"/>
    <s v="Small Business"/>
    <x v="0"/>
    <s v="North"/>
    <s v="Delhi"/>
    <s v="New Delhi"/>
    <s v="Furniture"/>
    <s v="Furniture"/>
    <s v="Furnishings"/>
    <s v="Pro Furnishings 848"/>
    <s v="First Class"/>
    <s v="First Class"/>
    <n v="7"/>
    <n v="701.8"/>
    <n v="0.1"/>
    <n v="0.1"/>
    <s v="Valid"/>
    <n v="4421.34"/>
    <n v="2489.98"/>
    <n v="1931.36"/>
    <x v="2"/>
    <s v="Include"/>
    <s v=""/>
    <s v="Returned"/>
    <s v="Returned"/>
    <s v="Include"/>
  </r>
  <r>
    <s v="ORD-2024-10288"/>
    <n v="1"/>
    <s v=""/>
    <s v="09/05/2024"/>
    <d v="2024-09-05T00:00:00"/>
    <s v="07-09-2024"/>
    <d v="2024-09-07T00:00:00"/>
    <s v="Valid"/>
    <n v="2"/>
    <s v="Valid"/>
    <s v="CUST-7095"/>
    <s v="Neha Gupta"/>
    <s v="Neha Gupta"/>
    <s v="Small Business"/>
    <s v="Small Business"/>
    <x v="2"/>
    <s v="South"/>
    <s v="Tamil Nadu"/>
    <s v="Chennai"/>
    <s v="Technology"/>
    <s v="Technology"/>
    <s v="Copiers"/>
    <s v="Prime Copiers 924"/>
    <s v="Standard Class"/>
    <s v="Standard Class"/>
    <n v="3"/>
    <n v="2555.66"/>
    <n v="0.15"/>
    <n v="0.15"/>
    <s v="Valid"/>
    <n v="6516.93"/>
    <n v="4511.54"/>
    <n v="2005.39"/>
    <x v="0"/>
    <s v="Exclude"/>
    <s v=""/>
    <s v="Cancelled"/>
    <s v="Cancelled"/>
    <s v="Exclude"/>
  </r>
  <r>
    <s v="ORD-2024-10289"/>
    <n v="1"/>
    <s v=""/>
    <s v="2024-06-24"/>
    <d v="2024-06-24T00:00:00"/>
    <s v="2024-06-24"/>
    <d v="2024-06-24T00:00:00"/>
    <s v="Valid"/>
    <n v="0"/>
    <s v="Valid"/>
    <s v="CUST-4805"/>
    <s v="Rohan Mehta"/>
    <s v="Rohan Mehta"/>
    <s v="Small Business"/>
    <s v="Small Business"/>
    <x v="1"/>
    <s v="East"/>
    <s v="Bihar"/>
    <s v="Patna"/>
    <s v="Office Supplies"/>
    <s v="Office Supplies"/>
    <s v="Binders"/>
    <s v="Classic Binders 721"/>
    <s v="Same Day"/>
    <s v="Same Day"/>
    <n v="2"/>
    <n v="4359.8999999999996"/>
    <n v="0.15"/>
    <n v="0.15"/>
    <s v="Valid"/>
    <n v="7411.83"/>
    <n v="4904.63"/>
    <n v="2507.1999999999998"/>
    <x v="0"/>
    <s v="Include"/>
    <s v=""/>
    <s v="Completed"/>
    <s v="Completed"/>
    <s v="Include"/>
  </r>
  <r>
    <s v="ORD-2025-10290"/>
    <n v="1"/>
    <s v=""/>
    <s v="19-06-2025"/>
    <d v="2025-06-19T00:00:00"/>
    <s v="06/27/2025"/>
    <d v="2025-06-27T00:00:00"/>
    <s v="Valid"/>
    <n v="8"/>
    <s v="Valid"/>
    <s v="CUST-9114"/>
    <s v="Karan Malhotra"/>
    <s v="Karan Malhotra"/>
    <s v="Home Office"/>
    <s v="Home Office"/>
    <x v="2"/>
    <s v="South"/>
    <s v="Tamil Nadu"/>
    <s v="Chennai"/>
    <s v="Furniture"/>
    <s v="Furniture"/>
    <s v="Bookcases"/>
    <s v="Basic Bookcases 823"/>
    <s v="First Class"/>
    <s v="First Class"/>
    <n v="2"/>
    <n v="4346.6899999999996"/>
    <n v="0.05"/>
    <n v="0.05"/>
    <s v="Valid"/>
    <n v="8258.7099999999991"/>
    <n v="7018.97"/>
    <n v="1239.74"/>
    <x v="0"/>
    <s v="Include"/>
    <s v=""/>
    <s v="Completed"/>
    <s v="Completed"/>
    <s v="Include"/>
  </r>
  <r>
    <s v="ORD-2025-10291"/>
    <n v="1"/>
    <s v=""/>
    <s v="22 Aug 2025"/>
    <d v="2025-08-22T00:00:00"/>
    <s v="2025-08-26"/>
    <d v="2025-08-26T00:00:00"/>
    <s v="Valid"/>
    <n v="4"/>
    <s v="Valid"/>
    <s v="CUST-8557"/>
    <s v="Diya Patel"/>
    <s v="Diya Patel"/>
    <s v="Home Office"/>
    <s v="Home Office"/>
    <x v="1"/>
    <s v="East"/>
    <s v="Jharkhand"/>
    <s v="Ranchi"/>
    <s v="Furniture"/>
    <s v="Furniture"/>
    <s v="Tables"/>
    <s v="Classic Tables 178"/>
    <s v="Standard Class"/>
    <s v="Standard Class"/>
    <n v="1"/>
    <n v="1842.63"/>
    <n v="0.1"/>
    <n v="0.1"/>
    <s v="Valid"/>
    <n v="1658.37"/>
    <n v="971.12"/>
    <n v="687.25"/>
    <x v="0"/>
    <s v="Include"/>
    <s v=""/>
    <s v="Completed"/>
    <s v="Completed"/>
    <s v="Include"/>
  </r>
  <r>
    <s v="ORD-2024-10292"/>
    <n v="1"/>
    <s v=""/>
    <s v="04/05/2024"/>
    <d v="2024-04-05T00:00:00"/>
    <s v="2024-04-10"/>
    <d v="2024-04-10T00:00:00"/>
    <s v="Valid"/>
    <n v="5"/>
    <s v="Valid"/>
    <s v="CUST-2860"/>
    <s v="Priya Menon"/>
    <s v="Priya Menon"/>
    <s v="Home Office"/>
    <s v="Home Office"/>
    <x v="0"/>
    <s v="North"/>
    <s v="Rajasthan"/>
    <s v="Jaipur"/>
    <s v="Office Supplies"/>
    <s v="Office Supplies"/>
    <s v="Binders"/>
    <s v="Eco Binders 153"/>
    <s v="Standard Class"/>
    <s v="Standard Class"/>
    <n v="4"/>
    <n v="3228.66"/>
    <n v="0.25"/>
    <n v="0.25"/>
    <s v="Valid"/>
    <n v="9685.98"/>
    <n v="7730.04"/>
    <n v="1955.94"/>
    <x v="0"/>
    <s v="Include"/>
    <s v=""/>
    <s v="Completed"/>
    <s v="Completed"/>
    <s v="Include"/>
  </r>
  <r>
    <s v="ORD-2025-10293"/>
    <n v="1"/>
    <s v=""/>
    <s v="28 Feb 2025"/>
    <d v="2025-02-28T00:00:00"/>
    <s v="03-03-2025"/>
    <d v="2025-03-03T00:00:00"/>
    <s v="Valid"/>
    <n v="3"/>
    <s v="Valid"/>
    <s v="CUST-7837"/>
    <s v="Kabir Singh"/>
    <s v="Kabir Singh"/>
    <s v="Home Office"/>
    <s v="Home Office"/>
    <x v="0"/>
    <s v="North"/>
    <s v="Haryana"/>
    <s v="Gurugram"/>
    <s v="Office Supplies"/>
    <s v="Office Supplies"/>
    <s v="Art"/>
    <s v="Classic Art 183"/>
    <s v="Same Day"/>
    <s v="Same Day"/>
    <n v="9"/>
    <n v="3748.95"/>
    <n v="0"/>
    <n v="0"/>
    <s v="Valid"/>
    <n v="33740.550000000003"/>
    <n v="24621.89"/>
    <n v="9118.66"/>
    <x v="2"/>
    <s v="Exclude"/>
    <s v=""/>
    <s v="Cancelled"/>
    <s v="Cancelled"/>
    <s v="Exclude"/>
  </r>
  <r>
    <s v="ORD-2024-10294"/>
    <n v="1"/>
    <s v=""/>
    <s v="03/07/2024"/>
    <d v="2024-03-07T00:00:00"/>
    <s v="11-03-2024"/>
    <d v="2024-03-11T00:00:00"/>
    <s v="Valid"/>
    <n v="4"/>
    <s v="Valid"/>
    <s v="CUST-7010"/>
    <s v="Arjun Bose"/>
    <s v="Arjun Bose"/>
    <s v="Home Office"/>
    <s v="Home Office"/>
    <x v="2"/>
    <s v="South"/>
    <s v="Telangana"/>
    <s v="Hyderabad"/>
    <s v="Technology"/>
    <s v="Technology"/>
    <s v="Phones"/>
    <s v="Pro Phones 455"/>
    <s v="First Class"/>
    <s v="First Class"/>
    <n v="2"/>
    <n v="4401.51"/>
    <n v="0.65"/>
    <n v="0.65"/>
    <s v="Valid"/>
    <n v="8362.8700000000008"/>
    <n v="6541.04"/>
    <n v="1821.83"/>
    <x v="0"/>
    <s v="Include"/>
    <s v=""/>
    <s v="Completed"/>
    <s v="Completed"/>
    <s v="Include"/>
  </r>
  <r>
    <s v="ORD-2025-10295"/>
    <n v="1"/>
    <s v=""/>
    <s v="16 Jul 2025"/>
    <d v="2025-07-16T00:00:00"/>
    <s v="07/22/2025"/>
    <d v="2025-07-22T00:00:00"/>
    <s v="Valid"/>
    <n v="6"/>
    <s v="Valid"/>
    <s v="CUST-4755"/>
    <s v="Priya Menon"/>
    <s v="Priya Menon"/>
    <s v="Consumer"/>
    <s v="Consumer"/>
    <x v="1"/>
    <s v="East"/>
    <s v="Odisha"/>
    <s v="Bhubaneswar"/>
    <s v="Technology"/>
    <s v="Technology"/>
    <s v="Phones"/>
    <s v="Basic Phones 326"/>
    <s v="Second Class"/>
    <s v="Second Class"/>
    <n v="6"/>
    <n v="4159.33"/>
    <n v="0.25"/>
    <n v="0.25"/>
    <s v="Valid"/>
    <n v="18716.990000000002"/>
    <n v="12282.43"/>
    <n v="6434.56"/>
    <x v="0"/>
    <s v="Include"/>
    <s v=""/>
    <s v="Returned"/>
    <s v="Returned"/>
    <s v="Include"/>
  </r>
  <r>
    <s v="ORD-2025-10296"/>
    <n v="1"/>
    <s v=""/>
    <s v="25 Jun 2025"/>
    <d v="2025-06-25T00:00:00"/>
    <s v="28 Jun 2025"/>
    <d v="2025-06-28T00:00:00"/>
    <s v="Valid"/>
    <n v="3"/>
    <s v="Valid"/>
    <s v="CUST-6778"/>
    <s v="Aditi Sen"/>
    <s v="Aditi Sen"/>
    <s v="Small Business"/>
    <s v="Small Business"/>
    <x v="1"/>
    <s v="East"/>
    <s v="Assam"/>
    <s v="Guwahati"/>
    <s v="Office Supplies"/>
    <s v="Office Supplies"/>
    <s v="Binders"/>
    <s v="Max Binders 587"/>
    <s v="Standard Class"/>
    <s v="Standard Class"/>
    <n v="3"/>
    <n v="3476.05"/>
    <n v="0.1"/>
    <n v="0.1"/>
    <s v="Valid"/>
    <n v="9385.34"/>
    <n v="5828.54"/>
    <n v="3556.8"/>
    <x v="0"/>
    <s v="Include"/>
    <s v=""/>
    <s v="Completed"/>
    <s v="Completed"/>
    <s v="Include"/>
  </r>
  <r>
    <s v="ORD-2025-10297"/>
    <n v="1"/>
    <s v=""/>
    <s v="24 May 2025"/>
    <d v="2025-05-24T00:00:00"/>
    <s v="05/26/2025"/>
    <d v="2025-05-26T00:00:00"/>
    <s v="Valid"/>
    <n v="2"/>
    <s v="Valid"/>
    <s v="CUST-7629"/>
    <s v="Aditi Sen"/>
    <s v="Aditi Sen"/>
    <s v="Home Office"/>
    <s v="Home Office"/>
    <x v="0"/>
    <s v="North"/>
    <s v="Haryana"/>
    <s v="Gurugram"/>
    <s v="Furniture"/>
    <s v="Furniture"/>
    <s v="Furnishings"/>
    <s v="Basic Furnishings 617"/>
    <s v="Same Day"/>
    <s v="Same Day"/>
    <n v="6"/>
    <n v="3495.41"/>
    <n v="0.15"/>
    <n v="0.15"/>
    <s v="Valid"/>
    <n v="17826.59"/>
    <n v="10855.35"/>
    <n v="6971.24"/>
    <x v="0"/>
    <s v="Include"/>
    <s v=""/>
    <s v="Completed"/>
    <s v="Completed"/>
    <s v="Include"/>
  </r>
  <r>
    <s v="ORD-2024-10298"/>
    <n v="1"/>
    <s v=""/>
    <s v="2024-10-29"/>
    <d v="2024-10-29T00:00:00"/>
    <s v="06-11-2024"/>
    <d v="2024-11-06T00:00:00"/>
    <s v="Valid"/>
    <n v="8"/>
    <s v="Valid"/>
    <s v="CUST-6724"/>
    <s v="Sneha Kapoor"/>
    <s v="Sneha Kapoor"/>
    <s v="Corporate"/>
    <s v="Corporate"/>
    <x v="2"/>
    <s v="South"/>
    <s v="Tamil Nadu"/>
    <s v="Chennai"/>
    <s v="Technology"/>
    <s v="Technology"/>
    <s v="Copiers"/>
    <s v="Prime Copiers 669"/>
    <s v="Same Day"/>
    <s v="Same Day"/>
    <n v="6"/>
    <n v="1169.92"/>
    <n v="0.15"/>
    <n v="0.15"/>
    <s v="Valid"/>
    <n v="5966.59"/>
    <n v="3994.72"/>
    <n v="1971.87"/>
    <x v="0"/>
    <s v="Include"/>
    <s v=""/>
    <s v="Completed"/>
    <s v="Completed"/>
    <s v="Include"/>
  </r>
  <r>
    <s v="ORD-2025-10299"/>
    <n v="1"/>
    <s v=""/>
    <s v="23-01-2025"/>
    <d v="2025-01-23T00:00:00"/>
    <s v="2025-01-26"/>
    <d v="2025-01-26T00:00:00"/>
    <s v="Valid"/>
    <n v="3"/>
    <s v="Valid"/>
    <s v="CUST-2141"/>
    <s v="Isha Nair"/>
    <s v="Isha Nair"/>
    <s v="Consumer"/>
    <s v="Consumer"/>
    <x v="2"/>
    <s v="South"/>
    <s v="Kerala"/>
    <s v="Kochi"/>
    <s v="Technology"/>
    <s v="Technology"/>
    <s v="Copiers"/>
    <s v="Eco Copiers 894"/>
    <s v="First Class"/>
    <s v="First Class"/>
    <n v="7"/>
    <n v="348.49"/>
    <n v="0.2"/>
    <n v="0.2"/>
    <s v="Valid"/>
    <n v="1951.54"/>
    <n v="1609.95"/>
    <n v="341.59"/>
    <x v="3"/>
    <s v="Exclude"/>
    <s v=""/>
    <s v="Returned"/>
    <s v="Returned"/>
    <s v="Include"/>
  </r>
  <r>
    <s v="ORD-2024-10300"/>
    <n v="1"/>
    <s v=""/>
    <s v="06-11-2024"/>
    <d v="2024-11-06T00:00:00"/>
    <s v="2024-11-12"/>
    <d v="2024-11-12T00:00:00"/>
    <s v="Valid"/>
    <n v="6"/>
    <s v="Valid"/>
    <s v="CUST-7264"/>
    <s v="Rahul Verma"/>
    <s v="Rahul Verma"/>
    <s v="Small Business"/>
    <s v="Small Business"/>
    <x v="3"/>
    <s v="West"/>
    <s v="Gujarat"/>
    <s v="Ahmedabad"/>
    <s v="Technology"/>
    <s v="Technology"/>
    <s v="Accessories"/>
    <s v="Max Accessories 145"/>
    <s v="Standard Class"/>
    <s v="Standard Class"/>
    <n v="7"/>
    <n v="1719.05"/>
    <n v="0.1"/>
    <n v="0.1"/>
    <s v="Valid"/>
    <n v="10830.02"/>
    <n v="7055.31"/>
    <n v="3774.71"/>
    <x v="0"/>
    <s v="Include"/>
    <s v=""/>
    <s v="Completed"/>
    <s v="Completed"/>
    <s v="Include"/>
  </r>
  <r>
    <s v="ORD-2024-10301"/>
    <n v="1"/>
    <s v=""/>
    <s v="15-04-2024"/>
    <d v="2024-04-15T00:00:00"/>
    <s v="04/23/2024"/>
    <d v="2024-04-23T00:00:00"/>
    <s v="Valid"/>
    <n v="8"/>
    <s v="Valid"/>
    <s v="CUST-2668"/>
    <s v="Diya Patel"/>
    <s v="Diya Patel"/>
    <s v="Small Business"/>
    <s v="Small Business"/>
    <x v="0"/>
    <s v="North"/>
    <s v="Punjab"/>
    <s v="Ludhiana"/>
    <s v="Technology"/>
    <s v="Technology"/>
    <s v="Accessories"/>
    <s v="Classic Accessories 126"/>
    <s v="Second Class"/>
    <s v="Second Class"/>
    <n v="9"/>
    <n v="3893.74"/>
    <n v="0.1"/>
    <n v="0.1"/>
    <s v="Valid"/>
    <n v="31539.29"/>
    <n v="22100.14"/>
    <n v="9439.15"/>
    <x v="0"/>
    <s v="Include"/>
    <s v=""/>
    <s v="Completed"/>
    <s v="Completed"/>
    <s v="Include"/>
  </r>
  <r>
    <s v="ORD-2025-10302"/>
    <n v="1"/>
    <s v=""/>
    <s v="28 May 2025"/>
    <d v="2025-05-28T00:00:00"/>
    <s v="01-06-2025"/>
    <d v="2025-06-01T00:00:00"/>
    <s v="Valid"/>
    <n v="4"/>
    <s v="Valid"/>
    <s v="CUST-5599"/>
    <s v="Isha Nair"/>
    <s v="Isha Nair"/>
    <s v="Home Office"/>
    <s v="Home Office"/>
    <x v="1"/>
    <s v="East"/>
    <s v="Bihar"/>
    <s v="Patna"/>
    <s v="Technology"/>
    <s v="Technology"/>
    <s v="Phones"/>
    <s v="Elite Phones 202"/>
    <s v="Same Day"/>
    <s v="Same Day"/>
    <n v="4"/>
    <n v="1654.11"/>
    <n v="0.05"/>
    <n v="0.05"/>
    <s v="Valid"/>
    <n v="6285.62"/>
    <n v="3705.38"/>
    <n v="2580.2399999999998"/>
    <x v="0"/>
    <s v="Include"/>
    <s v=""/>
    <s v="Completed"/>
    <s v="Completed"/>
    <s v="Include"/>
  </r>
  <r>
    <s v="ORD-2025-10303"/>
    <n v="1"/>
    <s v=""/>
    <s v="04-06-2025"/>
    <d v="2025-06-04T00:00:00"/>
    <s v="2025-06-12"/>
    <d v="2025-06-12T00:00:00"/>
    <s v="Valid"/>
    <n v="8"/>
    <s v="Valid"/>
    <s v="CUST-1623"/>
    <s v="Neha Gupta"/>
    <s v="Neha Gupta"/>
    <s v="Consumer"/>
    <s v="Consumer"/>
    <x v="3"/>
    <s v="West"/>
    <s v="Goa"/>
    <s v="Panaji"/>
    <s v="Office Supplies"/>
    <s v="Office Supplies"/>
    <s v="Storage"/>
    <s v="Elite Storage 535"/>
    <s v="Same Day"/>
    <s v="Same Day"/>
    <n v="2"/>
    <n v="2703.28"/>
    <n v="0.25"/>
    <n v="0.25"/>
    <s v="Valid"/>
    <n v="4054.92"/>
    <n v="2424.83"/>
    <n v="1630.09"/>
    <x v="0"/>
    <s v="Include"/>
    <s v=""/>
    <s v="Completed"/>
    <s v="Completed"/>
    <s v="Include"/>
  </r>
  <r>
    <s v="ORD-2024-10304"/>
    <n v="1"/>
    <s v=""/>
    <s v="23 Jun 2024"/>
    <d v="2024-06-23T00:00:00"/>
    <s v="28-06-2024"/>
    <d v="2024-06-28T00:00:00"/>
    <s v="Valid"/>
    <n v="5"/>
    <s v="Valid"/>
    <s v="CUST-9035"/>
    <s v="Diya Patel"/>
    <s v="Diya Patel"/>
    <s v="Home Office"/>
    <s v="Home Office"/>
    <x v="3"/>
    <s v="West"/>
    <s v="Gujarat"/>
    <s v="Ahmedabad"/>
    <s v="Furniture"/>
    <s v="Furniture"/>
    <s v="Chairs"/>
    <s v="Elite Chairs 107"/>
    <s v="Standard Class"/>
    <s v="Standard Class"/>
    <n v="2"/>
    <n v="1313.14"/>
    <n v="0.1"/>
    <n v="0.1"/>
    <s v="Valid"/>
    <n v="2363.65"/>
    <n v="1876.1"/>
    <n v="487.55"/>
    <x v="2"/>
    <s v="Include"/>
    <s v=""/>
    <s v="Returned"/>
    <s v="Returned"/>
    <s v="Include"/>
  </r>
  <r>
    <s v="ORD-2024-10305"/>
    <n v="1"/>
    <s v=""/>
    <s v="03/06/2024"/>
    <d v="2024-03-06T00:00:00"/>
    <s v="2024-03-13"/>
    <d v="2024-03-13T00:00:00"/>
    <s v="Valid"/>
    <n v="7"/>
    <s v="Valid"/>
    <s v="CUST-6286"/>
    <s v="Karan Malhotra"/>
    <s v="Karan Malhotra"/>
    <s v="Consumer"/>
    <s v="Consumer"/>
    <x v="0"/>
    <s v="North"/>
    <s v="Punjab"/>
    <s v="Ludhiana"/>
    <s v="Furniture"/>
    <s v="Furniture"/>
    <s v="Furnishings"/>
    <s v="Pro Furnishings 991"/>
    <s v="Standard Class"/>
    <s v="Standard Class"/>
    <n v="6"/>
    <n v="2403.0500000000002"/>
    <n v="0.1"/>
    <n v="0.1"/>
    <s v="Valid"/>
    <n v="12976.47"/>
    <n v="10019.98"/>
    <n v="2956.49"/>
    <x v="0"/>
    <s v="Include"/>
    <s v=""/>
    <s v="Completed"/>
    <s v="Completed"/>
    <s v="Include"/>
  </r>
  <r>
    <s v="ORD-2024-10306"/>
    <n v="1"/>
    <s v=""/>
    <s v="01 May 2024"/>
    <d v="2024-05-01T00:00:00"/>
    <s v="05/02/2024"/>
    <d v="2024-05-02T00:00:00"/>
    <s v="Valid"/>
    <n v="1"/>
    <s v="Valid"/>
    <s v="CUST-7246"/>
    <s v="Ananya Rao"/>
    <s v="Ananya Rao"/>
    <s v="Consumer"/>
    <s v="Consumer"/>
    <x v="1"/>
    <s v="East"/>
    <s v="Assam"/>
    <s v="Guwahati"/>
    <s v="Furniture"/>
    <s v="Furniture"/>
    <s v="Chairs"/>
    <s v="Eco Chairs 105"/>
    <s v="First Class"/>
    <s v="First Class"/>
    <n v="4"/>
    <n v="4156.0600000000004"/>
    <n v="0.55000000000000004"/>
    <n v="0.55000000000000004"/>
    <s v="Valid"/>
    <n v="13299.39"/>
    <n v="9851.91"/>
    <n v="3447.48"/>
    <x v="0"/>
    <s v="Exclude"/>
    <s v=""/>
    <s v="Cancelled"/>
    <s v="Cancelled"/>
    <s v="Exclude"/>
  </r>
  <r>
    <s v="ORD-2025-10307"/>
    <n v="1"/>
    <s v=""/>
    <s v="20 Feb 2025"/>
    <d v="2025-02-20T00:00:00"/>
    <s v="2025-02-23"/>
    <d v="2025-02-23T00:00:00"/>
    <s v="Valid"/>
    <n v="3"/>
    <s v="Valid"/>
    <s v="CUST-2589"/>
    <s v="Aarav Sharma"/>
    <s v="Aarav Sharma"/>
    <s v="Consumer"/>
    <s v="Consumer"/>
    <x v="0"/>
    <s v="North"/>
    <s v="Rajasthan"/>
    <s v="Jaipur"/>
    <s v="Technology"/>
    <s v="Technology"/>
    <s v="Phones"/>
    <s v="Pro Phones 530"/>
    <s v="Second Class"/>
    <s v="Second Class"/>
    <n v="4"/>
    <n v="3673.11"/>
    <n v="0"/>
    <n v="0"/>
    <s v="Valid"/>
    <n v="14692.44"/>
    <n v="10082.19"/>
    <n v="4610.25"/>
    <x v="0"/>
    <s v="Include"/>
    <s v=""/>
    <s v="Completed"/>
    <s v="Completed"/>
    <s v="Include"/>
  </r>
  <r>
    <s v="ORD-2025-10308"/>
    <n v="1"/>
    <s v=""/>
    <s v="2025-07-12"/>
    <d v="2025-07-12T00:00:00"/>
    <s v="19 Jul 2025"/>
    <d v="2025-07-19T00:00:00"/>
    <s v="Valid"/>
    <n v="7"/>
    <s v="Valid"/>
    <s v="CUST-4153"/>
    <s v="Ananya Rao"/>
    <s v="Ananya Rao"/>
    <s v="Corporate"/>
    <s v="Corporate"/>
    <x v="0"/>
    <s v="North"/>
    <s v="Uttar Pradesh"/>
    <s v="Noida"/>
    <s v="Furniture"/>
    <s v="Furniture"/>
    <s v="Tables"/>
    <s v="Basic Tables 911"/>
    <s v="First Class"/>
    <s v="First Class"/>
    <n v="9"/>
    <n v="4093.04"/>
    <n v="0.2"/>
    <n v="0.2"/>
    <s v="Valid"/>
    <n v="29469.89"/>
    <n v="18935.509999999998"/>
    <n v="10534.38"/>
    <x v="2"/>
    <s v="Exclude"/>
    <s v=""/>
    <s v="Cancelled"/>
    <s v="Cancelled"/>
    <s v="Exclude"/>
  </r>
  <r>
    <s v="ORD-2025-10309"/>
    <n v="1"/>
    <s v=""/>
    <s v="2025-06-13"/>
    <d v="2025-06-13T00:00:00"/>
    <s v="2025-06-19"/>
    <d v="2025-06-19T00:00:00"/>
    <s v="Valid"/>
    <n v="6"/>
    <s v="Valid"/>
    <s v="CUST-6727"/>
    <s v="Rohan Mehta"/>
    <s v="Rohan Mehta"/>
    <s v="Consumer"/>
    <s v="Consumer"/>
    <x v="0"/>
    <s v="North"/>
    <s v="Rajasthan"/>
    <s v="Jaipur"/>
    <s v="Furniture"/>
    <s v="Furniture"/>
    <s v="Tables"/>
    <s v="Classic Tables 224"/>
    <s v="First Class"/>
    <s v="First Class"/>
    <n v="4"/>
    <n v="731.57"/>
    <n v="0.2"/>
    <n v="0.2"/>
    <s v="Valid"/>
    <n v="2341.02"/>
    <n v="1565.49"/>
    <n v="775.53"/>
    <x v="0"/>
    <s v="Include"/>
    <s v=""/>
    <s v="Completed"/>
    <s v="Completed"/>
    <s v="Include"/>
  </r>
  <r>
    <s v="ORD-2024-10310"/>
    <n v="1"/>
    <s v=""/>
    <s v="07/20/2024"/>
    <d v="2024-07-20T00:00:00"/>
    <s v="2024-07-22"/>
    <d v="2024-07-22T00:00:00"/>
    <s v="Valid"/>
    <n v="2"/>
    <s v="Valid"/>
    <s v="CUST-8860"/>
    <s v="Ananya Rao"/>
    <s v="Ananya Rao"/>
    <s v="Consumer"/>
    <s v="Consumer"/>
    <x v="2"/>
    <s v="South"/>
    <s v="Tamil Nadu"/>
    <s v="Chennai"/>
    <s v="Furniture"/>
    <s v="Furniture"/>
    <s v="Tables"/>
    <s v="Prime Tables 214"/>
    <s v="First Class"/>
    <s v="First Class"/>
    <n v="7"/>
    <n v="2060.73"/>
    <n v="0.1"/>
    <n v="0.1"/>
    <s v="Valid"/>
    <n v="12982.6"/>
    <n v="7246.36"/>
    <n v="5736.24"/>
    <x v="0"/>
    <s v="Exclude"/>
    <s v=""/>
    <s v="Cancelled"/>
    <s v="Cancelled"/>
    <s v="Exclude"/>
  </r>
  <r>
    <s v="ORD-2024-10311"/>
    <n v="1"/>
    <s v=""/>
    <s v="04-07-2024"/>
    <d v="2024-07-04T00:00:00"/>
    <s v="08-07-2024"/>
    <d v="2024-07-08T00:00:00"/>
    <s v="Valid"/>
    <n v="4"/>
    <s v="Valid"/>
    <s v="CUST-3784"/>
    <s v="Rohan Mehta"/>
    <s v="Rohan Mehta"/>
    <s v="Small Business"/>
    <s v="Small Business"/>
    <x v="2"/>
    <s v="South"/>
    <s v="Tamil Nadu"/>
    <s v="Chennai"/>
    <s v="Technology"/>
    <s v="Technology"/>
    <s v="Machines"/>
    <s v="Max Machines 988"/>
    <s v="First Class"/>
    <s v="First Class"/>
    <n v="8"/>
    <n v="2034.25"/>
    <n v="0"/>
    <n v="0"/>
    <s v="Valid"/>
    <n v="16274"/>
    <n v="9424.25"/>
    <n v="6849.75"/>
    <x v="0"/>
    <s v="Include"/>
    <s v=""/>
    <s v="Completed"/>
    <s v="Completed"/>
    <s v="Include"/>
  </r>
  <r>
    <s v="ORD-2024-10312"/>
    <n v="1"/>
    <s v=""/>
    <s v="27-04-2024"/>
    <d v="2024-04-27T00:00:00"/>
    <s v="02-05-2024"/>
    <d v="2024-05-02T00:00:00"/>
    <s v="Valid"/>
    <n v="5"/>
    <s v="Valid"/>
    <s v="CUST-3545"/>
    <s v="Mira Das"/>
    <s v="Mira Das"/>
    <s v="Corporate"/>
    <s v="Corporate"/>
    <x v="2"/>
    <s v="South"/>
    <s v="Karnataka"/>
    <s v="Bengaluru"/>
    <s v="Office Supplies"/>
    <s v="Office Supplies"/>
    <s v="Binders"/>
    <s v="Max Binders 425"/>
    <s v="Second Class"/>
    <s v="Second Class"/>
    <n v="5"/>
    <n v="554.04"/>
    <n v="0.1"/>
    <n v="0.1"/>
    <s v="Valid"/>
    <n v="2493.1799999999998"/>
    <n v="1764"/>
    <n v="729.18"/>
    <x v="0"/>
    <s v="Include"/>
    <s v=""/>
    <s v="Completed"/>
    <s v="Completed"/>
    <s v="Include"/>
  </r>
  <r>
    <s v="ORD-2024-10313"/>
    <n v="1"/>
    <s v=""/>
    <s v="07/31/2024"/>
    <d v="2024-07-31T00:00:00"/>
    <s v="04-08-2024"/>
    <d v="2024-08-04T00:00:00"/>
    <s v="Valid"/>
    <n v="4"/>
    <s v="Valid"/>
    <s v="CUST-4851"/>
    <s v="Karan Malhotra"/>
    <s v="Karan Malhotra"/>
    <s v="Small Business"/>
    <s v="Small Business"/>
    <x v="1"/>
    <s v="East"/>
    <s v="Assam"/>
    <s v="Guwahati"/>
    <s v="Technology"/>
    <s v="Technology"/>
    <s v="Phones"/>
    <s v="Elite Phones 679"/>
    <s v="Standard Class"/>
    <s v="Standard Class"/>
    <n v="8"/>
    <n v="2614.7399999999998"/>
    <m/>
    <n v="0"/>
    <s v="Valid"/>
    <n v="15688.44"/>
    <n v="10047.33"/>
    <n v="5641.11"/>
    <x v="0"/>
    <s v="Exclude"/>
    <s v=""/>
    <s v="Cancelled"/>
    <s v="Cancelled"/>
    <s v="Exclude"/>
  </r>
  <r>
    <s v="ORD-2025-10314"/>
    <n v="1"/>
    <s v=""/>
    <s v="2025-05-30"/>
    <d v="2025-05-30T00:00:00"/>
    <s v="31-05-2025"/>
    <d v="2025-05-31T00:00:00"/>
    <s v="Valid"/>
    <n v="1"/>
    <s v="Valid"/>
    <s v="CUST-4770"/>
    <s v="Rahul Verma"/>
    <s v="Rahul Verma"/>
    <s v="Corporate"/>
    <s v="Corporate"/>
    <x v="0"/>
    <s v="North"/>
    <s v="Uttar Pradesh"/>
    <s v="Noida"/>
    <s v="Technology"/>
    <s v="Technology"/>
    <s v="Phones"/>
    <s v="Pro Phones 764"/>
    <s v="First Class"/>
    <s v="First Class"/>
    <n v="8"/>
    <n v="2081.4299999999998"/>
    <n v="0.25"/>
    <n v="0.25"/>
    <s v="Valid"/>
    <n v="12488.58"/>
    <n v="10717.4"/>
    <n v="1771.18"/>
    <x v="1"/>
    <s v="Exclude"/>
    <s v="Refunded Order"/>
    <s v="Cancelled"/>
    <s v="Cancelled"/>
    <s v="Exclude"/>
  </r>
  <r>
    <s v="ORD-2024-10332"/>
    <n v="2"/>
    <s v="Review Required"/>
    <s v="04-12-2024"/>
    <d v="2024-12-04T00:00:00"/>
    <s v="2024-12-06"/>
    <d v="2024-12-06T00:00:00"/>
    <s v="Valid"/>
    <n v="2"/>
    <s v="Valid"/>
    <s v="CUST-9346"/>
    <s v="Sneha Kapoor"/>
    <s v="Sneha Kapoor"/>
    <s v="Home Office"/>
    <s v="Home Office"/>
    <x v="1"/>
    <s v="East"/>
    <s v="Odisha"/>
    <s v="Bhubaneswar"/>
    <s v="Office Supplies"/>
    <s v="Office Supplies"/>
    <s v="Binders"/>
    <s v="Smart Binders 939"/>
    <s v="Second Class"/>
    <s v="Second Class"/>
    <n v="4"/>
    <n v="2685.66"/>
    <n v="0"/>
    <n v="0"/>
    <s v="Valid"/>
    <n v="10742.64"/>
    <n v="6477.37"/>
    <n v="4265.2700000000004"/>
    <x v="0"/>
    <s v="Include"/>
    <s v=""/>
    <s v="Returned"/>
    <s v="Returned"/>
    <s v="Include"/>
  </r>
  <r>
    <s v="ORD-2024-10316"/>
    <n v="1"/>
    <s v=""/>
    <s v="2024-07-02"/>
    <d v="2024-07-02T00:00:00"/>
    <s v="2024-07-08"/>
    <d v="2024-07-08T00:00:00"/>
    <s v="Valid"/>
    <n v="6"/>
    <s v="Valid"/>
    <s v="CUST-7565"/>
    <s v="Rohan Mehta"/>
    <s v="Rohan Mehta"/>
    <s v="Consumer"/>
    <s v="Consumer"/>
    <x v="0"/>
    <s v="North"/>
    <s v="Delhi"/>
    <s v="New Delhi"/>
    <s v="Office Supplies"/>
    <s v="Office Supplies"/>
    <s v="Paper"/>
    <s v="Smart Paper 817"/>
    <s v="Standard Class"/>
    <s v="Standard Class"/>
    <n v="9"/>
    <n v="3450.4"/>
    <n v="0.05"/>
    <n v="0.05"/>
    <s v="Valid"/>
    <n v="29500.92"/>
    <n v="17989.68"/>
    <n v="11511.24"/>
    <x v="2"/>
    <s v="Include"/>
    <s v=""/>
    <s v="Returned"/>
    <s v="Returned"/>
    <s v="Include"/>
  </r>
  <r>
    <s v="ORD-2024-10317"/>
    <n v="1"/>
    <s v=""/>
    <s v="16-02-2024"/>
    <d v="2024-02-16T00:00:00"/>
    <s v="02/18/2024"/>
    <d v="2024-02-18T00:00:00"/>
    <s v="Valid"/>
    <n v="2"/>
    <s v="Valid"/>
    <s v="CUST-9913"/>
    <s v="Karan Malhotra"/>
    <s v="Karan Malhotra"/>
    <s v="Corporate"/>
    <s v="Corporate"/>
    <x v="0"/>
    <s v="North"/>
    <s v="Punjab"/>
    <s v="Ludhiana"/>
    <s v="Office Supplies"/>
    <s v="Office Supplies"/>
    <s v="Labels"/>
    <s v="Classic Labels 466"/>
    <s v="Standard Class"/>
    <s v="Standard Class"/>
    <n v="2"/>
    <n v="1947.53"/>
    <n v="0.2"/>
    <n v="0.2"/>
    <s v="Valid"/>
    <n v="3116.05"/>
    <n v="1956.63"/>
    <n v="1159.42"/>
    <x v="0"/>
    <s v="Exclude"/>
    <s v=""/>
    <s v="Cancelled"/>
    <s v="Cancelled"/>
    <s v="Exclude"/>
  </r>
  <r>
    <s v="ORD-2025-10318"/>
    <n v="1"/>
    <s v=""/>
    <s v="29-08-2025"/>
    <d v="2025-08-29T00:00:00"/>
    <s v="04 Sep 2025"/>
    <d v="2025-09-04T00:00:00"/>
    <s v="Valid"/>
    <n v="6"/>
    <s v="Valid"/>
    <s v="CUST-7992"/>
    <s v="Neha Gupta"/>
    <s v="Neha Gupta"/>
    <s v="Corporate"/>
    <s v="Corporate"/>
    <x v="2"/>
    <s v="South"/>
    <s v="Kerala"/>
    <s v="Kochi"/>
    <s v="Furniture"/>
    <s v="Furniture"/>
    <s v="Tables"/>
    <s v="Pro Tables 778"/>
    <s v="First Class"/>
    <s v="First Class"/>
    <n v="9"/>
    <n v="2996.97"/>
    <n v="0.15"/>
    <n v="0.15"/>
    <s v="Valid"/>
    <n v="22926.82"/>
    <n v="14621.59"/>
    <n v="8305.23"/>
    <x v="0"/>
    <s v="Include"/>
    <s v=""/>
    <s v="Completed"/>
    <s v="Completed"/>
    <s v="Include"/>
  </r>
  <r>
    <s v="ORD-2024-10319"/>
    <n v="1"/>
    <s v=""/>
    <s v="25 Apr 2024"/>
    <d v="2024-04-25T00:00:00"/>
    <s v="30-04-2024"/>
    <d v="2024-04-30T00:00:00"/>
    <s v="Valid"/>
    <n v="5"/>
    <s v="Valid"/>
    <s v="CUST-8877"/>
    <s v="Mira Das"/>
    <s v="Mira Das"/>
    <s v="Small Business"/>
    <s v="Small Business"/>
    <x v="2"/>
    <s v="South"/>
    <s v="Karnataka"/>
    <s v="Bengaluru"/>
    <s v="Technology"/>
    <s v="Technology"/>
    <s v="Phones"/>
    <s v="Basic Phones 789"/>
    <s v="Standard Class"/>
    <s v="Standard Class"/>
    <n v="3"/>
    <n v="4149.46"/>
    <n v="0.1"/>
    <n v="0.1"/>
    <s v="Valid"/>
    <n v="11203.54"/>
    <n v="8452.93"/>
    <n v="2750.61"/>
    <x v="0"/>
    <s v="Include"/>
    <s v=""/>
    <s v="Completed"/>
    <s v="Completed"/>
    <s v="Include"/>
  </r>
  <r>
    <s v="ORD-2024-10320"/>
    <n v="1"/>
    <s v=""/>
    <s v="21 Aug 2024"/>
    <d v="2024-08-21T00:00:00"/>
    <s v="08/25/2024"/>
    <d v="2024-08-25T00:00:00"/>
    <s v="Valid"/>
    <n v="4"/>
    <s v="Valid"/>
    <s v="CUST-4589"/>
    <s v="Diya Patel"/>
    <s v="Diya Patel"/>
    <s v="Consumer"/>
    <s v="Consumer"/>
    <x v="3"/>
    <s v="West"/>
    <s v="Gujarat"/>
    <s v="Ahmedabad"/>
    <s v="Office Supplies"/>
    <s v="Office Supplies"/>
    <s v="Binders"/>
    <s v="Prime Binders 554"/>
    <s v="First Class"/>
    <s v="First Class"/>
    <n v="1"/>
    <n v="270.27999999999997"/>
    <n v="0"/>
    <n v="0"/>
    <s v="Valid"/>
    <n v="270.27999999999997"/>
    <n v="156.34"/>
    <n v="113.94"/>
    <x v="0"/>
    <s v="Include"/>
    <s v=""/>
    <s v="Completed"/>
    <s v="Completed"/>
    <s v="Include"/>
  </r>
  <r>
    <s v="ORD-2024-10321"/>
    <n v="1"/>
    <s v=""/>
    <s v="12/04/2024"/>
    <d v="2024-12-04T00:00:00"/>
    <s v="12/06/2024"/>
    <d v="2024-12-06T00:00:00"/>
    <s v="Valid"/>
    <n v="2"/>
    <s v="Valid"/>
    <s v="CUST-4667"/>
    <s v="Aarav Sharma"/>
    <s v="Aarav Sharma"/>
    <s v="Home Office"/>
    <s v="Home Office"/>
    <x v="1"/>
    <s v="East"/>
    <s v="West Bengal"/>
    <s v="Kolkata"/>
    <s v="Office Supplies"/>
    <s v="Office Supplies"/>
    <s v="Art"/>
    <s v="Classic Art 299"/>
    <s v="Second Class"/>
    <s v="Second Class"/>
    <n v="3"/>
    <n v="876.14"/>
    <s v="70%"/>
    <s v="70%"/>
    <s v="Valid"/>
    <n v="2628.42"/>
    <n v="1541.54"/>
    <n v="1086.8800000000001"/>
    <x v="2"/>
    <s v="Include"/>
    <s v=""/>
    <s v="Returned"/>
    <s v="Returned"/>
    <s v="Include"/>
  </r>
  <r>
    <s v="ORD-2024-10322"/>
    <n v="1"/>
    <s v=""/>
    <s v="06/23/2024"/>
    <d v="2024-06-23T00:00:00"/>
    <s v="30 Jun 2024"/>
    <d v="2024-06-30T00:00:00"/>
    <s v="Valid"/>
    <n v="7"/>
    <s v="Valid"/>
    <s v="CUST-7821"/>
    <s v="Neha Gupta"/>
    <s v="Neha Gupta"/>
    <s v="Small Business"/>
    <s v="Small Business"/>
    <x v="3"/>
    <s v="West"/>
    <s v="Goa"/>
    <s v="Panaji"/>
    <s v="Technology"/>
    <s v="Technology"/>
    <s v="Accessories"/>
    <s v="Eco Accessories 220"/>
    <s v="Same Day"/>
    <s v="Same Day"/>
    <n v="4"/>
    <n v="674.82"/>
    <n v="0"/>
    <n v="0"/>
    <s v="Valid"/>
    <n v="2699.28"/>
    <n v="1759.76"/>
    <n v="939.52"/>
    <x v="3"/>
    <s v="Exclude"/>
    <s v=""/>
    <s v="Cancelled"/>
    <s v="Cancelled"/>
    <s v="Exclude"/>
  </r>
  <r>
    <s v="ORD-2024-10323"/>
    <n v="1"/>
    <s v=""/>
    <s v="2024-11-12"/>
    <d v="2024-11-12T00:00:00"/>
    <s v="12-11-2024"/>
    <d v="2024-11-12T00:00:00"/>
    <s v="Valid"/>
    <n v="0"/>
    <s v="Valid"/>
    <s v="CUST-8579"/>
    <s v="Isha Nair"/>
    <s v="Isha Nair"/>
    <s v="Consumer"/>
    <s v="Consumer"/>
    <x v="0"/>
    <s v="North"/>
    <s v="Uttar Pradesh"/>
    <s v="Noida"/>
    <s v="Technology"/>
    <s v="Technology"/>
    <s v="Phones"/>
    <s v="Max Phones 422"/>
    <s v="Second Class"/>
    <s v="Second Class"/>
    <n v="6"/>
    <n v="1369.48"/>
    <n v="0.15"/>
    <n v="0.15"/>
    <s v="Valid"/>
    <n v="6984.35"/>
    <n v="4023.63"/>
    <n v="2960.72"/>
    <x v="0"/>
    <s v="Include"/>
    <s v=""/>
    <s v="Completed"/>
    <s v="Completed"/>
    <s v="Include"/>
  </r>
  <r>
    <s v="ORD-2024-10324"/>
    <n v="1"/>
    <s v=""/>
    <s v="25-02-2024"/>
    <d v="2024-02-25T00:00:00"/>
    <s v="29 Feb 2024"/>
    <d v="2024-02-29T00:00:00"/>
    <s v="Valid"/>
    <n v="4"/>
    <s v="Valid"/>
    <s v="CUST-6909"/>
    <s v="Isha Nair"/>
    <s v="Isha Nair"/>
    <s v="Small Business"/>
    <s v="Small Business"/>
    <x v="3"/>
    <s v="West"/>
    <s v="Goa"/>
    <s v="Panaji"/>
    <s v="Furniture"/>
    <s v="Furniture"/>
    <s v="Furnishings"/>
    <s v="Eco Furnishings 897"/>
    <s v="Standard Class"/>
    <s v="Standard Class"/>
    <n v="9"/>
    <n v="1331.46"/>
    <n v="0.15"/>
    <n v="0.15"/>
    <s v="Valid"/>
    <n v="10185.67"/>
    <n v="6479.31"/>
    <n v="3706.36"/>
    <x v="0"/>
    <s v="Include"/>
    <s v=""/>
    <s v="Completed"/>
    <s v="Completed"/>
    <s v="Include"/>
  </r>
  <r>
    <s v="ORD-2025-10325"/>
    <n v="1"/>
    <s v=""/>
    <s v="31 Jul 2025"/>
    <d v="2025-07-31T00:00:00"/>
    <s v="02-08-2025"/>
    <d v="2025-08-02T00:00:00"/>
    <s v="Valid"/>
    <n v="2"/>
    <s v="Valid"/>
    <s v="CUST-7212"/>
    <s v="Rohan Mehta"/>
    <s v="Rohan Mehta"/>
    <s v="Home Office"/>
    <s v="Home Office"/>
    <x v="2"/>
    <s v="South"/>
    <s v="Andhra Pradesh"/>
    <s v="Vijayawada"/>
    <s v="Office Supplies"/>
    <s v="Office Supplies"/>
    <s v="Labels"/>
    <s v="Basic Labels 102"/>
    <s v="Same Day"/>
    <s v="Same Day"/>
    <n v="1"/>
    <n v="1947.88"/>
    <n v="0.15"/>
    <n v="0.15"/>
    <s v="Valid"/>
    <n v="1655.7"/>
    <n v="1354.8"/>
    <n v="300.89999999999998"/>
    <x v="0"/>
    <s v="Include"/>
    <s v=""/>
    <s v="Returned"/>
    <s v="Returned"/>
    <s v="Include"/>
  </r>
  <r>
    <s v="ORD-2025-10326"/>
    <n v="1"/>
    <s v=""/>
    <s v="09/16/2025"/>
    <d v="2025-09-16T00:00:00"/>
    <s v="2025-09-22"/>
    <d v="2025-09-22T00:00:00"/>
    <s v="Valid"/>
    <n v="6"/>
    <s v="Valid"/>
    <s v="CUST-7980"/>
    <s v="Sneha Kapoor"/>
    <s v="Sneha Kapoor"/>
    <s v="Home Office"/>
    <s v="Home Office"/>
    <x v="1"/>
    <s v="East"/>
    <s v="West Bengal"/>
    <s v="Kolkata"/>
    <s v="Technology"/>
    <s v="Technology"/>
    <s v="Copiers"/>
    <s v="Prime Copiers 170"/>
    <s v="Second Class"/>
    <s v="Second Class"/>
    <n v="5"/>
    <n v="3671.2"/>
    <n v="0.15"/>
    <n v="0.15"/>
    <s v="Valid"/>
    <n v="15602.6"/>
    <n v="11908.52"/>
    <n v="3694.08"/>
    <x v="0"/>
    <s v="Include"/>
    <s v=""/>
    <s v="Completed"/>
    <s v="Completed"/>
    <s v="Include"/>
  </r>
  <r>
    <s v="ORD-2025-10327"/>
    <n v="1"/>
    <s v=""/>
    <s v="2025-07-22"/>
    <d v="2025-07-22T00:00:00"/>
    <s v="07/22/2025"/>
    <d v="2025-07-22T00:00:00"/>
    <s v="Valid"/>
    <n v="0"/>
    <s v="Valid"/>
    <s v="CUST-1966"/>
    <s v="Sneha Kapoor"/>
    <s v="Sneha Kapoor"/>
    <s v="Corporate"/>
    <s v="Corporate"/>
    <x v="1"/>
    <s v="East"/>
    <s v="Jharkhand"/>
    <s v="Ranchi"/>
    <s v="Furniture"/>
    <s v="Furniture"/>
    <s v="Furnishings"/>
    <s v="Smart Furnishings 533"/>
    <s v="Same Day"/>
    <s v="Same Day"/>
    <n v="5"/>
    <n v="3187.05"/>
    <n v="0.05"/>
    <n v="0.05"/>
    <s v="Valid"/>
    <n v="15138.49"/>
    <n v="11235.72"/>
    <n v="3902.77"/>
    <x v="0"/>
    <s v="Include"/>
    <s v=""/>
    <s v="Completed"/>
    <s v="Completed"/>
    <s v="Include"/>
  </r>
  <r>
    <s v="ORD-2024-10328"/>
    <n v="1"/>
    <s v=""/>
    <s v="2024-07-24"/>
    <d v="2024-07-24T00:00:00"/>
    <s v="27-07-2024"/>
    <d v="2024-07-27T00:00:00"/>
    <s v="Valid"/>
    <n v="3"/>
    <s v="Valid"/>
    <s v="CUST-6163"/>
    <s v="Isha Nair"/>
    <s v="Isha Nair"/>
    <s v="Consumer"/>
    <s v="Consumer"/>
    <x v="3"/>
    <s v="West"/>
    <s v="Rajasthan"/>
    <s v="Udaipur"/>
    <s v="Technology"/>
    <s v="Technology"/>
    <s v="Accessories"/>
    <s v="Classic Accessories 489"/>
    <s v="Second Class"/>
    <s v="Second Class"/>
    <n v="3"/>
    <n v="1834.55"/>
    <n v="0.2"/>
    <n v="0.2"/>
    <s v="Valid"/>
    <n v="4402.92"/>
    <n v="2993.94"/>
    <n v="1408.98"/>
    <x v="2"/>
    <s v="Exclude"/>
    <s v=""/>
    <s v="Cancelled"/>
    <s v="Cancelled"/>
    <s v="Exclude"/>
  </r>
  <r>
    <s v="ORD-2025-10329"/>
    <n v="1"/>
    <s v=""/>
    <s v="2025-05-29"/>
    <d v="2025-05-29T00:00:00"/>
    <s v="04 Jun 2025"/>
    <d v="2025-06-04T00:00:00"/>
    <s v="Valid"/>
    <n v="6"/>
    <s v="Valid"/>
    <s v="CUST-7239"/>
    <s v="Diya Patel"/>
    <s v="Diya Patel"/>
    <s v="Consumer"/>
    <s v="Consumer"/>
    <x v="3"/>
    <s v="West"/>
    <s v="Maharashtra"/>
    <s v="Mumbai"/>
    <s v="Office Supplies"/>
    <s v="Office Supplies"/>
    <s v="Storage"/>
    <s v="Smart Storage 439"/>
    <s v="First Class"/>
    <s v="First Class"/>
    <n v="6"/>
    <n v="3100.68"/>
    <n v="0"/>
    <n v="0"/>
    <s v="Valid"/>
    <n v="18604.080000000002"/>
    <n v="15834.3"/>
    <n v="2769.78"/>
    <x v="0"/>
    <s v="Include"/>
    <s v=""/>
    <s v="Completed"/>
    <s v="Completed"/>
    <s v="Include"/>
  </r>
  <r>
    <s v="ORD-2025-10330"/>
    <n v="1"/>
    <s v=""/>
    <s v="12 May 2025"/>
    <d v="2025-05-12T00:00:00"/>
    <s v="2025-05-18"/>
    <d v="2025-05-18T00:00:00"/>
    <s v="Valid"/>
    <n v="6"/>
    <s v="Valid"/>
    <s v="CUST-9718"/>
    <s v="Neha Gupta"/>
    <s v="Neha Gupta"/>
    <s v="Small Business"/>
    <s v="Small Business"/>
    <x v="3"/>
    <s v="West"/>
    <s v="Maharashtra"/>
    <s v="Mumbai"/>
    <s v="Office Supplies"/>
    <s v="Office Supplies"/>
    <s v="Storage"/>
    <s v="Prime Storage 232"/>
    <s v="Standard Class"/>
    <s v="Standard Class"/>
    <n v="4"/>
    <n v="4053.03"/>
    <n v="0.05"/>
    <n v="0.05"/>
    <s v="Valid"/>
    <n v="15401.51"/>
    <n v="8650.42"/>
    <n v="6751.09"/>
    <x v="0"/>
    <s v="Include"/>
    <s v=""/>
    <s v="Completed"/>
    <s v="Completed"/>
    <s v="Include"/>
  </r>
  <r>
    <s v="ORD-2024-10331"/>
    <n v="1"/>
    <s v=""/>
    <s v="05/16/2024"/>
    <d v="2024-05-16T00:00:00"/>
    <s v="05/24/2024"/>
    <d v="2024-05-24T00:00:00"/>
    <s v="Valid"/>
    <n v="8"/>
    <s v="Valid"/>
    <s v="CUST-1116"/>
    <s v="Arjun Bose"/>
    <s v="Arjun Bose"/>
    <s v="Home Office"/>
    <s v="Home Office"/>
    <x v="0"/>
    <s v="North"/>
    <s v="Punjab"/>
    <s v="Ludhiana"/>
    <s v="Technology"/>
    <s v="Technology"/>
    <s v="Accessories"/>
    <s v="Prime Accessories 335"/>
    <s v="Same Day"/>
    <s v="Same Day"/>
    <n v="1"/>
    <n v="783.09"/>
    <n v="0"/>
    <n v="0"/>
    <s v="Valid"/>
    <n v="783.09"/>
    <n v="503.89"/>
    <n v="279.2"/>
    <x v="3"/>
    <s v="Exclude"/>
    <s v=""/>
    <s v="Cancelled"/>
    <s v="Cancelled"/>
    <s v="Exclude"/>
  </r>
  <r>
    <s v="ORD-2024-10332"/>
    <n v="2"/>
    <s v="Review Required"/>
    <s v="04-12-2024"/>
    <d v="2024-12-04T00:00:00"/>
    <s v="2024-12-06"/>
    <d v="2024-12-06T00:00:00"/>
    <s v="Valid"/>
    <n v="2"/>
    <s v="Valid"/>
    <s v="CUST-9346"/>
    <s v="Sneha Kapoor"/>
    <s v="Sneha Kapoor"/>
    <s v="Home Office"/>
    <s v="Home Office"/>
    <x v="1"/>
    <s v="East"/>
    <s v="Odisha"/>
    <s v="Bhubaneswar"/>
    <s v="Office Supplies"/>
    <s v="Office Supplies"/>
    <s v="Binders"/>
    <s v="Smart Binders 939"/>
    <s v="Second Class"/>
    <s v="Second Class"/>
    <n v="4"/>
    <n v="2685.66"/>
    <n v="0"/>
    <n v="0"/>
    <s v="Valid"/>
    <n v="10989.89"/>
    <n v="6477.37"/>
    <n v="4265.2700000000004"/>
    <x v="0"/>
    <s v="Include"/>
    <s v=""/>
    <s v="Completed"/>
    <s v="Completed"/>
    <s v="Include"/>
  </r>
  <r>
    <s v="ORD-2025-10333"/>
    <n v="1"/>
    <s v=""/>
    <s v="27 May 2025"/>
    <d v="2025-05-27T00:00:00"/>
    <s v="2025-05-28"/>
    <d v="2025-05-28T00:00:00"/>
    <s v="Valid"/>
    <n v="1"/>
    <s v="Valid"/>
    <s v="CUST-5332"/>
    <s v="Aarav Sharma"/>
    <s v="Aarav Sharma"/>
    <s v="Consumer"/>
    <s v="Consumer"/>
    <x v="2"/>
    <s v="South"/>
    <s v="Andhra Pradesh"/>
    <s v="Vijayawada"/>
    <s v="Technology"/>
    <s v="Technology"/>
    <s v="Machines"/>
    <s v="Basic Machines 601"/>
    <s v="Second Class"/>
    <s v="Second Class"/>
    <n v="2"/>
    <n v="3911.96"/>
    <n v="0"/>
    <n v="0"/>
    <s v="Valid"/>
    <n v="7823.92"/>
    <n v="6034.63"/>
    <n v="1789.29"/>
    <x v="0"/>
    <s v="Include"/>
    <s v=""/>
    <s v="Completed"/>
    <s v="Completed"/>
    <s v="Include"/>
  </r>
  <r>
    <s v="ORD-2025-10334"/>
    <n v="1"/>
    <s v=""/>
    <s v="22 Jun 2025"/>
    <d v="2025-06-22T00:00:00"/>
    <s v="2025-06-27"/>
    <d v="2025-06-27T00:00:00"/>
    <s v="Valid"/>
    <n v="5"/>
    <s v="Valid"/>
    <s v="CUST-8081"/>
    <s v="Rohan Mehta"/>
    <s v="Rohan Mehta"/>
    <s v="Home Office"/>
    <s v="Home Office"/>
    <x v="4"/>
    <s v="Unknown"/>
    <s v="Delhi"/>
    <s v="New Delhi"/>
    <s v="Technology"/>
    <s v="Technology"/>
    <s v="Phones"/>
    <s v="Pro Phones 968"/>
    <s v="First Class"/>
    <s v="First Class"/>
    <n v="2"/>
    <n v="1468.05"/>
    <n v="0"/>
    <n v="0"/>
    <s v="Valid"/>
    <n v="2936.1"/>
    <n v="1923.1"/>
    <n v="1013"/>
    <x v="0"/>
    <s v="Include"/>
    <s v=""/>
    <s v="Completed"/>
    <s v="Completed"/>
    <s v="Include"/>
  </r>
  <r>
    <s v="ORD-2024-10335"/>
    <n v="1"/>
    <s v=""/>
    <s v="12 Sep 2024"/>
    <d v="2024-09-12T00:00:00"/>
    <s v="17-09-2024"/>
    <d v="2024-09-17T00:00:00"/>
    <s v="Valid"/>
    <n v="5"/>
    <s v="Valid"/>
    <s v="CUST-3062"/>
    <s v="Ananya Rao"/>
    <s v="Ananya Rao"/>
    <s v="Consumer"/>
    <s v="Consumer"/>
    <x v="1"/>
    <s v="East"/>
    <s v="Jharkhand"/>
    <s v="Ranchi"/>
    <s v="Office Supplies"/>
    <s v="Office Supplies"/>
    <s v="Storage"/>
    <s v="Pro Storage 563"/>
    <s v="First Class"/>
    <s v="First Class"/>
    <n v="9"/>
    <n v="1921.47"/>
    <n v="0.25"/>
    <n v="0.25"/>
    <s v="Valid"/>
    <n v="12969.92"/>
    <n v="9398.4599999999991"/>
    <n v="3571.46"/>
    <x v="0"/>
    <s v="Include"/>
    <s v=""/>
    <s v="Completed"/>
    <s v="Completed"/>
    <s v="Include"/>
  </r>
  <r>
    <s v="ORD-2024-10424"/>
    <n v="2"/>
    <s v="Review Required"/>
    <s v="2024-02-20"/>
    <d v="2024-02-20T00:00:00"/>
    <s v="27-02-2024"/>
    <d v="2024-02-27T00:00:00"/>
    <s v="Valid"/>
    <n v="7"/>
    <s v="Valid"/>
    <s v="CUST-6169"/>
    <s v="Diya Patel"/>
    <s v="Diya Patel"/>
    <s v="Consumer"/>
    <s v="Consumer"/>
    <x v="2"/>
    <s v="South"/>
    <s v="Kerala"/>
    <s v="Kochi"/>
    <s v="Technology"/>
    <s v="Technology"/>
    <s v="Accessories"/>
    <s v="Prime Accessories 236"/>
    <s v="First Class"/>
    <s v="First Class"/>
    <n v="9"/>
    <n v="3779.31"/>
    <n v="0.2"/>
    <n v="0.2"/>
    <s v="Valid"/>
    <n v="27211.03"/>
    <n v="17940.43"/>
    <n v="9270.6"/>
    <x v="0"/>
    <s v="Include"/>
    <s v=""/>
    <s v="Completed"/>
    <s v="Completed"/>
    <s v="Include"/>
  </r>
  <r>
    <s v="ORD-2024-10337"/>
    <n v="1"/>
    <s v=""/>
    <s v="17-03-2024"/>
    <d v="2024-03-17T00:00:00"/>
    <s v="03/21/2024"/>
    <d v="2024-03-21T00:00:00"/>
    <s v="Valid"/>
    <n v="4"/>
    <s v="Valid"/>
    <s v="CUST-2103"/>
    <s v="Aarav Sharma"/>
    <s v="Aarav Sharma"/>
    <s v="Consumer"/>
    <s v="Consumer"/>
    <x v="0"/>
    <s v="North"/>
    <s v="Rajasthan"/>
    <s v="Jaipur"/>
    <s v="Technology"/>
    <s v="Technology"/>
    <s v="Copiers"/>
    <s v="Pro Copiers 999"/>
    <s v="First Class"/>
    <s v="First Class"/>
    <n v="8"/>
    <n v="1992.57"/>
    <n v="0"/>
    <n v="0"/>
    <s v="Valid"/>
    <n v="15940.56"/>
    <n v="12347.15"/>
    <n v="3593.41"/>
    <x v="0"/>
    <s v="Include"/>
    <s v=""/>
    <s v="Completed"/>
    <s v="Completed"/>
    <s v="Include"/>
  </r>
  <r>
    <s v="ORD-2024-10338"/>
    <n v="1"/>
    <s v=""/>
    <s v="12 Aug 2024"/>
    <d v="2024-08-12T00:00:00"/>
    <s v="18 Aug 2024"/>
    <d v="2024-08-18T00:00:00"/>
    <s v="Valid"/>
    <n v="6"/>
    <s v="Valid"/>
    <s v="CUST-4599"/>
    <s v="Ananya Rao"/>
    <s v="Ananya Rao"/>
    <s v="Consumer"/>
    <s v="Consumer"/>
    <x v="1"/>
    <s v="East"/>
    <s v="Assam"/>
    <s v="Guwahati"/>
    <s v="Office Supplies"/>
    <s v="Office Supplies"/>
    <s v="Labels"/>
    <s v="Classic Labels 206"/>
    <s v="Same Day"/>
    <s v="Same Day"/>
    <n v="6"/>
    <n v="1181.74"/>
    <n v="0"/>
    <n v="0"/>
    <s v="Valid"/>
    <n v="7090.44"/>
    <n v="5672.27"/>
    <n v="1262.8699999999999"/>
    <x v="0"/>
    <s v="Include"/>
    <s v=""/>
    <s v="Completed"/>
    <s v="Completed"/>
    <s v="Include"/>
  </r>
  <r>
    <s v="ORD-2024-10339"/>
    <n v="1"/>
    <s v=""/>
    <s v="08-12-2024"/>
    <d v="2024-12-08T00:00:00"/>
    <s v="12/08/2024"/>
    <d v="2024-12-08T00:00:00"/>
    <s v="Valid"/>
    <n v="0"/>
    <s v="Valid"/>
    <s v="CUST-3066"/>
    <s v="Arjun Bose"/>
    <s v="Arjun Bose"/>
    <s v="Small Business"/>
    <s v="Small Business"/>
    <x v="2"/>
    <s v="South"/>
    <s v="Andhra Pradesh"/>
    <s v="Vijayawada"/>
    <s v="Technology"/>
    <s v="Technology"/>
    <s v="Accessories"/>
    <s v="Eco Accessories 315"/>
    <s v="First Class"/>
    <s v="First Class"/>
    <n v="8"/>
    <n v="4402.3599999999997"/>
    <n v="0.25"/>
    <n v="0.25"/>
    <s v="Valid"/>
    <n v="26414.16"/>
    <n v="21822.53"/>
    <n v="4591.63"/>
    <x v="0"/>
    <s v="Include"/>
    <s v=""/>
    <s v="Completed"/>
    <s v="Completed"/>
    <s v="Include"/>
  </r>
  <r>
    <s v="ORD-2025-10340"/>
    <n v="1"/>
    <s v=""/>
    <s v="20-02-2025"/>
    <d v="2025-02-20T00:00:00"/>
    <s v="22-02-2025"/>
    <d v="2025-02-22T00:00:00"/>
    <s v="Valid"/>
    <n v="2"/>
    <s v="Valid"/>
    <s v="CUST-2752"/>
    <s v="Neha Gupta"/>
    <s v="Neha Gupta"/>
    <s v="Corporate"/>
    <s v="Corporate"/>
    <x v="1"/>
    <s v="East"/>
    <s v="Jharkhand"/>
    <s v="Ranchi"/>
    <s v="Furniture"/>
    <s v="Furniture"/>
    <s v="Bookcases"/>
    <s v="Elite Bookcases 988"/>
    <s v="Standard Class"/>
    <s v="Standard Class"/>
    <n v="8"/>
    <n v="3265.76"/>
    <n v="0.2"/>
    <n v="0.2"/>
    <s v="Valid"/>
    <n v="20900.86"/>
    <n v="12513.14"/>
    <n v="8387.7199999999993"/>
    <x v="0"/>
    <s v="Include"/>
    <s v=""/>
    <s v="Completed"/>
    <s v="Completed"/>
    <s v="Include"/>
  </r>
  <r>
    <s v="ORD-2024-10341"/>
    <n v="1"/>
    <s v=""/>
    <s v="21 Jan 2024"/>
    <d v="2024-01-21T00:00:00"/>
    <s v="01/29/2024"/>
    <d v="2024-01-29T00:00:00"/>
    <s v="Valid"/>
    <n v="8"/>
    <s v="Valid"/>
    <s v="CUST-6291"/>
    <s v="Neha Gupta"/>
    <s v="Neha Gupta"/>
    <s v="Consumer"/>
    <s v="Consumer"/>
    <x v="2"/>
    <s v="South"/>
    <s v="Karnataka"/>
    <s v="Bengaluru"/>
    <s v="Office Supplies"/>
    <s v="Office Supplies"/>
    <s v="Binders"/>
    <s v="Smart Binders 414"/>
    <s v="Standard Class"/>
    <s v="Standard Class"/>
    <n v="5"/>
    <n v="4058.08"/>
    <n v="0.1"/>
    <n v="0.1"/>
    <s v="Valid"/>
    <n v="18261.36"/>
    <n v="11399.94"/>
    <n v="6861.42"/>
    <x v="0"/>
    <s v="Include"/>
    <s v=""/>
    <s v="Completed"/>
    <s v="Completed"/>
    <s v="Include"/>
  </r>
  <r>
    <s v="ORD-2025-10342"/>
    <n v="1"/>
    <s v=""/>
    <s v="08 Sep 2025"/>
    <d v="2025-09-08T00:00:00"/>
    <s v="2025-09-09"/>
    <d v="2025-09-09T00:00:00"/>
    <s v="Valid"/>
    <n v="1"/>
    <s v="Valid"/>
    <s v="CUST-9969"/>
    <s v="Rohan Mehta"/>
    <s v="Rohan Mehta"/>
    <s v="Home Office"/>
    <s v="Home Office"/>
    <x v="3"/>
    <s v="West"/>
    <s v="Gujarat"/>
    <s v="Ahmedabad"/>
    <s v="Furniture"/>
    <s v="Furniture"/>
    <s v="Chairs"/>
    <s v="Eco Chairs 552"/>
    <s v="Second Class"/>
    <s v="Second Class"/>
    <n v="2"/>
    <n v="3960.33"/>
    <n v="0.05"/>
    <n v="0.05"/>
    <s v="Valid"/>
    <n v="7524.63"/>
    <n v="6229.6"/>
    <n v="1295.03"/>
    <x v="0"/>
    <s v="Include"/>
    <s v=""/>
    <s v="Completed"/>
    <s v="Completed"/>
    <s v="Include"/>
  </r>
  <r>
    <s v="ORD-2025-10343"/>
    <n v="1"/>
    <s v=""/>
    <s v="24-07-2025"/>
    <d v="2025-07-24T00:00:00"/>
    <s v="01-08-2025"/>
    <d v="2025-08-01T00:00:00"/>
    <s v="Valid"/>
    <n v="8"/>
    <s v="Valid"/>
    <s v="CUST-3335"/>
    <s v="Kabir Singh"/>
    <s v="Kabir Singh"/>
    <s v="Small Business"/>
    <s v="Small Business"/>
    <x v="1"/>
    <s v="East"/>
    <s v="Jharkhand"/>
    <s v="Ranchi"/>
    <s v="Office Supplies"/>
    <s v="Office Supplies"/>
    <s v="Binders"/>
    <s v="Smart Binders 574"/>
    <s v="First Class"/>
    <s v="First Class"/>
    <n v="8"/>
    <n v="1528.92"/>
    <n v="0"/>
    <n v="0"/>
    <s v="Valid"/>
    <n v="12231.36"/>
    <n v="8766.9"/>
    <n v="3464.46"/>
    <x v="0"/>
    <s v="Include"/>
    <s v=""/>
    <s v="Completed"/>
    <s v="Completed"/>
    <s v="Include"/>
  </r>
  <r>
    <s v="ORD-2025-10344"/>
    <n v="1"/>
    <s v=""/>
    <s v="10/03/2025"/>
    <d v="2025-10-03T00:00:00"/>
    <s v="08 Oct 2025"/>
    <d v="2025-10-08T00:00:00"/>
    <s v="Valid"/>
    <n v="5"/>
    <s v="Valid"/>
    <s v="CUST-7358"/>
    <s v="Aarav Sharma"/>
    <s v="Aarav Sharma"/>
    <s v="Corporate"/>
    <s v="Corporate"/>
    <x v="3"/>
    <s v="West"/>
    <s v="Madhya Pradesh"/>
    <s v="Indore"/>
    <s v="Technology"/>
    <s v="Technology"/>
    <s v="Machines"/>
    <s v="Pro Machines 444"/>
    <s v="Same Day"/>
    <s v="Same Day"/>
    <n v="9"/>
    <n v="3837"/>
    <n v="0.1"/>
    <n v="0.1"/>
    <s v="Valid"/>
    <n v="31079.7"/>
    <n v="17758.25"/>
    <n v="13321.45"/>
    <x v="0"/>
    <s v="Include"/>
    <s v=""/>
    <s v="Completed"/>
    <s v="Completed"/>
    <s v="Include"/>
  </r>
  <r>
    <s v="ORD-2024-10345"/>
    <n v="1"/>
    <s v=""/>
    <s v="11-03-2024"/>
    <d v="2024-03-11T00:00:00"/>
    <s v="11-03-2024"/>
    <d v="2024-03-11T00:00:00"/>
    <s v="Valid"/>
    <n v="0"/>
    <s v="Valid"/>
    <s v="CUST-8025"/>
    <s v="Priya Menon"/>
    <s v="Priya Menon"/>
    <s v="Consumer"/>
    <s v="Consumer"/>
    <x v="0"/>
    <s v="North"/>
    <s v="Punjab"/>
    <s v="Ludhiana"/>
    <s v="Furniture"/>
    <s v="Furniture"/>
    <s v="Bookcases"/>
    <s v="Elite Bookcases 184"/>
    <s v="Same Day"/>
    <s v="Same Day"/>
    <n v="9"/>
    <n v="3456.38"/>
    <n v="0"/>
    <n v="0"/>
    <s v="Valid"/>
    <n v="31107.42"/>
    <n v="20146.66"/>
    <n v="10960.76"/>
    <x v="2"/>
    <s v="Include"/>
    <s v=""/>
    <s v="Returned"/>
    <s v="Returned"/>
    <s v="Include"/>
  </r>
  <r>
    <s v="ORD-2024-10346"/>
    <n v="1"/>
    <s v=""/>
    <s v="2024-09-14"/>
    <d v="2024-09-14T00:00:00"/>
    <s v="2024-09-22"/>
    <d v="2024-09-22T00:00:00"/>
    <s v="Valid"/>
    <n v="8"/>
    <s v="Valid"/>
    <s v="CUST-4634"/>
    <s v="Karan Malhotra"/>
    <s v="Karan Malhotra"/>
    <s v="Consumer"/>
    <s v="Consumer"/>
    <x v="3"/>
    <s v="West"/>
    <s v="Madhya Pradesh"/>
    <s v="Indore"/>
    <s v="Furniture"/>
    <s v="Furniture"/>
    <s v="Furnishings"/>
    <s v="Elite Furnishings 138"/>
    <s v="Second Class"/>
    <s v="Second Class"/>
    <n v="2"/>
    <n v="2765.3"/>
    <n v="0"/>
    <n v="0"/>
    <s v="Valid"/>
    <n v="5530.6"/>
    <n v="4453.1099999999997"/>
    <n v="1077.49"/>
    <x v="0"/>
    <s v="Include"/>
    <s v=""/>
    <s v="Completed"/>
    <s v="Completed"/>
    <s v="Include"/>
  </r>
  <r>
    <s v="ORD-2025-10347"/>
    <n v="1"/>
    <s v=""/>
    <s v="2025-07-22"/>
    <d v="2025-07-22T00:00:00"/>
    <s v="28-07-2025"/>
    <d v="2025-07-28T00:00:00"/>
    <s v="Valid"/>
    <n v="6"/>
    <s v="Valid"/>
    <s v="CUST-3400"/>
    <s v="Rahul Verma"/>
    <s v="Rahul Verma"/>
    <s v="Corporate"/>
    <s v="Corporate"/>
    <x v="2"/>
    <s v="South"/>
    <s v="Kerala"/>
    <s v="Kochi"/>
    <s v="Furniture"/>
    <s v="Furniture"/>
    <s v="Chairs"/>
    <s v="Eco Chairs 369"/>
    <s v="Second Class"/>
    <s v="Second Class"/>
    <n v="6"/>
    <n v="1607.46"/>
    <n v="0.2"/>
    <n v="0.2"/>
    <s v="Valid"/>
    <n v="7715.81"/>
    <n v="4258.42"/>
    <n v="3457.39"/>
    <x v="0"/>
    <s v="Include"/>
    <s v=""/>
    <s v="Completed"/>
    <s v="Completed"/>
    <s v="Include"/>
  </r>
  <r>
    <s v="ORD-2024-10348"/>
    <n v="1"/>
    <s v=""/>
    <s v="01-12-2024"/>
    <d v="2024-12-01T00:00:00"/>
    <s v="12/08/2024"/>
    <d v="2024-12-08T00:00:00"/>
    <s v="Valid"/>
    <n v="7"/>
    <s v="Valid"/>
    <s v="CUST-1172"/>
    <s v="Aarav Sharma"/>
    <s v="Aarav Sharma"/>
    <s v="Small Business"/>
    <s v="Small Business"/>
    <x v="3"/>
    <s v="West"/>
    <s v="Goa"/>
    <s v="Panaji"/>
    <s v="Furniture"/>
    <s v="Furniture"/>
    <s v="Chairs"/>
    <s v="Max Chairs 487"/>
    <s v="Second Class"/>
    <s v="Second Class"/>
    <n v="5"/>
    <n v="2981.49"/>
    <n v="0.2"/>
    <n v="0.2"/>
    <s v="Valid"/>
    <n v="11925.96"/>
    <n v="10103.51"/>
    <n v="1822.45"/>
    <x v="1"/>
    <s v="Include"/>
    <s v="Refunded Order"/>
    <s v="Returned"/>
    <s v="Returned"/>
    <s v="Include"/>
  </r>
  <r>
    <s v="ORD-2024-10349"/>
    <n v="1"/>
    <s v=""/>
    <s v="06/02/2024"/>
    <d v="2024-06-02T00:00:00"/>
    <s v="06/07/2024"/>
    <d v="2024-06-07T00:00:00"/>
    <s v="Valid"/>
    <n v="5"/>
    <s v="Valid"/>
    <s v="CUST-9517"/>
    <s v="Aarav Sharma"/>
    <s v="Aarav Sharma"/>
    <s v="Corporate"/>
    <s v="Corporate"/>
    <x v="2"/>
    <s v="South"/>
    <s v="Karnataka"/>
    <s v="Bengaluru"/>
    <s v="Technology"/>
    <s v="Technology"/>
    <s v="Phones"/>
    <s v="Classic Phones 989"/>
    <s v="Same Day"/>
    <s v="Same Day"/>
    <n v="9"/>
    <n v="2860.26"/>
    <n v="0.25"/>
    <n v="0.25"/>
    <s v="Valid"/>
    <n v="19306.759999999998"/>
    <n v="14442.38"/>
    <n v="4864.38"/>
    <x v="0"/>
    <s v="Include"/>
    <s v=""/>
    <s v="Completed"/>
    <s v="Completed"/>
    <s v="Include"/>
  </r>
  <r>
    <s v="ORD-2025-10350"/>
    <n v="1"/>
    <s v=""/>
    <s v="27-09-2025"/>
    <d v="2025-09-27T00:00:00"/>
    <s v="09/29/2025"/>
    <d v="2025-09-29T00:00:00"/>
    <s v="Valid"/>
    <n v="2"/>
    <s v="Valid"/>
    <s v="CUST-6697"/>
    <s v="Kabir Singh"/>
    <s v="Kabir Singh"/>
    <s v="Home Office"/>
    <s v="Home Office"/>
    <x v="1"/>
    <s v="East"/>
    <s v="Jharkhand"/>
    <s v="Ranchi"/>
    <s v="Furniture"/>
    <s v="Furniture"/>
    <s v="Furnishings"/>
    <s v="Max Furnishings 628"/>
    <s v="Second Class"/>
    <s v="Second Class"/>
    <n v="9"/>
    <n v="2867.55"/>
    <n v="0.25"/>
    <n v="0.25"/>
    <s v="Valid"/>
    <n v="19355.96"/>
    <n v="15012.45"/>
    <n v="4017.4"/>
    <x v="0"/>
    <s v="Include"/>
    <s v=""/>
    <s v="Completed"/>
    <s v="Completed"/>
    <s v="Include"/>
  </r>
  <r>
    <s v="ORD-2024-10351"/>
    <n v="1"/>
    <s v=""/>
    <s v="07-01-2024"/>
    <d v="2024-01-07T00:00:00"/>
    <s v="14 Jan 2024"/>
    <d v="2024-01-14T00:00:00"/>
    <s v="Valid"/>
    <n v="7"/>
    <s v="Valid"/>
    <s v="CUST-7644"/>
    <s v="Sneha Kapoor"/>
    <s v="Sneha Kapoor"/>
    <s v="Small Business"/>
    <s v="Small Business"/>
    <x v="1"/>
    <s v="East"/>
    <s v="Jharkhand"/>
    <s v="Ranchi"/>
    <s v="Furniture"/>
    <s v="Furniture"/>
    <s v="Furnishings"/>
    <s v="Elite Furnishings 279"/>
    <s v="Second Class"/>
    <s v="Second Class"/>
    <n v="4"/>
    <n v="3309.54"/>
    <n v="0.1"/>
    <n v="0.1"/>
    <s v="Valid"/>
    <n v="11914.34"/>
    <n v="9771.24"/>
    <n v="2143.1"/>
    <x v="1"/>
    <s v="Include"/>
    <s v="Refunded Order"/>
    <s v="Returned"/>
    <s v="Returned"/>
    <s v="Include"/>
  </r>
  <r>
    <s v="ORD-2025-10352"/>
    <n v="1"/>
    <s v=""/>
    <s v="23-05-2025"/>
    <d v="2025-05-23T00:00:00"/>
    <s v="27 May 2025"/>
    <d v="2025-05-27T00:00:00"/>
    <s v="Valid"/>
    <n v="4"/>
    <s v="Valid"/>
    <s v="CUST-9963"/>
    <s v="Vikram Iyer"/>
    <s v="Vikram Iyer"/>
    <s v="Small Business"/>
    <s v="Small Business"/>
    <x v="2"/>
    <s v="South"/>
    <s v="Telangana"/>
    <s v="Hyderabad"/>
    <s v="Office Supplies"/>
    <s v="Office Supplies"/>
    <s v="Storage"/>
    <s v="Pro Storage 847"/>
    <s v="First Class"/>
    <s v="First Class"/>
    <n v="6"/>
    <n v="719.44"/>
    <n v="0.25"/>
    <n v="0.25"/>
    <s v="Valid"/>
    <n v="3237.48"/>
    <n v="2118.34"/>
    <n v="1119.1400000000001"/>
    <x v="2"/>
    <s v="Exclude"/>
    <s v=""/>
    <s v="Cancelled"/>
    <s v="Cancelled"/>
    <s v="Exclude"/>
  </r>
  <r>
    <s v="ORD-2025-10353"/>
    <n v="1"/>
    <s v=""/>
    <s v="15 Aug 2025"/>
    <d v="2025-08-15T00:00:00"/>
    <s v="08/17/2025"/>
    <d v="2025-08-17T00:00:00"/>
    <s v="Valid"/>
    <n v="2"/>
    <s v="Valid"/>
    <s v="CUST-6382"/>
    <s v="Diya Patel"/>
    <s v="Diya Patel"/>
    <s v="Small Business"/>
    <s v="Small Business"/>
    <x v="1"/>
    <s v="East"/>
    <s v="Assam"/>
    <s v="Guwahati"/>
    <s v="Technology"/>
    <s v="Technology"/>
    <s v="Copiers"/>
    <s v="Elite Copiers 706"/>
    <s v="First Class"/>
    <s v="First Class"/>
    <n v="5"/>
    <n v="2862.6"/>
    <n v="0.25"/>
    <n v="0.25"/>
    <s v="Valid"/>
    <n v="10734.75"/>
    <n v="6475.73"/>
    <n v="4259.0200000000004"/>
    <x v="0"/>
    <s v="Include"/>
    <s v=""/>
    <s v="Completed"/>
    <s v="Completed"/>
    <s v="Include"/>
  </r>
  <r>
    <s v="ORD-2025-10354"/>
    <n v="1"/>
    <s v=""/>
    <s v="21-02-2025"/>
    <d v="2025-02-21T00:00:00"/>
    <s v="27-02-2025"/>
    <d v="2025-02-27T00:00:00"/>
    <s v="Valid"/>
    <n v="6"/>
    <s v="Valid"/>
    <s v="CUST-3253"/>
    <s v="Ananya Rao"/>
    <s v="Ananya Rao"/>
    <s v="Consumer"/>
    <s v="Consumer"/>
    <x v="0"/>
    <s v="North"/>
    <s v="Rajasthan"/>
    <s v="Jaipur"/>
    <s v="Office Supplies"/>
    <s v="Office Supplies"/>
    <s v="Art"/>
    <s v="Prime Art 978"/>
    <s v="Same Day"/>
    <s v="Same Day"/>
    <n v="9"/>
    <n v="1431.67"/>
    <n v="0.2"/>
    <n v="0.2"/>
    <s v="Valid"/>
    <n v="10308.02"/>
    <n v="5822.31"/>
    <n v="4485.71"/>
    <x v="0"/>
    <s v="Include"/>
    <s v=""/>
    <s v="Completed"/>
    <s v="Completed"/>
    <s v="Include"/>
  </r>
  <r>
    <s v="ORD-2024-10355"/>
    <n v="1"/>
    <s v=""/>
    <s v="27 Dec 2024"/>
    <d v="2024-12-27T00:00:00"/>
    <s v="2024-12-31"/>
    <d v="2024-12-31T00:00:00"/>
    <s v="Valid"/>
    <n v="4"/>
    <s v="Valid"/>
    <s v="CUST-1058"/>
    <s v="Kabir Singh"/>
    <s v="Kabir Singh"/>
    <s v="Corporate"/>
    <s v="Corporate"/>
    <x v="0"/>
    <s v="North"/>
    <s v="Punjab"/>
    <s v="Ludhiana"/>
    <s v="Furniture"/>
    <s v="Furniture"/>
    <s v="Furnishings"/>
    <s v="Classic Furnishings 498"/>
    <s v="Standard Class"/>
    <s v="Standard Class"/>
    <n v="6"/>
    <n v="3346.78"/>
    <n v="-0.06"/>
    <n v="-0.06"/>
    <s v="Invalid Discount"/>
    <n v="20080.68"/>
    <n v="12908.84"/>
    <n v="7171.84"/>
    <x v="2"/>
    <s v="Exclude"/>
    <s v=""/>
    <s v="Cancelled"/>
    <s v="Cancelled"/>
    <s v="Exclude"/>
  </r>
  <r>
    <s v="ORD-2024-10356"/>
    <n v="1"/>
    <s v=""/>
    <s v="12-05-2024"/>
    <d v="2024-05-12T00:00:00"/>
    <s v="2024-05-09"/>
    <d v="2024-05-09T00:00:00"/>
    <s v="Invalid Shipping Record"/>
    <n v="-3"/>
    <s v="Invalid Shipping Record"/>
    <s v="CUST-6414"/>
    <s v="Priya Menon"/>
    <s v="Priya Menon"/>
    <s v="Corporate"/>
    <s v="Corporate"/>
    <x v="3"/>
    <s v="West"/>
    <s v="Rajasthan"/>
    <s v="Udaipur"/>
    <s v="Furniture"/>
    <s v="Furniture"/>
    <s v="Tables"/>
    <s v="Max Tables 829"/>
    <s v="Standard Class"/>
    <s v="Standard Class"/>
    <n v="5"/>
    <n v="3203.48"/>
    <n v="0"/>
    <n v="0"/>
    <s v="Valid"/>
    <n v="16017.4"/>
    <n v="9557.7999999999993"/>
    <n v="6459.6"/>
    <x v="2"/>
    <s v="Exclude"/>
    <s v=""/>
    <s v="Cancelled"/>
    <s v="Cancelled"/>
    <s v="Exclude"/>
  </r>
  <r>
    <s v="ORD-2025-10357"/>
    <n v="1"/>
    <s v=""/>
    <s v="27 Jun 2025"/>
    <d v="2025-06-27T00:00:00"/>
    <s v="29 Jun 2025"/>
    <d v="2025-06-29T00:00:00"/>
    <s v="Valid"/>
    <n v="2"/>
    <s v="Valid"/>
    <s v="CUST-9268"/>
    <s v="Rohan Mehta"/>
    <s v="Rohan Mehta"/>
    <s v="Home Office"/>
    <s v="Home Office"/>
    <x v="2"/>
    <s v="South"/>
    <s v="Telangana"/>
    <s v="Hyderabad"/>
    <s v="Furniture"/>
    <s v="Furniture"/>
    <s v="Chairs"/>
    <s v="Eco Chairs 346"/>
    <s v="First Class"/>
    <s v="First Class"/>
    <n v="5"/>
    <n v="621.70000000000005"/>
    <n v="0.2"/>
    <n v="0.2"/>
    <s v="Valid"/>
    <n v="2486.8000000000002"/>
    <n v="2131.73"/>
    <n v="355.07"/>
    <x v="2"/>
    <s v="Include"/>
    <s v=""/>
    <s v="Returned"/>
    <s v="Returned"/>
    <s v="Include"/>
  </r>
  <r>
    <s v="ORD-2025-10358"/>
    <n v="1"/>
    <s v=""/>
    <s v="2025-01-21"/>
    <d v="2025-01-21T00:00:00"/>
    <s v="01/29/2025"/>
    <d v="2025-01-29T00:00:00"/>
    <s v="Valid"/>
    <n v="8"/>
    <s v="Valid"/>
    <s v="CUST-1363"/>
    <s v="Mira Das"/>
    <s v="Mira Das"/>
    <s v="Home Office"/>
    <s v="Home Office"/>
    <x v="2"/>
    <s v="South"/>
    <s v="Andhra Pradesh"/>
    <s v="Vijayawada"/>
    <s v="Technology"/>
    <s v="Technology"/>
    <s v="Machines"/>
    <s v="Max Machines 770"/>
    <s v="Second Class"/>
    <s v="Second Class"/>
    <n v="8"/>
    <n v="546.13"/>
    <n v="0"/>
    <n v="0"/>
    <s v="Valid"/>
    <n v="4369.04"/>
    <n v="3716.88"/>
    <n v="652.16"/>
    <x v="0"/>
    <s v="Exclude"/>
    <s v=""/>
    <s v="Cancelled"/>
    <s v="Cancelled"/>
    <s v="Exclude"/>
  </r>
  <r>
    <s v="ORD-2025-10359"/>
    <n v="1"/>
    <s v=""/>
    <s v="08/09/2025"/>
    <d v="2025-08-09T00:00:00"/>
    <s v="2025-08-07"/>
    <d v="2025-08-07T00:00:00"/>
    <s v="Invalid Shipping Record"/>
    <n v="-2"/>
    <s v="Invalid Shipping Record"/>
    <s v="CUST-2477"/>
    <s v="Vikram Iyer"/>
    <s v="Vikram Iyer"/>
    <s v="Home Office"/>
    <s v="Home Office"/>
    <x v="3"/>
    <s v="West"/>
    <s v="Gujarat"/>
    <s v="Ahmedabad"/>
    <s v="Furniture"/>
    <s v="Furniture"/>
    <s v="Bookcases"/>
    <s v="Smart Bookcases 134"/>
    <s v="Second Class"/>
    <s v="Second Class"/>
    <n v="5"/>
    <n v="1253.92"/>
    <n v="0.05"/>
    <n v="0.05"/>
    <s v="Valid"/>
    <n v="5956.12"/>
    <n v="4379.18"/>
    <n v="1576.94"/>
    <x v="2"/>
    <s v="Include"/>
    <s v=""/>
    <s v="Returned"/>
    <s v="Returned"/>
    <s v="Include"/>
  </r>
  <r>
    <s v="ORD-2024-10360"/>
    <n v="1"/>
    <s v=""/>
    <s v="21 Aug 2024"/>
    <d v="2024-08-21T00:00:00"/>
    <s v="22-08-2024"/>
    <d v="2024-08-22T00:00:00"/>
    <s v="Valid"/>
    <n v="1"/>
    <s v="Valid"/>
    <s v="CUST-9571"/>
    <s v="Isha Nair"/>
    <s v="Isha Nair"/>
    <s v="Consumer"/>
    <s v="Consumer"/>
    <x v="2"/>
    <s v="South"/>
    <s v="Tamil Nadu"/>
    <s v="Chennai"/>
    <s v="Technology"/>
    <s v="Technology"/>
    <s v="Phones"/>
    <s v="Classic Phones 586"/>
    <s v="Same Day"/>
    <s v="Same Day"/>
    <n v="9"/>
    <n v="616.96"/>
    <n v="0.1"/>
    <n v="0.1"/>
    <s v="Valid"/>
    <n v="4997.38"/>
    <n v="2971.39"/>
    <n v="2025.99"/>
    <x v="0"/>
    <s v="Include"/>
    <s v=""/>
    <s v="Completed"/>
    <s v="Completed"/>
    <s v="Include"/>
  </r>
  <r>
    <s v="ORD-2024-10361"/>
    <n v="1"/>
    <s v=""/>
    <s v="17 Jun 2024"/>
    <d v="2024-06-17T00:00:00"/>
    <s v="2024-06-20"/>
    <d v="2024-06-20T00:00:00"/>
    <s v="Valid"/>
    <n v="3"/>
    <s v="Valid"/>
    <s v="CUST-3690"/>
    <s v="Sneha Kapoor"/>
    <s v="Sneha Kapoor"/>
    <s v="Small Business"/>
    <s v="Small Business"/>
    <x v="3"/>
    <s v="West"/>
    <s v="Gujarat"/>
    <s v="Ahmedabad"/>
    <s v="Furniture"/>
    <s v="Furniture"/>
    <s v="Furnishings"/>
    <s v="Elite Furnishings 634"/>
    <s v="Standard Class"/>
    <s v="Standard Class"/>
    <n v="7"/>
    <n v="3155.25"/>
    <n v="0.2"/>
    <n v="0.2"/>
    <s v="Valid"/>
    <n v="17669.400000000001"/>
    <n v="13718.77"/>
    <n v="3950.63"/>
    <x v="1"/>
    <s v="Exclude"/>
    <s v="Refunded Order"/>
    <s v="Cancelled"/>
    <s v="Cancelled"/>
    <s v="Exclude"/>
  </r>
  <r>
    <s v="ORD-2025-10362"/>
    <n v="1"/>
    <s v=""/>
    <s v="01-04-2025"/>
    <d v="2025-04-01T00:00:00"/>
    <s v="2025-04-02"/>
    <d v="2025-04-02T00:00:00"/>
    <s v="Valid"/>
    <n v="1"/>
    <s v="Valid"/>
    <s v="CUST-2909"/>
    <s v="Rohan Mehta"/>
    <s v="Rohan Mehta"/>
    <s v="Corporate"/>
    <s v="Corporate"/>
    <x v="1"/>
    <s v="East"/>
    <s v="Odisha"/>
    <s v="Bhubaneswar"/>
    <s v="Furniture"/>
    <s v="Furniture"/>
    <s v="Chairs"/>
    <s v="Basic Chairs 113"/>
    <s v="Second Class"/>
    <s v="Second Class"/>
    <n v="9"/>
    <n v="4165.58"/>
    <n v="0.05"/>
    <n v="0.05"/>
    <s v="Valid"/>
    <n v="35615.71"/>
    <n v="20389.71"/>
    <n v="15226"/>
    <x v="2"/>
    <s v="Include"/>
    <s v=""/>
    <s v="Returned"/>
    <s v="Returned"/>
    <s v="Include"/>
  </r>
  <r>
    <s v="ORD-2024-10363"/>
    <n v="1"/>
    <s v=""/>
    <s v="23 Aug 2024"/>
    <d v="2024-08-23T00:00:00"/>
    <s v="25-08-2024"/>
    <d v="2024-08-25T00:00:00"/>
    <s v="Valid"/>
    <n v="2"/>
    <s v="Valid"/>
    <s v="CUST-6755"/>
    <s v="Vikram Iyer"/>
    <s v="Vikram Iyer"/>
    <s v="Consumer"/>
    <s v="Consumer"/>
    <x v="3"/>
    <s v="West"/>
    <s v="Goa"/>
    <s v="Panaji"/>
    <s v="Technology"/>
    <s v="Technology"/>
    <s v="Machines"/>
    <s v="Elite Machines 216"/>
    <s v="Same Day"/>
    <s v="Same Day"/>
    <n v="4"/>
    <n v="491.16"/>
    <n v="0.05"/>
    <n v="0.05"/>
    <s v="Valid"/>
    <n v="1866.41"/>
    <n v="1576.49"/>
    <n v="289.92"/>
    <x v="0"/>
    <s v="Include"/>
    <s v=""/>
    <s v="Completed"/>
    <s v="Completed"/>
    <s v="Include"/>
  </r>
  <r>
    <s v="ORD-2025-10364"/>
    <n v="1"/>
    <s v=""/>
    <s v="07/07/2025"/>
    <d v="2025-07-07T00:00:00"/>
    <s v="07/12/2025"/>
    <d v="2025-07-12T00:00:00"/>
    <s v="Valid"/>
    <n v="5"/>
    <s v="Valid"/>
    <s v="CUST-1832"/>
    <s v="Diya Patel"/>
    <s v="Diya Patel"/>
    <s v="Corporate"/>
    <s v="Corporate"/>
    <x v="1"/>
    <s v="East"/>
    <s v="West Bengal"/>
    <s v="Kolkata"/>
    <s v="Furniture"/>
    <s v="Furniture"/>
    <s v="Tables"/>
    <s v="Smart Tables 943"/>
    <s v="Second Class"/>
    <s v="Second Class"/>
    <n v="5"/>
    <n v="1831.37"/>
    <n v="0.25"/>
    <n v="0.25"/>
    <s v="Valid"/>
    <n v="6867.64"/>
    <n v="5205.3599999999997"/>
    <n v="1662.28"/>
    <x v="0"/>
    <s v="Include"/>
    <s v=""/>
    <s v="Completed"/>
    <s v="Completed"/>
    <s v="Include"/>
  </r>
  <r>
    <s v="ORD-2025-10365"/>
    <n v="1"/>
    <s v=""/>
    <s v="03/21/2025"/>
    <d v="2025-03-21T00:00:00"/>
    <s v="2025-03-24"/>
    <d v="2025-03-24T00:00:00"/>
    <s v="Valid"/>
    <n v="3"/>
    <s v="Valid"/>
    <s v="CUST-4452"/>
    <s v="Aarav Sharma"/>
    <s v="Aarav Sharma"/>
    <s v="Small Business"/>
    <s v="Small Business"/>
    <x v="2"/>
    <s v="South"/>
    <s v="Andhra Pradesh"/>
    <s v="Vijayawada"/>
    <s v="Furniture"/>
    <s v="Furniture"/>
    <s v="Chairs"/>
    <s v="Prime Chairs 101"/>
    <s v="Second Class"/>
    <s v="Second Class"/>
    <n v="5"/>
    <n v="1239.1500000000001"/>
    <n v="0"/>
    <n v="0"/>
    <s v="Valid"/>
    <n v="6195.75"/>
    <n v="3967.02"/>
    <n v="2228.73"/>
    <x v="0"/>
    <s v="Include"/>
    <s v=""/>
    <s v="Completed"/>
    <s v="Completed"/>
    <s v="Include"/>
  </r>
  <r>
    <s v="ORD-2024-10366"/>
    <n v="1"/>
    <s v=""/>
    <s v="15-06-2024"/>
    <d v="2024-06-15T00:00:00"/>
    <s v="21-06-2024"/>
    <d v="2024-06-21T00:00:00"/>
    <s v="Valid"/>
    <n v="6"/>
    <s v="Valid"/>
    <s v="CUST-2203"/>
    <s v="Aditi Sen"/>
    <s v="Aditi Sen"/>
    <s v="Corporate"/>
    <s v="Corporate"/>
    <x v="3"/>
    <s v="West"/>
    <s v="Goa"/>
    <s v="Panaji"/>
    <s v="Technology"/>
    <s v="Technology"/>
    <s v="Accessories"/>
    <s v="Basic Accessories 774"/>
    <s v="First Class"/>
    <s v="First Class"/>
    <n v="8"/>
    <n v="1706.4"/>
    <m/>
    <n v="0"/>
    <s v="Valid"/>
    <n v="12968.64"/>
    <n v="10119.61"/>
    <n v="2849.03"/>
    <x v="0"/>
    <s v="Include"/>
    <s v=""/>
    <s v="Completed"/>
    <s v="Completed"/>
    <s v="Include"/>
  </r>
  <r>
    <s v="ORD-2025-10367"/>
    <n v="1"/>
    <s v=""/>
    <s v="2025-01-16"/>
    <d v="2025-01-16T00:00:00"/>
    <s v="2025-01-22"/>
    <d v="2025-01-22T00:00:00"/>
    <s v="Valid"/>
    <n v="6"/>
    <s v="Valid"/>
    <s v="CUST-5397"/>
    <s v="Sneha Kapoor"/>
    <s v="Sneha Kapoor"/>
    <s v="Corporate"/>
    <s v="Corporate"/>
    <x v="0"/>
    <s v="North"/>
    <s v="Rajasthan"/>
    <s v="Jaipur"/>
    <s v="Furniture"/>
    <s v="Furniture"/>
    <s v="Tables"/>
    <s v="Max Tables 478"/>
    <s v="Same Day"/>
    <s v="Same Day"/>
    <n v="2"/>
    <n v="4418.28"/>
    <n v="0"/>
    <n v="0"/>
    <s v="Valid"/>
    <n v="8836.56"/>
    <n v="5867.75"/>
    <n v="2968.81"/>
    <x v="0"/>
    <s v="Include"/>
    <s v=""/>
    <s v="Completed"/>
    <s v="Completed"/>
    <s v="Include"/>
  </r>
  <r>
    <s v="ORD-2024-10368"/>
    <n v="1"/>
    <s v=""/>
    <s v="2024-03-15"/>
    <d v="2024-03-15T00:00:00"/>
    <s v="03/16/2024"/>
    <d v="2024-03-16T00:00:00"/>
    <s v="Valid"/>
    <n v="1"/>
    <s v="Valid"/>
    <s v="CUST-4696"/>
    <s v="Rohan Mehta"/>
    <s v="Rohan Mehta"/>
    <s v="Consumer"/>
    <s v="Consumer"/>
    <x v="0"/>
    <s v="North"/>
    <s v="Delhi"/>
    <s v="New Delhi"/>
    <s v="Office Supplies"/>
    <s v="Office Supplies"/>
    <s v="Art"/>
    <s v="Eco Art 646"/>
    <s v="Standard Class"/>
    <s v="Standard Class"/>
    <n v="6"/>
    <n v="3815.09"/>
    <n v="0.15"/>
    <n v="0.15"/>
    <s v="Valid"/>
    <n v="19456.96"/>
    <n v="14520.06"/>
    <n v="4936.8999999999996"/>
    <x v="3"/>
    <s v="Exclude"/>
    <s v=""/>
    <s v="Cancelled"/>
    <s v="Cancelled"/>
    <s v="Exclude"/>
  </r>
  <r>
    <s v="ORD-2025-10369"/>
    <n v="1"/>
    <s v=""/>
    <s v="06-07-2025"/>
    <d v="2025-07-06T00:00:00"/>
    <s v="06-07-2025"/>
    <d v="2025-07-06T00:00:00"/>
    <s v="Valid"/>
    <n v="0"/>
    <s v="Valid"/>
    <s v="CUST-8246"/>
    <s v="Aarav Sharma"/>
    <s v="Aarav Sharma"/>
    <s v="Home Office"/>
    <s v="Home Office"/>
    <x v="0"/>
    <s v="North"/>
    <s v="Rajasthan"/>
    <s v="Jaipur"/>
    <s v="Technology"/>
    <s v="Technology"/>
    <s v="Accessories"/>
    <s v="Prime Accessories 962"/>
    <s v="Same Day"/>
    <s v="Same Day"/>
    <n v="9"/>
    <n v="243.19"/>
    <n v="0.05"/>
    <n v="0.05"/>
    <s v="Valid"/>
    <n v="2079.27"/>
    <n v="1512.17"/>
    <n v="567.1"/>
    <x v="1"/>
    <s v="Include"/>
    <s v="Refunded Order"/>
    <s v="Returned"/>
    <s v="Returned"/>
    <s v="Include"/>
  </r>
  <r>
    <s v="ORD-2025-10370"/>
    <n v="1"/>
    <s v=""/>
    <s v="23-01-2025"/>
    <d v="2025-01-23T00:00:00"/>
    <s v="01/30/2025"/>
    <d v="2025-01-30T00:00:00"/>
    <s v="Valid"/>
    <n v="7"/>
    <s v="Valid"/>
    <s v="CUST-5672"/>
    <s v="Priya Menon"/>
    <s v="Priya Menon"/>
    <s v="Consumer"/>
    <s v="Consumer"/>
    <x v="0"/>
    <s v="North"/>
    <s v="Delhi"/>
    <s v="New Delhi"/>
    <s v="Office Supplies"/>
    <s v="Office Supplies"/>
    <s v="Labels"/>
    <s v="Eco Labels 646"/>
    <s v="Standard Class"/>
    <s v="Standard Class"/>
    <n v="9"/>
    <n v="1169.3699999999999"/>
    <n v="0.15"/>
    <n v="0.15"/>
    <s v="Valid"/>
    <n v="8945.68"/>
    <n v="6740.35"/>
    <n v="2205.33"/>
    <x v="0"/>
    <s v="Include"/>
    <s v=""/>
    <s v="Completed"/>
    <s v="Completed"/>
    <s v="Include"/>
  </r>
  <r>
    <s v="ORD-2024-10371"/>
    <n v="1"/>
    <s v=""/>
    <s v="08/15/2024"/>
    <d v="2024-08-15T00:00:00"/>
    <s v="21 Aug 2024"/>
    <d v="2024-08-21T00:00:00"/>
    <s v="Valid"/>
    <n v="6"/>
    <s v="Valid"/>
    <s v="CUST-8521"/>
    <s v="Ananya Rao"/>
    <s v="Ananya Rao"/>
    <s v="Small Business"/>
    <s v="Small Business"/>
    <x v="3"/>
    <s v="West"/>
    <s v="Rajasthan"/>
    <s v="Udaipur"/>
    <s v="Technology"/>
    <s v="Technology"/>
    <s v="Copiers"/>
    <s v="Classic Copiers 505"/>
    <s v="First Class"/>
    <s v="First Class"/>
    <n v="7"/>
    <n v="2333.81"/>
    <n v="0.2"/>
    <n v="0.2"/>
    <s v="Valid"/>
    <n v="13069.34"/>
    <n v="8768.59"/>
    <n v="4300.75"/>
    <x v="0"/>
    <s v="Include"/>
    <s v=""/>
    <s v="Completed"/>
    <s v="Completed"/>
    <s v="Include"/>
  </r>
  <r>
    <s v="ORD-2024-10372"/>
    <n v="1"/>
    <s v=""/>
    <s v="22-01-2024"/>
    <d v="2024-01-22T00:00:00"/>
    <s v="2024-01-24"/>
    <d v="2024-01-24T00:00:00"/>
    <s v="Valid"/>
    <n v="2"/>
    <s v="Valid"/>
    <s v="CUST-2204"/>
    <s v="Diya Patel"/>
    <s v="Diya Patel"/>
    <s v="Home Office"/>
    <s v="Home Office"/>
    <x v="3"/>
    <s v="West"/>
    <s v="Maharashtra"/>
    <s v="Mumbai"/>
    <s v="Office Supplies"/>
    <s v="Office Supplies"/>
    <s v="Art"/>
    <s v="Pro Art 906"/>
    <s v="Standard Class"/>
    <s v="Standard Class"/>
    <n v="6"/>
    <n v="1026.06"/>
    <m/>
    <n v="0"/>
    <s v="Valid"/>
    <n v="4617.2700000000004"/>
    <n v="2981.94"/>
    <n v="1635.33"/>
    <x v="1"/>
    <s v="Exclude"/>
    <s v="Refunded Order"/>
    <s v="Cancelled"/>
    <s v="Cancelled"/>
    <s v="Exclude"/>
  </r>
  <r>
    <s v="ORD-2025-10373"/>
    <n v="1"/>
    <s v=""/>
    <s v="2025-08-16"/>
    <d v="2025-08-16T00:00:00"/>
    <s v="2025-08-18"/>
    <d v="2025-08-18T00:00:00"/>
    <s v="Valid"/>
    <n v="2"/>
    <s v="Valid"/>
    <s v="CUST-4399"/>
    <s v="Kabir Singh"/>
    <s v="Kabir Singh"/>
    <s v="Consumer"/>
    <s v="Consumer"/>
    <x v="1"/>
    <s v="East"/>
    <s v="Jharkhand"/>
    <s v="Ranchi"/>
    <s v="Furniture"/>
    <s v="Furniture"/>
    <s v="Chairs"/>
    <s v="Max Chairs 181"/>
    <s v="Same Day"/>
    <s v="Same Day"/>
    <n v="5"/>
    <n v="1530.36"/>
    <n v="0"/>
    <n v="0"/>
    <s v="Valid"/>
    <n v="7651.8"/>
    <n v="5171.78"/>
    <n v="2480.02"/>
    <x v="0"/>
    <s v="Include"/>
    <s v=""/>
    <s v="Completed"/>
    <s v="Completed"/>
    <s v="Include"/>
  </r>
  <r>
    <s v="ORD-2024-10424"/>
    <n v="2"/>
    <s v="Review Required"/>
    <s v="2024-02-20"/>
    <d v="2024-02-20T00:00:00"/>
    <s v="27-02-2024"/>
    <d v="2024-02-27T00:00:00"/>
    <s v="Valid"/>
    <n v="7"/>
    <s v="Valid"/>
    <s v="CUST-6169"/>
    <s v="Diya Patel"/>
    <s v="Diya Patel"/>
    <s v="Consumer"/>
    <s v="Consumer"/>
    <x v="2"/>
    <s v="South"/>
    <s v="Kerala"/>
    <s v="Kochi"/>
    <s v="Technology"/>
    <s v="Technology"/>
    <s v="Accessories"/>
    <s v="Prime Accessories 236"/>
    <s v="First Class"/>
    <s v="First Class"/>
    <n v="9"/>
    <n v="3779.31"/>
    <n v="0.2"/>
    <n v="0.2"/>
    <s v="Valid"/>
    <n v="27322.9"/>
    <n v="17940.43"/>
    <n v="9270.6"/>
    <x v="0"/>
    <s v="Include"/>
    <s v=""/>
    <s v="Returned"/>
    <s v="Returned"/>
    <s v="Include"/>
  </r>
  <r>
    <s v="ORD-2025-10375"/>
    <n v="1"/>
    <s v=""/>
    <s v="2025-02-27"/>
    <d v="2025-02-27T00:00:00"/>
    <s v="28-02-2025"/>
    <d v="2025-02-28T00:00:00"/>
    <s v="Valid"/>
    <n v="1"/>
    <s v="Valid"/>
    <s v="CUST-2358"/>
    <s v="Aditi Sen"/>
    <s v="Aditi Sen"/>
    <s v="Small Business"/>
    <s v="Small Business"/>
    <x v="0"/>
    <s v="North"/>
    <s v="Uttar Pradesh"/>
    <s v="Noida"/>
    <s v="Office Supplies"/>
    <s v="Office Supplies"/>
    <s v="Labels"/>
    <s v="Smart Labels 668"/>
    <s v="Standard Class"/>
    <s v="Standard Class"/>
    <n v="6"/>
    <n v="2393.25"/>
    <n v="0"/>
    <n v="0"/>
    <s v="Valid"/>
    <n v="14359.5"/>
    <n v="8117.71"/>
    <n v="6241.79"/>
    <x v="0"/>
    <s v="Include"/>
    <s v=""/>
    <s v="Completed"/>
    <s v="Completed"/>
    <s v="Include"/>
  </r>
  <r>
    <s v="ORD-2024-10376"/>
    <n v="1"/>
    <s v=""/>
    <s v="31-12-2024"/>
    <d v="2024-12-31T00:00:00"/>
    <s v="04 Jan 2025"/>
    <d v="2025-01-04T00:00:00"/>
    <s v="Valid"/>
    <n v="4"/>
    <s v="Valid"/>
    <s v="CUST-2810"/>
    <s v="Vikram Iyer"/>
    <s v="Vikram Iyer"/>
    <s v="Consumer"/>
    <s v="Consumer"/>
    <x v="0"/>
    <s v="North"/>
    <s v="Delhi"/>
    <s v="New Delhi"/>
    <s v="Furniture"/>
    <s v="Furniture"/>
    <s v="Chairs"/>
    <s v="Pro Chairs 364"/>
    <s v="Same Day"/>
    <s v="Same Day"/>
    <n v="3"/>
    <n v="1166.6099999999999"/>
    <n v="0.25"/>
    <n v="0.25"/>
    <s v="Valid"/>
    <n v="2624.87"/>
    <n v="2253.88"/>
    <n v="370.99"/>
    <x v="0"/>
    <s v="Include"/>
    <s v=""/>
    <s v="Completed"/>
    <s v="Completed"/>
    <s v="Include"/>
  </r>
  <r>
    <s v="ORD-2024-10377"/>
    <n v="1"/>
    <s v=""/>
    <s v="29-12-2024"/>
    <d v="2024-12-29T00:00:00"/>
    <s v="2024-12-31"/>
    <d v="2024-12-31T00:00:00"/>
    <s v="Valid"/>
    <n v="2"/>
    <s v="Valid"/>
    <s v="CUST-5166"/>
    <s v="Isha Nair"/>
    <s v="Isha Nair"/>
    <s v="Small Business"/>
    <s v="Small Business"/>
    <x v="1"/>
    <s v="East"/>
    <s v="Bihar"/>
    <s v="Patna"/>
    <s v="Furniture"/>
    <s v="Furniture"/>
    <s v="Chairs"/>
    <s v="Basic Chairs 248"/>
    <s v="First Class"/>
    <s v="First Class"/>
    <n v="6"/>
    <n v="1844.78"/>
    <n v="0.2"/>
    <n v="0.2"/>
    <s v="Valid"/>
    <n v="8854.94"/>
    <n v="7433.95"/>
    <n v="1420.99"/>
    <x v="0"/>
    <s v="Include"/>
    <s v=""/>
    <s v="Completed"/>
    <s v="Completed"/>
    <s v="Include"/>
  </r>
  <r>
    <s v="ORD-2025-10378"/>
    <n v="1"/>
    <s v=""/>
    <s v="24 May 2025"/>
    <d v="2025-05-24T00:00:00"/>
    <s v="30-05-2025"/>
    <d v="2025-05-30T00:00:00"/>
    <s v="Valid"/>
    <n v="6"/>
    <s v="Valid"/>
    <s v="CUST-4875"/>
    <s v="Kabir Singh"/>
    <s v="Kabir Singh"/>
    <s v="Small Business"/>
    <s v="Small Business"/>
    <x v="1"/>
    <s v="East"/>
    <s v="Odisha"/>
    <s v="Bhubaneswar"/>
    <s v="Office Supplies"/>
    <s v="Office Supplies"/>
    <s v="Storage"/>
    <s v="Basic Storage 360"/>
    <s v="Same Day"/>
    <s v="Same Day"/>
    <n v="1"/>
    <n v="2564.7399999999998"/>
    <n v="0"/>
    <n v="0"/>
    <s v="Valid"/>
    <n v="2564.7399999999998"/>
    <n v="1754.58"/>
    <n v="810.16"/>
    <x v="0"/>
    <s v="Include"/>
    <s v=""/>
    <s v="Completed"/>
    <s v="Completed"/>
    <s v="Include"/>
  </r>
  <r>
    <s v="ORD-2025-10379"/>
    <n v="1"/>
    <s v=""/>
    <s v="22-05-2025"/>
    <d v="2025-05-22T00:00:00"/>
    <s v="22-05-2025"/>
    <d v="2025-05-22T00:00:00"/>
    <s v="Valid"/>
    <n v="0"/>
    <s v="Valid"/>
    <s v="CUST-3154"/>
    <s v="Mira Das"/>
    <s v="Mira Das"/>
    <s v="Consumer"/>
    <s v="Consumer"/>
    <x v="3"/>
    <s v="West"/>
    <s v="Goa"/>
    <s v="Panaji"/>
    <s v="Technology"/>
    <s v="Technology"/>
    <s v="Accessories"/>
    <s v="Basic Accessories 988"/>
    <s v="Standard Class"/>
    <s v="Standard Class"/>
    <n v="2"/>
    <n v="3910.61"/>
    <n v="0"/>
    <n v="0"/>
    <s v="Valid"/>
    <n v="7821.22"/>
    <n v="4994.46"/>
    <n v="2826.76"/>
    <x v="0"/>
    <s v="Include"/>
    <s v=""/>
    <s v="Completed"/>
    <s v="Completed"/>
    <s v="Include"/>
  </r>
  <r>
    <s v="ORD-2024-10380"/>
    <n v="1"/>
    <s v=""/>
    <s v="09/19/2024"/>
    <d v="2024-09-19T00:00:00"/>
    <s v="23 Sep 2024"/>
    <d v="2024-09-23T00:00:00"/>
    <s v="Valid"/>
    <n v="4"/>
    <s v="Valid"/>
    <s v="CUST-6405"/>
    <s v="Mira Das"/>
    <s v="Mira Das"/>
    <s v="Small Business"/>
    <s v="Small Business"/>
    <x v="2"/>
    <s v="South"/>
    <s v="Kerala"/>
    <s v="Kochi"/>
    <s v="Office Supplies"/>
    <s v="Office Supplies"/>
    <s v="Paper"/>
    <s v="Max Paper 334"/>
    <s v="Standard Class"/>
    <s v="Standard Class"/>
    <n v="7"/>
    <n v="1136.68"/>
    <m/>
    <n v="0"/>
    <s v="Valid"/>
    <n v="7956.76"/>
    <n v="4799.54"/>
    <n v="3157.22"/>
    <x v="0"/>
    <s v="Include"/>
    <s v=""/>
    <s v="Completed"/>
    <s v="Completed"/>
    <s v="Include"/>
  </r>
  <r>
    <s v="ORD-2024-10381"/>
    <n v="1"/>
    <s v=""/>
    <s v="07 Apr 2024"/>
    <d v="2024-04-07T00:00:00"/>
    <s v="14-04-2024"/>
    <d v="2024-04-14T00:00:00"/>
    <s v="Valid"/>
    <n v="7"/>
    <s v="Valid"/>
    <s v="CUST-5779"/>
    <s v="Vikram Iyer"/>
    <s v="Vikram Iyer"/>
    <s v="Consumer"/>
    <s v="Consumer"/>
    <x v="3"/>
    <s v="West"/>
    <s v="Maharashtra"/>
    <s v="Mumbai"/>
    <s v="Furniture"/>
    <s v="Furniture"/>
    <s v="Bookcases"/>
    <s v="Prime Bookcases 952"/>
    <s v="Same Day"/>
    <s v="Same Day"/>
    <n v="5"/>
    <n v="2235.85"/>
    <n v="0.25"/>
    <n v="0.25"/>
    <s v="Valid"/>
    <n v="8384.44"/>
    <n v="4765.96"/>
    <n v="3618.48"/>
    <x v="0"/>
    <s v="Include"/>
    <s v=""/>
    <s v="Returned"/>
    <s v="Returned"/>
    <s v="Include"/>
  </r>
  <r>
    <s v="ORD-2025-10382"/>
    <n v="1"/>
    <s v=""/>
    <s v="2025-09-19"/>
    <d v="2025-09-19T00:00:00"/>
    <s v="23-09-2025"/>
    <d v="2025-09-23T00:00:00"/>
    <s v="Valid"/>
    <n v="4"/>
    <s v="Valid"/>
    <s v="CUST-9943"/>
    <s v="Arjun Bose"/>
    <s v="Arjun Bose"/>
    <s v="Home Office"/>
    <s v="Home Office"/>
    <x v="0"/>
    <s v="North"/>
    <s v="Delhi"/>
    <s v="New Delhi"/>
    <s v="Office Supplies"/>
    <s v="Office Supplies"/>
    <s v="Binders"/>
    <s v="Prime Binders 523"/>
    <s v="Standard Class"/>
    <s v="Standard Class"/>
    <n v="4"/>
    <n v="4387.1499999999996"/>
    <n v="0.05"/>
    <n v="0.05"/>
    <s v="Valid"/>
    <n v="16671.169999999998"/>
    <n v="10833.19"/>
    <n v="5837.98"/>
    <x v="3"/>
    <s v="Exclude"/>
    <s v=""/>
    <s v="Cancelled"/>
    <s v="Cancelled"/>
    <s v="Exclude"/>
  </r>
  <r>
    <s v="ORD-2025-10383"/>
    <n v="1"/>
    <s v=""/>
    <s v="04 Mar 2025"/>
    <d v="2025-03-04T00:00:00"/>
    <s v="03/08/2025"/>
    <d v="2025-03-08T00:00:00"/>
    <s v="Valid"/>
    <n v="4"/>
    <s v="Valid"/>
    <s v="CUST-7098"/>
    <s v="Arjun Bose"/>
    <s v="Arjun Bose"/>
    <s v="Small Business"/>
    <s v="Small Business"/>
    <x v="1"/>
    <s v="East"/>
    <s v="Bihar"/>
    <s v="Patna"/>
    <s v="Technology"/>
    <s v="Technology"/>
    <s v="Phones"/>
    <s v="Pro Phones 538"/>
    <s v="First Class"/>
    <s v="First Class"/>
    <n v="3"/>
    <n v="4361.8500000000004"/>
    <n v="0.2"/>
    <n v="0.2"/>
    <s v="Valid"/>
    <n v="10468.44"/>
    <n v="8399.8700000000008"/>
    <n v="2068.5700000000002"/>
    <x v="0"/>
    <s v="Include"/>
    <s v=""/>
    <s v="Completed"/>
    <s v="Completed"/>
    <s v="Include"/>
  </r>
  <r>
    <s v="ORD-2025-10384"/>
    <n v="1"/>
    <s v=""/>
    <s v="28 Jun 2025"/>
    <d v="2025-06-28T00:00:00"/>
    <s v="05 Jul 2025"/>
    <d v="2025-07-05T00:00:00"/>
    <s v="Valid"/>
    <n v="7"/>
    <s v="Valid"/>
    <s v="CUST-7438"/>
    <s v="Vikram Iyer"/>
    <s v="Vikram Iyer"/>
    <s v="Corporate"/>
    <s v="Corporate"/>
    <x v="1"/>
    <s v="East"/>
    <s v="West Bengal"/>
    <s v="Kolkata"/>
    <s v="Office Supplies"/>
    <s v="Office Supplies"/>
    <s v="Art"/>
    <s v="Basic Art 608"/>
    <s v="First Class"/>
    <s v="First Class"/>
    <n v="2"/>
    <n v="2242.75"/>
    <n v="0"/>
    <n v="0"/>
    <s v="Valid"/>
    <n v="4485.5"/>
    <n v="3131.86"/>
    <n v="1353.64"/>
    <x v="0"/>
    <s v="Exclude"/>
    <s v=""/>
    <s v="Cancelled"/>
    <s v="Cancelled"/>
    <s v="Exclude"/>
  </r>
  <r>
    <s v="ORD-2024-10385"/>
    <n v="1"/>
    <s v=""/>
    <s v="15-03-2024"/>
    <d v="2024-03-15T00:00:00"/>
    <s v="2024-03-20"/>
    <d v="2024-03-20T00:00:00"/>
    <s v="Valid"/>
    <n v="5"/>
    <s v="Valid"/>
    <s v="CUST-8432"/>
    <s v="Rohan Mehta"/>
    <s v="Rohan Mehta"/>
    <s v="Consumer"/>
    <s v="Consumer"/>
    <x v="1"/>
    <s v="East"/>
    <s v="Jharkhand"/>
    <s v="Ranchi"/>
    <s v="Technology"/>
    <s v="Technology"/>
    <s v="Copiers"/>
    <s v="Prime Copiers 820"/>
    <s v="Standard Class"/>
    <s v="Standard Class"/>
    <n v="2"/>
    <n v="1881.4"/>
    <n v="0.25"/>
    <n v="0.25"/>
    <s v="Valid"/>
    <n v="2822.1"/>
    <n v="1624.57"/>
    <n v="1197.53"/>
    <x v="0"/>
    <s v="Include"/>
    <s v=""/>
    <s v="Returned"/>
    <s v="Returned"/>
    <s v="Include"/>
  </r>
  <r>
    <s v="ORD-2025-10386"/>
    <n v="1"/>
    <s v=""/>
    <s v="2025-06-24"/>
    <d v="2025-06-24T00:00:00"/>
    <s v="30 Jun 2025"/>
    <d v="2025-06-30T00:00:00"/>
    <s v="Valid"/>
    <n v="6"/>
    <s v="Valid"/>
    <s v="CUST-2834"/>
    <s v="Arjun Bose"/>
    <s v="Arjun Bose"/>
    <s v="Consumer"/>
    <s v="Consumer"/>
    <x v="0"/>
    <s v="North"/>
    <s v="Haryana"/>
    <s v="Gurugram"/>
    <s v="Office Supplies"/>
    <s v="Office Supplies"/>
    <s v="Labels"/>
    <s v="Classic Labels 670"/>
    <s v="Standard Class"/>
    <s v="Standard Class"/>
    <n v="6"/>
    <n v="365.76"/>
    <n v="0.1"/>
    <n v="0.1"/>
    <s v="Valid"/>
    <n v="1975.1"/>
    <n v="1115.3499999999999"/>
    <n v="859.75"/>
    <x v="0"/>
    <s v="Include"/>
    <s v=""/>
    <s v="Completed"/>
    <s v="Completed"/>
    <s v="Include"/>
  </r>
  <r>
    <s v="ORD-2025-10387"/>
    <n v="1"/>
    <s v=""/>
    <s v="02/12/2025"/>
    <d v="2025-02-12T00:00:00"/>
    <s v="14-02-2025"/>
    <d v="2025-02-14T00:00:00"/>
    <s v="Valid"/>
    <n v="2"/>
    <s v="Valid"/>
    <s v="CUST-4222"/>
    <s v="Sneha Kapoor"/>
    <s v="Sneha Kapoor"/>
    <s v="Consumer"/>
    <s v="Consumer"/>
    <x v="3"/>
    <s v="West"/>
    <s v="Maharashtra"/>
    <s v="Mumbai"/>
    <s v="Furniture"/>
    <s v="Furniture"/>
    <s v="Furnishings"/>
    <s v="Prime Furnishings 597"/>
    <s v="Second Class"/>
    <s v="Second Class"/>
    <n v="8"/>
    <n v="2786.66"/>
    <n v="0.1"/>
    <n v="0.1"/>
    <s v="Valid"/>
    <n v="20063.95"/>
    <n v="14363.38"/>
    <n v="5700.57"/>
    <x v="0"/>
    <s v="Include"/>
    <s v=""/>
    <s v="Completed"/>
    <s v="Completed"/>
    <s v="Include"/>
  </r>
  <r>
    <s v="ORD-2025-10388"/>
    <n v="1"/>
    <s v=""/>
    <s v="10-08-2025"/>
    <d v="2025-08-10T00:00:00"/>
    <s v="08/13/2025"/>
    <d v="2025-08-13T00:00:00"/>
    <s v="Valid"/>
    <n v="3"/>
    <s v="Valid"/>
    <s v="CUST-1053"/>
    <s v="Priya Menon"/>
    <s v="Priya Menon"/>
    <s v="Small Business"/>
    <s v="Small Business"/>
    <x v="3"/>
    <s v="West"/>
    <s v="Madhya Pradesh"/>
    <s v="Indore"/>
    <s v="Furniture"/>
    <s v="Furniture"/>
    <s v="Chairs"/>
    <s v="Prime Chairs 196"/>
    <s v="Standard Class"/>
    <s v="Standard Class"/>
    <n v="5"/>
    <n v="352.86"/>
    <n v="0"/>
    <n v="0"/>
    <s v="Valid"/>
    <n v="1764.3"/>
    <n v="1332.49"/>
    <n v="431.81"/>
    <x v="2"/>
    <s v="Exclude"/>
    <s v=""/>
    <s v="Cancelled"/>
    <s v="Cancelled"/>
    <s v="Exclude"/>
  </r>
  <r>
    <s v="ORD-2024-10389"/>
    <n v="1"/>
    <s v=""/>
    <s v="2024-05-13"/>
    <d v="2024-05-13T00:00:00"/>
    <s v="18 May 2024"/>
    <d v="2024-05-18T00:00:00"/>
    <s v="Valid"/>
    <n v="5"/>
    <s v="Valid"/>
    <s v="CUST-1457"/>
    <s v="Isha Nair"/>
    <s v="Isha Nair"/>
    <s v="Small Business"/>
    <s v="Small Business"/>
    <x v="3"/>
    <s v="West"/>
    <s v="Gujarat"/>
    <s v="Ahmedabad"/>
    <s v="Furniture"/>
    <s v="Furniture"/>
    <s v="Chairs"/>
    <s v="Elite Chairs 639"/>
    <s v="Standard Class"/>
    <s v="Standard Class"/>
    <n v="3"/>
    <n v="3128.59"/>
    <n v="0"/>
    <n v="0"/>
    <s v="Valid"/>
    <n v="9385.77"/>
    <n v="6872.44"/>
    <n v="2783.66"/>
    <x v="0"/>
    <s v="Include"/>
    <s v=""/>
    <s v="Completed"/>
    <s v="Completed"/>
    <s v="Include"/>
  </r>
  <r>
    <s v="ORD-2024-10390"/>
    <n v="1"/>
    <s v=""/>
    <s v="05 Apr 2024"/>
    <d v="2024-04-05T00:00:00"/>
    <s v="13 Apr 2024"/>
    <d v="2024-04-13T00:00:00"/>
    <s v="Valid"/>
    <n v="8"/>
    <s v="Valid"/>
    <s v="CUST-3930"/>
    <s v="Diya Patel"/>
    <s v="Diya Patel"/>
    <s v="Corporate"/>
    <s v="Corporate"/>
    <x v="3"/>
    <s v="West"/>
    <s v="Gujarat"/>
    <s v="Ahmedabad"/>
    <s v="Technology"/>
    <s v="Technology"/>
    <s v="Machines"/>
    <s v="Elite Machines 563"/>
    <s v="Second Class"/>
    <s v="Second Class"/>
    <n v="5"/>
    <n v="1937.54"/>
    <n v="0.2"/>
    <n v="0.2"/>
    <s v="Valid"/>
    <n v="7750.16"/>
    <n v="5434.3"/>
    <n v="2315.86"/>
    <x v="2"/>
    <s v="Exclude"/>
    <s v=""/>
    <s v="Cancelled"/>
    <s v="Cancelled"/>
    <s v="Exclude"/>
  </r>
  <r>
    <s v="ORD-2024-10391"/>
    <n v="1"/>
    <s v=""/>
    <s v="06 Nov 2024"/>
    <d v="2024-11-06T00:00:00"/>
    <s v="11-11-2024"/>
    <d v="2024-11-11T00:00:00"/>
    <s v="Valid"/>
    <n v="5"/>
    <s v="Valid"/>
    <s v="CUST-7853"/>
    <s v="Isha Nair"/>
    <s v="Isha Nair"/>
    <s v="Consumer"/>
    <s v="Consumer"/>
    <x v="3"/>
    <s v="West"/>
    <s v="Gujarat"/>
    <s v="Ahmedabad"/>
    <s v="Furniture"/>
    <s v="Furniture"/>
    <s v="Furnishings"/>
    <s v="Pro Furnishings 281"/>
    <s v="Standard Class"/>
    <s v="Standard Class"/>
    <n v="4"/>
    <n v="1917.26"/>
    <n v="0.2"/>
    <n v="0.2"/>
    <s v="Valid"/>
    <n v="6135.23"/>
    <n v="3439.79"/>
    <n v="2695.44"/>
    <x v="0"/>
    <s v="Include"/>
    <s v=""/>
    <s v="Completed"/>
    <s v="Completed"/>
    <s v="Include"/>
  </r>
  <r>
    <s v="ORD-2025-10392"/>
    <n v="1"/>
    <s v=""/>
    <s v="14-02-2025"/>
    <d v="2025-02-14T00:00:00"/>
    <s v="14 Feb 2025"/>
    <d v="2025-02-14T00:00:00"/>
    <s v="Valid"/>
    <n v="0"/>
    <s v="Valid"/>
    <s v="CUST-2267"/>
    <s v="Diya Patel"/>
    <s v="Diya Patel"/>
    <s v="Consumer"/>
    <s v="Consumer"/>
    <x v="2"/>
    <s v="South"/>
    <s v="Karnataka"/>
    <s v="Bengaluru"/>
    <s v="Office Supplies"/>
    <s v="Office Supplies"/>
    <s v="Storage"/>
    <s v="Eco Storage 285"/>
    <s v="First Class"/>
    <s v="First Class"/>
    <n v="1"/>
    <n v="714.43"/>
    <n v="0"/>
    <n v="0"/>
    <s v="Valid"/>
    <n v="714.43"/>
    <n v="565.44000000000005"/>
    <n v="148.99"/>
    <x v="0"/>
    <s v="Include"/>
    <s v=""/>
    <s v="Completed"/>
    <s v="Completed"/>
    <s v="Include"/>
  </r>
  <r>
    <s v="ORD-2024-10393"/>
    <n v="1"/>
    <s v=""/>
    <s v="02/19/2024"/>
    <d v="2024-02-19T00:00:00"/>
    <s v="22 Feb 2024"/>
    <d v="2024-02-22T00:00:00"/>
    <s v="Valid"/>
    <n v="3"/>
    <s v="Valid"/>
    <s v="CUST-6866"/>
    <s v="Aditi Sen"/>
    <s v="Aditi Sen"/>
    <s v="Small Business"/>
    <s v="Small Business"/>
    <x v="2"/>
    <s v="South"/>
    <s v="Kerala"/>
    <s v="Kochi"/>
    <s v="Furniture"/>
    <s v="Furniture"/>
    <s v="Furnishings"/>
    <s v="Classic Furnishings 746"/>
    <s v="Same Day"/>
    <s v="Same Day"/>
    <n v="9"/>
    <n v="4053.01"/>
    <n v="0"/>
    <n v="0"/>
    <s v="Valid"/>
    <n v="36477.089999999997"/>
    <n v="24525.48"/>
    <n v="11951.61"/>
    <x v="0"/>
    <s v="Include"/>
    <s v=""/>
    <s v="Completed"/>
    <s v="Completed"/>
    <s v="Include"/>
  </r>
  <r>
    <s v="ORD-2024-10394"/>
    <n v="1"/>
    <s v=""/>
    <s v="2024-08-23"/>
    <d v="2024-08-23T00:00:00"/>
    <s v="08/29/2024"/>
    <d v="2024-08-29T00:00:00"/>
    <s v="Valid"/>
    <n v="6"/>
    <s v="Valid"/>
    <s v="CUST-3160"/>
    <s v="Mira Das"/>
    <s v="Mira Das"/>
    <s v="Corporate"/>
    <s v="Corporate"/>
    <x v="0"/>
    <s v="North"/>
    <s v="Uttar Pradesh"/>
    <s v="Noida"/>
    <s v="Office Supplies"/>
    <s v="Office Supplies"/>
    <s v="Labels"/>
    <s v="Eco Labels 815"/>
    <s v="Same Day"/>
    <s v="Same Day"/>
    <n v="2"/>
    <n v="1936.91"/>
    <n v="0.05"/>
    <n v="0.05"/>
    <s v="Valid"/>
    <n v="3680.13"/>
    <n v="2967.46"/>
    <n v="712.67"/>
    <x v="0"/>
    <s v="Include"/>
    <s v=""/>
    <s v="Completed"/>
    <s v="Completed"/>
    <s v="Include"/>
  </r>
  <r>
    <s v="ORD-2024-10395"/>
    <n v="1"/>
    <s v=""/>
    <s v="03-04-2024"/>
    <d v="2024-04-03T00:00:00"/>
    <s v="04 Apr 2024"/>
    <d v="2024-04-04T00:00:00"/>
    <s v="Valid"/>
    <n v="1"/>
    <s v="Valid"/>
    <s v="CUST-8444"/>
    <s v="Kabir Singh"/>
    <s v="Kabir Singh"/>
    <s v="Consumer"/>
    <s v="Consumer"/>
    <x v="3"/>
    <s v="West"/>
    <s v="Maharashtra"/>
    <s v="Mumbai"/>
    <s v="Furniture"/>
    <s v="Furniture"/>
    <s v="Furnishings"/>
    <s v="Prime Furnishings 879"/>
    <s v="First Class"/>
    <s v="First Class"/>
    <n v="7"/>
    <n v="3945.21"/>
    <n v="0"/>
    <n v="0"/>
    <s v="Valid"/>
    <n v="27616.47"/>
    <n v="21225.26"/>
    <n v="6391.21"/>
    <x v="0"/>
    <s v="Include"/>
    <s v=""/>
    <s v="Completed"/>
    <s v="Completed"/>
    <s v="Include"/>
  </r>
  <r>
    <s v="ORD-2024-10396"/>
    <n v="1"/>
    <s v=""/>
    <s v="06/06/2024"/>
    <d v="2024-06-06T00:00:00"/>
    <s v="06/07/2024"/>
    <d v="2024-06-07T00:00:00"/>
    <s v="Valid"/>
    <n v="1"/>
    <s v="Valid"/>
    <s v="CUST-4765"/>
    <s v="Rahul Verma"/>
    <s v="Rahul Verma"/>
    <s v="Home Office"/>
    <s v="Home Office"/>
    <x v="2"/>
    <s v="South"/>
    <s v="Tamil Nadu"/>
    <s v="Chennai"/>
    <s v="Furniture"/>
    <s v="Furniture"/>
    <s v="Tables"/>
    <s v="Pro Tables 142"/>
    <s v="Same Day"/>
    <s v="Same Day"/>
    <n v="7"/>
    <n v="861.91"/>
    <n v="0.05"/>
    <n v="0.05"/>
    <s v="Valid"/>
    <n v="5731.7"/>
    <n v="4115.5600000000004"/>
    <n v="1616.14"/>
    <x v="0"/>
    <s v="Include"/>
    <s v=""/>
    <s v="Completed"/>
    <s v="Completed"/>
    <s v="Include"/>
  </r>
  <r>
    <s v="ORD-2025-10397"/>
    <n v="1"/>
    <s v=""/>
    <s v="2025-04-14"/>
    <d v="2025-04-14T00:00:00"/>
    <s v="22 Apr 2025"/>
    <d v="2025-04-22T00:00:00"/>
    <s v="Valid"/>
    <n v="8"/>
    <s v="Valid"/>
    <s v="CUST-2280"/>
    <s v="Aditi Sen"/>
    <s v="Aditi Sen"/>
    <s v="Small Business"/>
    <s v="Small Business"/>
    <x v="2"/>
    <s v="South"/>
    <s v="Karnataka"/>
    <s v="Bengaluru"/>
    <s v="Technology"/>
    <s v="Technology"/>
    <s v="Machines"/>
    <s v="Prime Machines 267"/>
    <s v="Standard Class"/>
    <s v="Standard Class"/>
    <n v="2"/>
    <n v="638.73"/>
    <n v="0.05"/>
    <n v="0.05"/>
    <s v="Valid"/>
    <n v="1213.5899999999999"/>
    <n v="956.22"/>
    <n v="257.37"/>
    <x v="0"/>
    <s v="Include"/>
    <s v=""/>
    <s v="Completed"/>
    <s v="Completed"/>
    <s v="Include"/>
  </r>
  <r>
    <s v="ORD-2025-10398"/>
    <n v="1"/>
    <s v=""/>
    <s v="09 Jun 2025"/>
    <d v="2025-06-09T00:00:00"/>
    <s v="10 Jun 2025"/>
    <d v="2025-06-10T00:00:00"/>
    <s v="Valid"/>
    <n v="1"/>
    <s v="Valid"/>
    <s v="CUST-3177"/>
    <s v="Sneha Kapoor"/>
    <s v="Sneha Kapoor"/>
    <s v="Small Business"/>
    <s v="Small Business"/>
    <x v="0"/>
    <s v="North"/>
    <s v="Uttar Pradesh"/>
    <s v="Noida"/>
    <s v="Furniture"/>
    <s v="Furniture"/>
    <s v="Tables"/>
    <s v="Eco Tables 378"/>
    <s v="Second Class"/>
    <s v="Second Class"/>
    <n v="2"/>
    <n v="1731.88"/>
    <n v="0"/>
    <n v="0"/>
    <s v="Valid"/>
    <n v="3463.76"/>
    <n v="2143.7399999999998"/>
    <n v="1320.02"/>
    <x v="0"/>
    <s v="Include"/>
    <s v=""/>
    <s v="Completed"/>
    <s v="Completed"/>
    <s v="Include"/>
  </r>
  <r>
    <s v="ORD-2024-10399"/>
    <n v="1"/>
    <s v=""/>
    <s v="19 Jul 2024"/>
    <d v="2024-07-19T00:00:00"/>
    <s v="2024-07-26"/>
    <d v="2024-07-26T00:00:00"/>
    <s v="Valid"/>
    <n v="7"/>
    <s v="Valid"/>
    <s v="CUST-4718"/>
    <s v="Vikram Iyer"/>
    <s v="Vikram Iyer"/>
    <s v="Corporate"/>
    <s v="Corporate"/>
    <x v="0"/>
    <s v="North"/>
    <s v="Punjab"/>
    <s v="Ludhiana"/>
    <s v="Technology"/>
    <s v="Technology"/>
    <s v="Machines"/>
    <s v="Elite Machines 523"/>
    <s v="Same Day"/>
    <s v="Same Day"/>
    <n v="2"/>
    <n v="1263.6500000000001"/>
    <n v="0.2"/>
    <n v="0.2"/>
    <s v="Valid"/>
    <n v="2021.84"/>
    <n v="1355.22"/>
    <n v="666.62"/>
    <x v="0"/>
    <s v="Include"/>
    <s v=""/>
    <s v="Completed"/>
    <s v="Completed"/>
    <s v="Include"/>
  </r>
  <r>
    <s v="ORD-2025-10400"/>
    <n v="1"/>
    <s v=""/>
    <s v="04/24/2025"/>
    <d v="2025-04-24T00:00:00"/>
    <s v="2025-04-29"/>
    <d v="2025-04-29T00:00:00"/>
    <s v="Valid"/>
    <n v="5"/>
    <s v="Valid"/>
    <s v="CUST-5647"/>
    <s v="Diya Patel"/>
    <s v="Diya Patel"/>
    <s v="Small Business"/>
    <s v="Small Business"/>
    <x v="2"/>
    <s v="South"/>
    <s v="Andhra Pradesh"/>
    <s v="Vijayawada"/>
    <s v="Office Supplies"/>
    <s v="Office Supplies"/>
    <s v="Paper"/>
    <s v="Elite Paper 308"/>
    <s v="Same Day"/>
    <s v="Same Day"/>
    <n v="1"/>
    <n v="4358.5"/>
    <n v="0.25"/>
    <n v="0.25"/>
    <s v="Valid"/>
    <n v="3268.88"/>
    <n v="1993.74"/>
    <n v="1275.1400000000001"/>
    <x v="0"/>
    <s v="Include"/>
    <s v=""/>
    <s v="Completed"/>
    <s v="Completed"/>
    <s v="Include"/>
  </r>
  <r>
    <s v="ORD-2025-10401"/>
    <n v="1"/>
    <s v=""/>
    <s v="06-06-2025"/>
    <d v="2025-06-06T00:00:00"/>
    <s v="2025-06-11"/>
    <d v="2025-06-11T00:00:00"/>
    <s v="Valid"/>
    <n v="5"/>
    <s v="Valid"/>
    <s v="CUST-7150"/>
    <s v="Sneha Kapoor"/>
    <s v="Sneha Kapoor"/>
    <s v="Small Business"/>
    <s v="Small Business"/>
    <x v="0"/>
    <s v="North"/>
    <s v="Uttar Pradesh"/>
    <s v="Noida"/>
    <s v="Office Supplies"/>
    <s v="Office Supplies"/>
    <s v="Paper"/>
    <s v="Prime Paper 851"/>
    <s v="Same Day"/>
    <s v="Same Day"/>
    <n v="7"/>
    <n v="878.09"/>
    <n v="-0.1"/>
    <n v="-0.1"/>
    <s v="Invalid Discount"/>
    <n v="5839.3"/>
    <n v="4877.38"/>
    <n v="961.92"/>
    <x v="0"/>
    <s v="Include"/>
    <s v=""/>
    <s v="Completed"/>
    <s v="Completed"/>
    <s v="Include"/>
  </r>
  <r>
    <s v="ORD-2025-10402"/>
    <n v="1"/>
    <s v=""/>
    <s v="09 Mar 2025"/>
    <d v="2025-03-09T00:00:00"/>
    <s v="16-03-2025"/>
    <d v="2025-03-16T00:00:00"/>
    <s v="Valid"/>
    <n v="7"/>
    <s v="Valid"/>
    <s v="CUST-6694"/>
    <s v="Arjun Bose"/>
    <s v="Arjun Bose"/>
    <s v="Small Business"/>
    <s v="Small Business"/>
    <x v="1"/>
    <s v="East"/>
    <s v="Jharkhand"/>
    <s v="Ranchi"/>
    <s v="Furniture"/>
    <s v="Furniture"/>
    <s v="Tables"/>
    <s v="Classic Tables 151"/>
    <s v="Same Day"/>
    <s v="Same Day"/>
    <n v="3"/>
    <n v="2625.85"/>
    <n v="0"/>
    <n v="0"/>
    <s v="Valid"/>
    <n v="7877.55"/>
    <n v="5562.77"/>
    <n v="2314.7800000000002"/>
    <x v="0"/>
    <s v="Include"/>
    <s v=""/>
    <s v="Completed"/>
    <s v="Completed"/>
    <s v="Include"/>
  </r>
  <r>
    <s v="ORD-2024-10403"/>
    <n v="1"/>
    <s v=""/>
    <s v="22 Mar 2024"/>
    <d v="2024-03-22T00:00:00"/>
    <s v="03/22/2024"/>
    <d v="2024-03-22T00:00:00"/>
    <s v="Valid"/>
    <n v="0"/>
    <s v="Valid"/>
    <s v="CUST-7680"/>
    <s v="Priya Menon"/>
    <s v="Priya Menon"/>
    <s v="Small Business"/>
    <s v="Small Business"/>
    <x v="2"/>
    <s v="South"/>
    <s v="Karnataka"/>
    <s v="Bengaluru"/>
    <s v="Furniture"/>
    <s v="Furniture"/>
    <s v="Tables"/>
    <s v="Smart Tables 829"/>
    <m/>
    <s v="Unknown"/>
    <n v="3"/>
    <n v="1365.26"/>
    <n v="0"/>
    <n v="0"/>
    <s v="Valid"/>
    <n v="4095.78"/>
    <n v="2807.77"/>
    <n v="1288.01"/>
    <x v="0"/>
    <s v="Include"/>
    <s v=""/>
    <s v="Completed"/>
    <s v="Completed"/>
    <s v="Include"/>
  </r>
  <r>
    <s v="ORD-2024-10404"/>
    <n v="1"/>
    <s v=""/>
    <s v="09/30/2024"/>
    <d v="2024-09-30T00:00:00"/>
    <s v="04-10-2024"/>
    <d v="2024-10-04T00:00:00"/>
    <s v="Valid"/>
    <n v="4"/>
    <s v="Valid"/>
    <s v="CUST-2700"/>
    <s v="Arjun Bose"/>
    <s v="Arjun Bose"/>
    <s v="Small Business"/>
    <s v="Small Business"/>
    <x v="2"/>
    <s v="South"/>
    <s v="Kerala"/>
    <s v="Kochi"/>
    <s v="Office Supplies"/>
    <s v="Office Supplies"/>
    <s v="Paper"/>
    <s v="Classic Paper 237"/>
    <s v="Same Day"/>
    <s v="Same Day"/>
    <n v="5"/>
    <n v="3512.25"/>
    <n v="0.05"/>
    <n v="0.05"/>
    <s v="Valid"/>
    <n v="16683.189999999999"/>
    <n v="10301.16"/>
    <n v="6382.03"/>
    <x v="0"/>
    <s v="Include"/>
    <s v=""/>
    <s v="Returned"/>
    <s v="Returned"/>
    <s v="Include"/>
  </r>
  <r>
    <s v="ORD-2024-10405"/>
    <n v="1"/>
    <s v=""/>
    <s v="27 Jan 2024"/>
    <d v="2024-01-27T00:00:00"/>
    <s v="02/03/2024"/>
    <d v="2024-02-03T00:00:00"/>
    <s v="Valid"/>
    <n v="7"/>
    <s v="Valid"/>
    <s v="CUST-2904"/>
    <s v="Aditi Sen"/>
    <s v="Aditi Sen"/>
    <s v="Corporate"/>
    <s v="Corporate"/>
    <x v="3"/>
    <s v="West"/>
    <s v="Rajasthan"/>
    <s v="Udaipur"/>
    <s v="Furniture"/>
    <s v="Furniture"/>
    <s v="Chairs"/>
    <s v="Prime Chairs 891"/>
    <s v="Same Day"/>
    <s v="Same Day"/>
    <n v="3"/>
    <n v="359.61"/>
    <n v="0"/>
    <n v="0"/>
    <s v="Valid"/>
    <n v="1078.83"/>
    <n v="926.35"/>
    <n v="152.47999999999999"/>
    <x v="0"/>
    <s v="Include"/>
    <s v=""/>
    <s v="Completed"/>
    <s v="Completed"/>
    <s v="Include"/>
  </r>
  <r>
    <s v="ORD-2024-10406"/>
    <n v="1"/>
    <s v=""/>
    <s v="09/23/2024"/>
    <d v="2024-09-23T00:00:00"/>
    <s v="24 Sep 2024"/>
    <d v="2024-09-24T00:00:00"/>
    <s v="Valid"/>
    <n v="1"/>
    <s v="Valid"/>
    <s v="CUST-9961"/>
    <s v="Aditi Sen"/>
    <s v="Aditi Sen"/>
    <s v="Home Office"/>
    <s v="Home Office"/>
    <x v="3"/>
    <s v="West"/>
    <s v="Gujarat"/>
    <s v="Ahmedabad"/>
    <s v="Furniture"/>
    <s v="Furniture"/>
    <s v="Bookcases"/>
    <s v="Max Bookcases 812"/>
    <m/>
    <s v="Unknown"/>
    <n v="7"/>
    <n v="3878.01"/>
    <n v="0.1"/>
    <n v="0.1"/>
    <s v="Valid"/>
    <n v="24431.46"/>
    <n v="18202.36"/>
    <n v="6229.1"/>
    <x v="0"/>
    <s v="Include"/>
    <s v=""/>
    <s v="Completed"/>
    <s v="Completed"/>
    <s v="Include"/>
  </r>
  <r>
    <s v="ORD-2025-10407"/>
    <n v="1"/>
    <s v=""/>
    <s v="25 Feb 2025"/>
    <d v="2025-02-25T00:00:00"/>
    <s v="25 Feb 2025"/>
    <d v="2025-02-25T00:00:00"/>
    <s v="Valid"/>
    <n v="0"/>
    <s v="Valid"/>
    <s v="CUST-9909"/>
    <s v="Kabir Singh"/>
    <s v="Kabir Singh"/>
    <s v="Small Business"/>
    <s v="Small Business"/>
    <x v="3"/>
    <s v="West"/>
    <s v="Goa"/>
    <s v="Panaji"/>
    <s v="Furniture"/>
    <s v="Furniture"/>
    <s v="Furnishings"/>
    <s v="Basic Furnishings 164"/>
    <s v="Standard Class"/>
    <s v="Standard Class"/>
    <n v="2"/>
    <n v="3924.2"/>
    <n v="0.25"/>
    <n v="0.25"/>
    <s v="Valid"/>
    <n v="5886.3"/>
    <n v="3621.76"/>
    <n v="2264.54"/>
    <x v="2"/>
    <s v="Include"/>
    <s v=""/>
    <s v="Returned"/>
    <s v="Returned"/>
    <s v="Include"/>
  </r>
  <r>
    <s v="ORD-2024-10408"/>
    <n v="1"/>
    <s v=""/>
    <s v="12 May 2024"/>
    <d v="2024-05-12T00:00:00"/>
    <s v="13 May 2024"/>
    <d v="2024-05-13T00:00:00"/>
    <s v="Valid"/>
    <n v="1"/>
    <s v="Valid"/>
    <s v="CUST-8520"/>
    <s v="Rahul Verma"/>
    <s v="Rahul Verma"/>
    <s v="Corporate"/>
    <s v="Corporate"/>
    <x v="3"/>
    <s v="West"/>
    <s v="Goa"/>
    <s v="Panaji"/>
    <s v="Office Supplies"/>
    <s v="Office Supplies"/>
    <s v="Labels"/>
    <s v="Smart Labels 261"/>
    <s v="Second Class"/>
    <s v="Second Class"/>
    <n v="3"/>
    <n v="2644.55"/>
    <n v="0"/>
    <n v="0"/>
    <s v="Valid"/>
    <n v="7933.65"/>
    <n v="5698.42"/>
    <n v="2235.23"/>
    <x v="0"/>
    <s v="Include"/>
    <s v=""/>
    <s v="Completed"/>
    <s v="Completed"/>
    <s v="Include"/>
  </r>
  <r>
    <s v="ORD-2025-10409"/>
    <n v="1"/>
    <s v=""/>
    <s v="08/01/2025"/>
    <d v="2025-08-01T00:00:00"/>
    <s v="08/03/2025"/>
    <d v="2025-08-03T00:00:00"/>
    <s v="Valid"/>
    <n v="2"/>
    <s v="Valid"/>
    <s v="CUST-5036"/>
    <s v="Sneha Kapoor"/>
    <s v="Sneha Kapoor"/>
    <s v="Consumer"/>
    <s v="Consumer"/>
    <x v="3"/>
    <s v="West"/>
    <s v="Maharashtra"/>
    <s v="Mumbai"/>
    <s v="Furniture"/>
    <s v="Furniture"/>
    <s v="Chairs"/>
    <s v="Max Chairs 765"/>
    <s v="First Class"/>
    <s v="First Class"/>
    <n v="4"/>
    <n v="1773.46"/>
    <n v="0"/>
    <n v="0"/>
    <s v="Valid"/>
    <n v="7093.84"/>
    <n v="4587.49"/>
    <n v="2506.35"/>
    <x v="3"/>
    <s v="Exclude"/>
    <s v=""/>
    <s v="Returned"/>
    <s v="Returned"/>
    <s v="Include"/>
  </r>
  <r>
    <s v="ORD-2025-10410"/>
    <n v="1"/>
    <s v=""/>
    <s v="13-02-2025"/>
    <d v="2025-02-13T00:00:00"/>
    <s v="15-02-2025"/>
    <d v="2025-02-15T00:00:00"/>
    <s v="Valid"/>
    <n v="2"/>
    <s v="Valid"/>
    <s v="CUST-7721"/>
    <s v="Karan Malhotra"/>
    <s v="Karan Malhotra"/>
    <s v="Consumer"/>
    <s v="Consumer"/>
    <x v="1"/>
    <s v="East"/>
    <s v="Assam"/>
    <s v="Guwahati"/>
    <s v="Technology"/>
    <s v="Technology"/>
    <s v="Accessories"/>
    <s v="Pro Accessories 686"/>
    <s v="Same Day"/>
    <s v="Same Day"/>
    <n v="1"/>
    <n v="3025.46"/>
    <n v="0.25"/>
    <n v="0.25"/>
    <s v="Valid"/>
    <n v="2269.1"/>
    <n v="1593.59"/>
    <n v="675.51"/>
    <x v="1"/>
    <s v="Include"/>
    <s v="Refunded Order"/>
    <s v="Returned"/>
    <s v="Returned"/>
    <s v="Include"/>
  </r>
  <r>
    <s v="ORD-2024-10411"/>
    <n v="1"/>
    <s v=""/>
    <s v="2024-04-12"/>
    <d v="2024-04-12T00:00:00"/>
    <s v="20 Apr 2024"/>
    <d v="2024-04-20T00:00:00"/>
    <s v="Valid"/>
    <n v="8"/>
    <s v="Valid"/>
    <s v="CUST-9495"/>
    <s v="Diya Patel"/>
    <s v="Diya Patel"/>
    <s v="Consumer"/>
    <s v="Consumer"/>
    <x v="3"/>
    <s v="West"/>
    <s v="Goa"/>
    <s v="Panaji"/>
    <s v="Furniture"/>
    <s v="Furniture"/>
    <s v="Tables"/>
    <s v="Smart Tables 100"/>
    <s v="First Class"/>
    <s v="First Class"/>
    <n v="9"/>
    <n v="1302.6099999999999"/>
    <n v="0.2"/>
    <n v="0.2"/>
    <s v="Valid"/>
    <n v="9378.7900000000009"/>
    <n v="6774.48"/>
    <n v="2604.31"/>
    <x v="0"/>
    <s v="Include"/>
    <s v=""/>
    <s v="Completed"/>
    <s v="Completed"/>
    <s v="Include"/>
  </r>
  <r>
    <s v="ORD-2025-10412"/>
    <n v="1"/>
    <s v=""/>
    <s v="2025-08-23"/>
    <d v="2025-08-23T00:00:00"/>
    <s v="2025-08-28"/>
    <d v="2025-08-28T00:00:00"/>
    <s v="Valid"/>
    <n v="5"/>
    <s v="Valid"/>
    <s v="CUST-2855"/>
    <s v="Arjun Bose"/>
    <s v="Arjun Bose"/>
    <s v="Home Office"/>
    <s v="Home Office"/>
    <x v="3"/>
    <s v="West"/>
    <s v="Rajasthan"/>
    <s v="Udaipur"/>
    <s v="Furniture"/>
    <s v="Furniture"/>
    <s v="Tables"/>
    <s v="Basic Tables 615"/>
    <s v="First Class"/>
    <s v="First Class"/>
    <n v="1"/>
    <n v="4167.8100000000004"/>
    <n v="0.2"/>
    <n v="0.2"/>
    <s v="Valid"/>
    <n v="3334.25"/>
    <n v="2768.77"/>
    <n v="565.48"/>
    <x v="3"/>
    <s v="Exclude"/>
    <s v=""/>
    <s v="Returned"/>
    <s v="Returned"/>
    <s v="Include"/>
  </r>
  <r>
    <s v="ORD-2024-10413"/>
    <n v="1"/>
    <s v=""/>
    <s v="2024-01-22"/>
    <d v="2024-01-22T00:00:00"/>
    <s v="30-01-2024"/>
    <d v="2024-01-30T00:00:00"/>
    <s v="Valid"/>
    <n v="8"/>
    <s v="Valid"/>
    <s v="CUST-4329"/>
    <s v="Isha Nair"/>
    <s v="Isha Nair"/>
    <s v="Corporate"/>
    <s v="Corporate"/>
    <x v="2"/>
    <s v="South"/>
    <s v="Karnataka"/>
    <s v="Bengaluru"/>
    <s v="Furniture"/>
    <s v="Furniture"/>
    <s v="Chairs"/>
    <s v="Basic Chairs 790"/>
    <s v="Same Day"/>
    <s v="Same Day"/>
    <n v="1"/>
    <n v="2111.39"/>
    <n v="0.25"/>
    <n v="0.25"/>
    <s v="Valid"/>
    <n v="1583.54"/>
    <n v="1014.19"/>
    <n v="569.35"/>
    <x v="0"/>
    <s v="Include"/>
    <s v=""/>
    <s v="Completed"/>
    <s v="Completed"/>
    <s v="Include"/>
  </r>
  <r>
    <s v="ORD-2025-10414"/>
    <n v="1"/>
    <s v=""/>
    <s v="13-08-2025"/>
    <d v="2025-08-13T00:00:00"/>
    <s v="17-08-2025"/>
    <d v="2025-08-17T00:00:00"/>
    <s v="Valid"/>
    <n v="4"/>
    <s v="Valid"/>
    <s v="CUST-5094"/>
    <s v="Neha Gupta"/>
    <s v="Neha Gupta"/>
    <s v="Home Office"/>
    <s v="Home Office"/>
    <x v="3"/>
    <s v="West"/>
    <s v="Madhya Pradesh"/>
    <s v="Indore"/>
    <s v="Technology"/>
    <s v="Technology"/>
    <s v="Accessories"/>
    <s v="Smart Accessories 226"/>
    <s v="Second Class"/>
    <s v="Second Class"/>
    <n v="8"/>
    <n v="1918.23"/>
    <n v="0"/>
    <n v="0"/>
    <s v="Valid"/>
    <n v="15345.84"/>
    <n v="10735.33"/>
    <n v="4610.51"/>
    <x v="2"/>
    <s v="Exclude"/>
    <s v=""/>
    <s v="Cancelled"/>
    <s v="Cancelled"/>
    <s v="Exclude"/>
  </r>
  <r>
    <s v="ORD-2024-10415"/>
    <n v="1"/>
    <s v=""/>
    <s v="2024-08-29"/>
    <d v="2024-08-29T00:00:00"/>
    <s v="08/30/2024"/>
    <d v="2024-08-30T00:00:00"/>
    <s v="Valid"/>
    <n v="1"/>
    <s v="Valid"/>
    <s v="CUST-4194"/>
    <s v="Arjun Bose"/>
    <s v="Arjun Bose"/>
    <s v="Home Office"/>
    <s v="Home Office"/>
    <x v="1"/>
    <s v="East"/>
    <s v="Assam"/>
    <s v="Guwahati"/>
    <s v="Office Supplies"/>
    <s v="Office Supplies"/>
    <s v="Storage"/>
    <s v="Max Storage 692"/>
    <s v="First Class"/>
    <s v="First Class"/>
    <n v="4"/>
    <n v="2484.08"/>
    <n v="0.05"/>
    <n v="0.05"/>
    <s v="Valid"/>
    <n v="9439.5"/>
    <n v="5519.39"/>
    <n v="3920.11"/>
    <x v="0"/>
    <s v="Include"/>
    <s v=""/>
    <s v="Completed"/>
    <s v="Completed"/>
    <s v="Include"/>
  </r>
  <r>
    <s v="ORD-2024-10416"/>
    <n v="1"/>
    <s v=""/>
    <s v="01/25/2024"/>
    <d v="2024-01-25T00:00:00"/>
    <s v="27 Jan 2024"/>
    <d v="2024-01-27T00:00:00"/>
    <s v="Valid"/>
    <n v="2"/>
    <s v="Valid"/>
    <s v="CUST-7087"/>
    <s v="Aarav Sharma"/>
    <s v="Aarav Sharma"/>
    <s v="Corporate"/>
    <s v="Corporate"/>
    <x v="2"/>
    <s v="South"/>
    <s v="Karnataka"/>
    <s v="Bengaluru"/>
    <s v="Office Supplies"/>
    <s v="Office Supplies"/>
    <s v="Storage"/>
    <s v="Basic Storage 684"/>
    <s v="Same Day"/>
    <s v="Same Day"/>
    <n v="7"/>
    <n v="1727.26"/>
    <n v="0.15"/>
    <n v="0.15"/>
    <s v="Valid"/>
    <n v="10277.200000000001"/>
    <n v="7906.5"/>
    <n v="2370.6999999999998"/>
    <x v="0"/>
    <s v="Include"/>
    <s v=""/>
    <s v="Returned"/>
    <s v="Returned"/>
    <s v="Include"/>
  </r>
  <r>
    <s v="ORD-2025-10417"/>
    <n v="1"/>
    <s v=""/>
    <s v="2025-01-08"/>
    <d v="2025-01-08T00:00:00"/>
    <s v="16-01-2025"/>
    <d v="2025-01-16T00:00:00"/>
    <s v="Valid"/>
    <n v="8"/>
    <s v="Valid"/>
    <s v="CUST-7608"/>
    <s v="Neha Gupta"/>
    <s v="Neha Gupta"/>
    <s v="Consumer"/>
    <s v="Consumer"/>
    <x v="2"/>
    <s v="South"/>
    <s v="Telangana"/>
    <s v="Hyderabad"/>
    <s v="Furniture"/>
    <s v="Furniture"/>
    <s v="Furnishings"/>
    <s v="Smart Furnishings 152"/>
    <s v="First Class"/>
    <s v="First Class"/>
    <n v="8"/>
    <n v="638.95000000000005"/>
    <n v="0.25"/>
    <n v="0.25"/>
    <s v="Valid"/>
    <n v="3833.7"/>
    <n v="2886.35"/>
    <n v="947.35"/>
    <x v="0"/>
    <s v="Include"/>
    <s v=""/>
    <s v="Completed"/>
    <s v="Completed"/>
    <s v="Include"/>
  </r>
  <r>
    <s v="ORD-2025-10418"/>
    <n v="1"/>
    <s v=""/>
    <s v="01/29/2025"/>
    <d v="2025-01-29T00:00:00"/>
    <s v="02/05/2025"/>
    <d v="2025-02-05T00:00:00"/>
    <s v="Valid"/>
    <n v="7"/>
    <s v="Valid"/>
    <s v="CUST-5269"/>
    <s v="Mira Das"/>
    <s v="Mira Das"/>
    <s v="Consumer"/>
    <s v="Consumer"/>
    <x v="3"/>
    <s v="West"/>
    <s v="Gujarat"/>
    <s v="Ahmedabad"/>
    <s v="Office Supplies"/>
    <s v="Office Supplies"/>
    <s v="Art"/>
    <s v="Max Art 736"/>
    <s v="First Class"/>
    <s v="First Class"/>
    <n v="6"/>
    <n v="3863"/>
    <n v="0.2"/>
    <n v="0.2"/>
    <s v="Valid"/>
    <n v="18542.400000000001"/>
    <n v="11193.75"/>
    <n v="7348.65"/>
    <x v="0"/>
    <s v="Include"/>
    <s v=""/>
    <s v="Completed"/>
    <s v="Completed"/>
    <s v="Include"/>
  </r>
  <r>
    <s v="ORD-2024-10419"/>
    <n v="1"/>
    <s v=""/>
    <s v="11/09/2024"/>
    <d v="2024-11-09T00:00:00"/>
    <s v="11/17/2024"/>
    <d v="2024-11-17T00:00:00"/>
    <s v="Valid"/>
    <n v="8"/>
    <s v="Valid"/>
    <s v="CUST-7925"/>
    <s v="Sneha Kapoor"/>
    <s v="Sneha Kapoor"/>
    <s v="Corporate"/>
    <s v="Corporate"/>
    <x v="1"/>
    <s v="East"/>
    <s v="Odisha"/>
    <s v="Bhubaneswar"/>
    <s v="Technology"/>
    <s v="Technology"/>
    <s v="Copiers"/>
    <s v="Elite Copiers 971"/>
    <s v="Standard Class"/>
    <s v="Standard Class"/>
    <n v="6"/>
    <n v="3660.4"/>
    <n v="0"/>
    <n v="0"/>
    <s v="Valid"/>
    <n v="21962.400000000001"/>
    <n v="15331.99"/>
    <n v="6630.41"/>
    <x v="3"/>
    <s v="Exclude"/>
    <s v=""/>
    <s v="Cancelled"/>
    <s v="Cancelled"/>
    <s v="Exclude"/>
  </r>
  <r>
    <s v="ORD-2025-10420"/>
    <n v="1"/>
    <s v=""/>
    <s v="26-09-2025"/>
    <d v="2025-09-26T00:00:00"/>
    <s v="09/30/2025"/>
    <d v="2025-09-30T00:00:00"/>
    <s v="Valid"/>
    <n v="4"/>
    <s v="Valid"/>
    <s v="CUST-6552"/>
    <s v="Sneha Kapoor"/>
    <s v="Sneha Kapoor"/>
    <s v="Home Office"/>
    <s v="Home Office"/>
    <x v="0"/>
    <s v="North"/>
    <s v="Haryana"/>
    <s v="Gurugram"/>
    <s v="Technology"/>
    <s v="Technology"/>
    <s v="Phones"/>
    <s v="Classic Phones 940"/>
    <s v="Same Day"/>
    <s v="Same Day"/>
    <n v="2"/>
    <n v="688.83"/>
    <n v="0.05"/>
    <n v="0.05"/>
    <s v="Valid"/>
    <n v="1308.78"/>
    <n v="843"/>
    <n v="465.78"/>
    <x v="0"/>
    <s v="Include"/>
    <s v=""/>
    <s v="Completed"/>
    <s v="Completed"/>
    <s v="Include"/>
  </r>
  <r>
    <s v="ORD-2025-10421"/>
    <n v="1"/>
    <s v=""/>
    <s v="18-03-2025"/>
    <d v="2025-03-18T00:00:00"/>
    <s v="2025-03-19"/>
    <d v="2025-03-19T00:00:00"/>
    <s v="Valid"/>
    <n v="1"/>
    <s v="Valid"/>
    <s v="CUST-7131"/>
    <s v="Isha Nair"/>
    <s v="Isha Nair"/>
    <s v="Corporate"/>
    <s v="Corporate"/>
    <x v="2"/>
    <s v="South"/>
    <s v="Tamil Nadu"/>
    <s v="Chennai"/>
    <s v="Technology"/>
    <s v="Technology"/>
    <s v="Machines"/>
    <s v="Pro Machines 579"/>
    <s v="Standard Class"/>
    <s v="Standard Class"/>
    <n v="2"/>
    <n v="1209.99"/>
    <n v="0.25"/>
    <n v="0.25"/>
    <s v="Valid"/>
    <n v="1814.99"/>
    <n v="1120.06"/>
    <n v="694.93"/>
    <x v="2"/>
    <s v="Exclude"/>
    <s v=""/>
    <s v="Cancelled"/>
    <s v="Cancelled"/>
    <s v="Exclude"/>
  </r>
  <r>
    <s v="ORD-2025-10422"/>
    <n v="1"/>
    <s v=""/>
    <s v="06/14/2025"/>
    <d v="2025-06-14T00:00:00"/>
    <s v="19 Jun 2025"/>
    <d v="2025-06-19T00:00:00"/>
    <s v="Valid"/>
    <n v="5"/>
    <s v="Valid"/>
    <s v="CUST-2779"/>
    <s v="Rohan Mehta"/>
    <s v="Rohan Mehta"/>
    <s v="Small Business"/>
    <s v="Small Business"/>
    <x v="0"/>
    <s v="North"/>
    <s v="Delhi"/>
    <s v="New Delhi"/>
    <s v="Office Supplies"/>
    <s v="Office Supplies"/>
    <s v="Binders"/>
    <s v="Elite Binders 943"/>
    <s v="Same Day"/>
    <s v="Same Day"/>
    <n v="3"/>
    <n v="1037.45"/>
    <n v="0.2"/>
    <n v="0.2"/>
    <s v="Valid"/>
    <n v="2489.88"/>
    <n v="1707.52"/>
    <n v="782.36"/>
    <x v="2"/>
    <s v="Include"/>
    <s v=""/>
    <s v="Returned"/>
    <s v="Returned"/>
    <s v="Include"/>
  </r>
  <r>
    <s v="ORD-2025-10423"/>
    <n v="1"/>
    <s v=""/>
    <s v="09/03/2025"/>
    <d v="2025-09-03T00:00:00"/>
    <s v="06 Sep 2025"/>
    <d v="2025-09-06T00:00:00"/>
    <s v="Valid"/>
    <n v="3"/>
    <s v="Valid"/>
    <s v="CUST-6077"/>
    <s v="Kabir Singh"/>
    <s v="Kabir Singh"/>
    <s v="Consumer"/>
    <s v="Consumer"/>
    <x v="3"/>
    <s v="West"/>
    <s v="Madhya Pradesh"/>
    <s v="Indore"/>
    <s v="Technology"/>
    <s v="Technology"/>
    <s v="Copiers"/>
    <s v="Elite Copiers 474"/>
    <s v="Same Day"/>
    <s v="Same Day"/>
    <n v="7"/>
    <n v="688.85"/>
    <n v="0.15"/>
    <n v="0.15"/>
    <s v="Valid"/>
    <n v="4098.66"/>
    <n v="2678.06"/>
    <n v="1420.6"/>
    <x v="0"/>
    <s v="Include"/>
    <s v=""/>
    <s v="Completed"/>
    <s v="Completed"/>
    <s v="Include"/>
  </r>
  <r>
    <s v="ORD-2025-10091"/>
    <n v="2"/>
    <s v="Review Required"/>
    <s v="08/24/2025"/>
    <d v="2025-08-24T00:00:00"/>
    <s v="29 Aug 2025"/>
    <d v="2025-08-29T00:00:00"/>
    <s v="Valid"/>
    <n v="5"/>
    <s v="Valid"/>
    <s v="CUST-5909"/>
    <s v="Aarav Sharma"/>
    <s v="Aarav Sharma"/>
    <s v="Small Business"/>
    <s v="Small Business"/>
    <x v="1"/>
    <s v="East"/>
    <s v="Bihar"/>
    <s v="Patna"/>
    <s v="Technology"/>
    <s v="Technology"/>
    <s v="Copiers"/>
    <s v="Smart Copiers 556"/>
    <s v="First Class"/>
    <s v="First Class"/>
    <n v="3"/>
    <n v="3703.96"/>
    <n v="0.15"/>
    <n v="0.15"/>
    <s v="Valid"/>
    <n v="9445.1"/>
    <n v="5586.28"/>
    <n v="3858.82"/>
    <x v="0"/>
    <s v="Include"/>
    <s v=""/>
    <s v="Completed"/>
    <s v="Completed"/>
    <s v="Include"/>
  </r>
  <r>
    <s v="ORD-2024-10425"/>
    <n v="1"/>
    <s v=""/>
    <s v="06/26/2024"/>
    <d v="2024-06-26T00:00:00"/>
    <s v="2024-06-29"/>
    <d v="2024-06-29T00:00:00"/>
    <s v="Valid"/>
    <n v="3"/>
    <s v="Valid"/>
    <s v="CUST-8904"/>
    <s v="Neha Gupta"/>
    <s v="Neha Gupta"/>
    <s v="Corporate"/>
    <s v="Corporate"/>
    <x v="0"/>
    <s v="North"/>
    <s v="Punjab"/>
    <s v="Ludhiana"/>
    <s v="Technology"/>
    <s v="Technology"/>
    <s v="Phones"/>
    <s v="Prime Phones 881"/>
    <s v="Standard Class"/>
    <s v="Standard Class"/>
    <n v="8"/>
    <n v="804.52"/>
    <n v="0"/>
    <n v="0"/>
    <s v="Valid"/>
    <n v="6436.16"/>
    <n v="4263.83"/>
    <n v="2172.33"/>
    <x v="0"/>
    <s v="Include"/>
    <s v=""/>
    <s v="Completed"/>
    <s v="Completed"/>
    <s v="Include"/>
  </r>
  <r>
    <s v="ORD-2024-10426"/>
    <n v="1"/>
    <s v=""/>
    <s v="26-09-2024"/>
    <d v="2024-09-26T00:00:00"/>
    <s v="09/27/2024"/>
    <d v="2024-09-27T00:00:00"/>
    <s v="Valid"/>
    <n v="1"/>
    <s v="Valid"/>
    <s v="CUST-9586"/>
    <s v="Isha Nair"/>
    <s v="Isha Nair"/>
    <s v="Home Office"/>
    <s v="Home Office"/>
    <x v="0"/>
    <s v="North"/>
    <s v="Delhi"/>
    <s v="New Delhi"/>
    <s v="Office Supplies"/>
    <s v="Office Supplies"/>
    <s v="Labels"/>
    <s v="Pro Labels 903"/>
    <s v="First Class"/>
    <s v="First Class"/>
    <n v="2"/>
    <n v="1065.69"/>
    <n v="0.1"/>
    <n v="0.1"/>
    <s v="Valid"/>
    <n v="1918.24"/>
    <n v="1373.52"/>
    <n v="544.72"/>
    <x v="1"/>
    <s v="Exclude"/>
    <s v="Refunded Order"/>
    <s v="Cancelled"/>
    <s v="Cancelled"/>
    <s v="Exclude"/>
  </r>
  <r>
    <s v="ORD-2024-10427"/>
    <n v="1"/>
    <s v=""/>
    <s v="30-06-2024"/>
    <d v="2024-06-30T00:00:00"/>
    <s v="01-07-2024"/>
    <d v="2024-07-01T00:00:00"/>
    <s v="Valid"/>
    <n v="1"/>
    <s v="Valid"/>
    <s v="CUST-5431"/>
    <s v="Aditi Sen"/>
    <s v="Aditi Sen"/>
    <s v="Consumer"/>
    <s v="Consumer"/>
    <x v="0"/>
    <s v="North"/>
    <s v="Haryana"/>
    <s v="Gurugram"/>
    <s v="Technology"/>
    <s v="Technology"/>
    <s v="Copiers"/>
    <s v="Max Copiers 402"/>
    <s v="Same Day"/>
    <s v="Same Day"/>
    <n v="8"/>
    <n v="3756.66"/>
    <n v="0.1"/>
    <n v="0.1"/>
    <s v="Valid"/>
    <n v="27047.95"/>
    <n v="18431.330000000002"/>
    <n v="8616.6200000000008"/>
    <x v="0"/>
    <s v="Include"/>
    <s v=""/>
    <s v="Completed"/>
    <s v="Completed"/>
    <s v="Include"/>
  </r>
  <r>
    <s v="ORD-2025-10428"/>
    <n v="1"/>
    <s v=""/>
    <s v="2025-04-22"/>
    <d v="2025-04-22T00:00:00"/>
    <s v="24-04-2025"/>
    <d v="2025-04-24T00:00:00"/>
    <s v="Valid"/>
    <n v="2"/>
    <s v="Valid"/>
    <s v="CUST-8843"/>
    <s v="Isha Nair"/>
    <s v="Isha Nair"/>
    <s v="Corporate"/>
    <s v="Corporate"/>
    <x v="4"/>
    <s v="Unknown"/>
    <s v="Jharkhand"/>
    <s v="Ranchi"/>
    <s v="Technology"/>
    <s v="Technology"/>
    <s v="Accessories"/>
    <s v="Prime Accessories 419"/>
    <s v="Standard Class"/>
    <s v="Standard Class"/>
    <n v="9"/>
    <n v="2939.44"/>
    <n v="0"/>
    <n v="0"/>
    <s v="Valid"/>
    <n v="26454.959999999999"/>
    <n v="17630.25"/>
    <n v="8824.7099999999991"/>
    <x v="0"/>
    <s v="Include"/>
    <s v=""/>
    <s v="Completed"/>
    <s v="Completed"/>
    <s v="Include"/>
  </r>
  <r>
    <s v="ORD-2025-10429"/>
    <n v="1"/>
    <s v=""/>
    <s v="2025-03-15"/>
    <d v="2025-03-15T00:00:00"/>
    <s v="22 Mar 2025"/>
    <d v="2025-03-22T00:00:00"/>
    <s v="Valid"/>
    <n v="7"/>
    <s v="Valid"/>
    <s v="CUST-7626"/>
    <s v="Karan Malhotra"/>
    <s v="Karan Malhotra"/>
    <s v="Small Business"/>
    <s v="Small Business"/>
    <x v="1"/>
    <s v="East"/>
    <s v="West Bengal"/>
    <s v="Kolkata"/>
    <s v="Technology"/>
    <s v="Technology"/>
    <s v="Phones"/>
    <s v="Elite Phones 488"/>
    <s v="Same Day"/>
    <s v="Same Day"/>
    <n v="2"/>
    <n v="1235.93"/>
    <n v="0.25"/>
    <n v="0.25"/>
    <s v="Valid"/>
    <n v="1853.89"/>
    <n v="1101.23"/>
    <n v="752.66"/>
    <x v="2"/>
    <s v="Exclude"/>
    <s v=""/>
    <s v="Cancelled"/>
    <s v="Cancelled"/>
    <s v="Exclude"/>
  </r>
  <r>
    <s v="ORD-2025-10430"/>
    <n v="1"/>
    <s v=""/>
    <s v="01 Mar 2025"/>
    <d v="2025-03-01T00:00:00"/>
    <s v="08-03-2025"/>
    <d v="2025-03-08T00:00:00"/>
    <s v="Valid"/>
    <n v="7"/>
    <s v="Valid"/>
    <s v="CUST-8562"/>
    <s v="Neha Gupta"/>
    <s v="Neha Gupta"/>
    <s v="Home Office"/>
    <s v="Home Office"/>
    <x v="0"/>
    <s v="North"/>
    <s v="Rajasthan"/>
    <s v="Jaipur"/>
    <s v="Technology"/>
    <s v="Technology"/>
    <s v="Copiers"/>
    <s v="Prime Copiers 109"/>
    <s v="Same Day"/>
    <s v="Same Day"/>
    <n v="8"/>
    <n v="2943.1"/>
    <n v="0.25"/>
    <n v="0.25"/>
    <s v="Valid"/>
    <n v="17658.599999999999"/>
    <n v="13842.48"/>
    <n v="3816.12"/>
    <x v="0"/>
    <s v="Include"/>
    <s v=""/>
    <s v="Completed"/>
    <s v="Completed"/>
    <s v="Include"/>
  </r>
  <r>
    <s v="ORD-2024-10431"/>
    <n v="1"/>
    <s v=""/>
    <s v="30 Aug 2024"/>
    <d v="2024-08-30T00:00:00"/>
    <s v="02-09-2024"/>
    <d v="2024-09-02T00:00:00"/>
    <s v="Valid"/>
    <n v="3"/>
    <s v="Valid"/>
    <s v="CUST-2732"/>
    <s v="Neha Gupta"/>
    <s v="Neha Gupta"/>
    <s v="Small Business"/>
    <s v="Small Business"/>
    <x v="0"/>
    <s v="North"/>
    <s v="Haryana"/>
    <s v="Gurugram"/>
    <s v="Office Supplies"/>
    <s v="Office Supplies"/>
    <s v="Paper"/>
    <s v="Max Paper 576"/>
    <s v="Second Class"/>
    <s v="Second Class"/>
    <n v="1"/>
    <n v="4320.84"/>
    <n v="0.15"/>
    <n v="0.15"/>
    <s v="Valid"/>
    <n v="3672.71"/>
    <n v="2714.23"/>
    <n v="763.38"/>
    <x v="0"/>
    <s v="Include"/>
    <s v=""/>
    <s v="Completed"/>
    <s v="Completed"/>
    <s v="Include"/>
  </r>
  <r>
    <s v="ORD-2024-10432"/>
    <n v="1"/>
    <s v=""/>
    <s v="10 Feb 2024"/>
    <d v="2024-02-10T00:00:00"/>
    <s v="02/13/2024"/>
    <d v="2024-02-13T00:00:00"/>
    <s v="Valid"/>
    <n v="3"/>
    <s v="Valid"/>
    <s v="CUST-3989"/>
    <s v="Karan Malhotra"/>
    <s v="Karan Malhotra"/>
    <s v="Home Office"/>
    <s v="Home Office"/>
    <x v="3"/>
    <s v="West"/>
    <s v="Goa"/>
    <s v="Panaji"/>
    <s v="Technology"/>
    <s v="Technology"/>
    <s v="Machines"/>
    <s v="Max Machines 412"/>
    <s v="Same Day"/>
    <s v="Same Day"/>
    <n v="2"/>
    <n v="4118.45"/>
    <n v="0.25"/>
    <n v="0.25"/>
    <s v="Valid"/>
    <n v="6177.67"/>
    <n v="4520.75"/>
    <n v="1656.92"/>
    <x v="0"/>
    <s v="Include"/>
    <s v=""/>
    <s v="Completed"/>
    <s v="Completed"/>
    <s v="Include"/>
  </r>
  <r>
    <s v="ORD-2024-10433"/>
    <n v="1"/>
    <s v=""/>
    <s v="08/29/2024"/>
    <d v="2024-08-29T00:00:00"/>
    <s v="02-09-2024"/>
    <d v="2024-09-02T00:00:00"/>
    <s v="Valid"/>
    <n v="4"/>
    <s v="Valid"/>
    <s v="CUST-3522"/>
    <s v="Priya Menon"/>
    <s v="Priya Menon"/>
    <s v="Small Business"/>
    <s v="Small Business"/>
    <x v="3"/>
    <s v="West"/>
    <s v="Maharashtra"/>
    <s v="Mumbai"/>
    <s v="Furniture"/>
    <s v="Furniture"/>
    <s v="Bookcases"/>
    <s v="Classic Bookcases 291"/>
    <s v="Standard Class"/>
    <s v="Standard Class"/>
    <n v="6"/>
    <n v="172.82"/>
    <n v="0.05"/>
    <n v="0.05"/>
    <s v="Valid"/>
    <n v="985.07"/>
    <n v="844.48"/>
    <n v="140.59"/>
    <x v="0"/>
    <s v="Include"/>
    <s v=""/>
    <s v="Completed"/>
    <s v="Completed"/>
    <s v="Include"/>
  </r>
  <r>
    <s v="ORD-2024-10434"/>
    <n v="1"/>
    <s v=""/>
    <s v="04/19/2024"/>
    <d v="2024-04-19T00:00:00"/>
    <s v="20-04-2024"/>
    <d v="2024-04-20T00:00:00"/>
    <s v="Valid"/>
    <n v="1"/>
    <s v="Valid"/>
    <s v="CUST-7066"/>
    <s v="Priya Menon"/>
    <s v="Priya Menon"/>
    <s v="Corporate"/>
    <s v="Corporate"/>
    <x v="2"/>
    <s v="South"/>
    <s v="Kerala"/>
    <s v="Kochi"/>
    <s v="Office Supplies"/>
    <s v="Office Supplies"/>
    <s v="Art"/>
    <s v="Elite Art 946"/>
    <s v="Second Class"/>
    <s v="Second Class"/>
    <n v="4"/>
    <n v="1540.22"/>
    <n v="0"/>
    <n v="0"/>
    <s v="Valid"/>
    <n v="6160.88"/>
    <n v="4938.7"/>
    <n v="1222.18"/>
    <x v="1"/>
    <s v="Include"/>
    <s v="Refunded Order"/>
    <s v="Returned"/>
    <s v="Returned"/>
    <s v="Include"/>
  </r>
  <r>
    <s v="ORD-2025-10435"/>
    <n v="1"/>
    <s v=""/>
    <s v="04/11/2025"/>
    <d v="2025-04-11T00:00:00"/>
    <s v="2025-04-15"/>
    <d v="2025-04-15T00:00:00"/>
    <s v="Valid"/>
    <n v="4"/>
    <s v="Valid"/>
    <s v="CUST-2351"/>
    <s v="Mira Das"/>
    <s v="Mira Das"/>
    <s v="Home Office"/>
    <s v="Home Office"/>
    <x v="0"/>
    <s v="North"/>
    <s v="Uttar Pradesh"/>
    <s v="Noida"/>
    <s v="Technology"/>
    <s v="Technology"/>
    <s v="Accessories"/>
    <s v="Eco Accessories 705"/>
    <s v="Second Class"/>
    <s v="Second Class"/>
    <n v="5"/>
    <n v="652.78"/>
    <n v="0"/>
    <n v="0"/>
    <s v="Valid"/>
    <n v="3263.9"/>
    <n v="2068.44"/>
    <n v="1195.46"/>
    <x v="0"/>
    <s v="Include"/>
    <s v=""/>
    <s v="Completed"/>
    <s v="Completed"/>
    <s v="Include"/>
  </r>
  <r>
    <s v="ORD-2025-10436"/>
    <n v="1"/>
    <s v=""/>
    <s v="2025-04-12"/>
    <d v="2025-04-12T00:00:00"/>
    <s v="20-04-2025"/>
    <d v="2025-04-20T00:00:00"/>
    <s v="Valid"/>
    <n v="8"/>
    <s v="Valid"/>
    <s v="CUST-7291"/>
    <s v="Kabir Singh"/>
    <s v="Kabir Singh"/>
    <s v="Home Office"/>
    <s v="Home Office"/>
    <x v="0"/>
    <s v="North"/>
    <s v="Delhi"/>
    <s v="New Delhi"/>
    <s v="Technology"/>
    <s v="Technology"/>
    <s v="Machines"/>
    <s v="Max Machines 151"/>
    <s v="Standard Class"/>
    <s v="Standard Class"/>
    <n v="1"/>
    <n v="2737.71"/>
    <n v="0.15"/>
    <n v="0.15"/>
    <s v="Valid"/>
    <n v="2327.0500000000002"/>
    <n v="1919.42"/>
    <n v="407.63"/>
    <x v="0"/>
    <s v="Exclude"/>
    <s v=""/>
    <s v="Cancelled"/>
    <s v="Cancelled"/>
    <s v="Exclude"/>
  </r>
  <r>
    <s v="ORD-2024-10437"/>
    <n v="1"/>
    <s v=""/>
    <s v="16 Jun 2024"/>
    <d v="2024-06-16T00:00:00"/>
    <s v="21 Jun 2024"/>
    <d v="2024-06-21T00:00:00"/>
    <s v="Valid"/>
    <n v="5"/>
    <s v="Valid"/>
    <s v="CUST-4492"/>
    <s v="Neha Gupta"/>
    <s v="Neha Gupta"/>
    <s v="Consumer"/>
    <s v="Consumer"/>
    <x v="2"/>
    <s v="South"/>
    <s v="Kerala"/>
    <s v="Kochi"/>
    <s v="Furniture"/>
    <s v="Furniture"/>
    <s v="Furnishings"/>
    <s v="Max Furnishings 803"/>
    <s v="Same Day"/>
    <s v="Same Day"/>
    <n v="6"/>
    <n v="1156.78"/>
    <n v="0.05"/>
    <n v="0.05"/>
    <s v="Valid"/>
    <n v="6593.65"/>
    <n v="4359.3900000000003"/>
    <n v="2234.2600000000002"/>
    <x v="0"/>
    <s v="Include"/>
    <s v=""/>
    <s v="Returned"/>
    <s v="Returned"/>
    <s v="Include"/>
  </r>
  <r>
    <s v="ORD-2024-10438"/>
    <n v="1"/>
    <s v=""/>
    <s v="15-02-2024"/>
    <d v="2024-02-15T00:00:00"/>
    <s v="2024-02-18"/>
    <d v="2024-02-18T00:00:00"/>
    <s v="Valid"/>
    <n v="3"/>
    <s v="Valid"/>
    <s v="CUST-5029"/>
    <s v="Aditi Sen"/>
    <s v="Aditi Sen"/>
    <s v="Small Business"/>
    <s v="Small Business"/>
    <x v="2"/>
    <s v="South"/>
    <s v="Kerala"/>
    <s v="Kochi"/>
    <s v="Technology"/>
    <s v="Technology"/>
    <s v="Accessories"/>
    <s v="Max Accessories 423"/>
    <s v="Same Day"/>
    <s v="Same Day"/>
    <n v="8"/>
    <n v="379.82"/>
    <n v="0.05"/>
    <n v="0.05"/>
    <s v="Valid"/>
    <n v="2886.63"/>
    <n v="1588.23"/>
    <n v="1298.4000000000001"/>
    <x v="3"/>
    <s v="Exclude"/>
    <s v=""/>
    <s v="Returned"/>
    <s v="Returned"/>
    <s v="Include"/>
  </r>
  <r>
    <s v="ORD-2025-10439"/>
    <n v="1"/>
    <s v=""/>
    <s v="07 May 2025"/>
    <d v="2025-05-07T00:00:00"/>
    <s v="05/05/2025"/>
    <d v="2025-05-05T00:00:00"/>
    <s v="Invalid Shipping Record"/>
    <n v="-2"/>
    <s v="Invalid Shipping Record"/>
    <s v="CUST-7252"/>
    <s v="Neha Gupta"/>
    <s v="Neha Gupta"/>
    <s v="Corporate"/>
    <s v="Corporate"/>
    <x v="1"/>
    <s v="East"/>
    <s v="Jharkhand"/>
    <s v="Ranchi"/>
    <s v="Technology"/>
    <s v="Technology"/>
    <s v="Phones"/>
    <s v="Elite Phones 276"/>
    <s v="Standard Class"/>
    <s v="Standard Class"/>
    <n v="1"/>
    <n v="2266.4699999999998"/>
    <n v="0.2"/>
    <n v="0.2"/>
    <s v="Valid"/>
    <n v="1813.18"/>
    <n v="1363.64"/>
    <n v="449.54"/>
    <x v="0"/>
    <s v="Include"/>
    <s v=""/>
    <s v="Completed"/>
    <s v="Completed"/>
    <s v="Include"/>
  </r>
  <r>
    <s v="ORD-2025-10440"/>
    <n v="1"/>
    <s v=""/>
    <s v="30-06-2025"/>
    <d v="2025-06-30T00:00:00"/>
    <s v="03 Jul 2025"/>
    <d v="2025-07-03T00:00:00"/>
    <s v="Valid"/>
    <n v="3"/>
    <s v="Valid"/>
    <s v="CUST-7346"/>
    <s v="Aarav Sharma"/>
    <s v="Aarav Sharma"/>
    <s v="Home Office"/>
    <s v="Home Office"/>
    <x v="3"/>
    <s v="West"/>
    <s v="Goa"/>
    <s v="Panaji"/>
    <s v="Office Supplies"/>
    <s v="Office Supplies"/>
    <s v="Storage"/>
    <s v="Smart Storage 287"/>
    <s v="Same Day"/>
    <s v="Same Day"/>
    <n v="5"/>
    <n v="665.25"/>
    <n v="0"/>
    <n v="0"/>
    <s v="Valid"/>
    <n v="3326.25"/>
    <n v="2689.36"/>
    <n v="636.89"/>
    <x v="1"/>
    <s v="Include"/>
    <s v="Refunded Order"/>
    <s v="Returned"/>
    <s v="Returned"/>
    <s v="Include"/>
  </r>
  <r>
    <s v="ORD-2024-10441"/>
    <n v="1"/>
    <s v=""/>
    <s v="04/02/2024"/>
    <d v="2024-04-02T00:00:00"/>
    <s v="04/08/2024"/>
    <d v="2024-04-08T00:00:00"/>
    <s v="Valid"/>
    <n v="6"/>
    <s v="Valid"/>
    <s v="CUST-9039"/>
    <s v="Vikram Iyer"/>
    <s v="Vikram Iyer"/>
    <s v="Corporate"/>
    <s v="Corporate"/>
    <x v="1"/>
    <s v="East"/>
    <s v="Odisha"/>
    <s v="Bhubaneswar"/>
    <s v="Technology"/>
    <s v="Technology"/>
    <s v="Machines"/>
    <s v="Basic Machines 610"/>
    <s v="Second Class"/>
    <s v="Second Class"/>
    <n v="6"/>
    <n v="3722.84"/>
    <n v="0.2"/>
    <n v="0.2"/>
    <s v="Valid"/>
    <n v="17869.63"/>
    <n v="12163.8"/>
    <n v="5705.83"/>
    <x v="0"/>
    <s v="Include"/>
    <s v=""/>
    <s v="Completed"/>
    <s v="Completed"/>
    <s v="Include"/>
  </r>
  <r>
    <s v="ORD-2024-10442"/>
    <n v="1"/>
    <s v=""/>
    <s v="03-10-2024"/>
    <d v="2024-10-03T00:00:00"/>
    <s v="2024-10-03"/>
    <d v="2024-10-03T00:00:00"/>
    <s v="Valid"/>
    <n v="0"/>
    <s v="Valid"/>
    <s v="CUST-3975"/>
    <s v="Karan Malhotra"/>
    <s v="Karan Malhotra"/>
    <s v="Consumer"/>
    <s v="Consumer"/>
    <x v="1"/>
    <s v="East"/>
    <s v="Bihar"/>
    <s v="Patna"/>
    <s v="Furniture"/>
    <s v="Furniture"/>
    <s v="Bookcases"/>
    <s v="Elite Bookcases 393"/>
    <s v="Standard Class"/>
    <s v="Standard Class"/>
    <n v="6"/>
    <n v="4217.49"/>
    <n v="0"/>
    <n v="0"/>
    <s v="Valid"/>
    <n v="25304.94"/>
    <n v="20771.95"/>
    <n v="4532.99"/>
    <x v="0"/>
    <s v="Exclude"/>
    <s v=""/>
    <s v="Cancelled"/>
    <s v="Cancelled"/>
    <s v="Exclude"/>
  </r>
  <r>
    <s v="ORD-2025-10443"/>
    <n v="1"/>
    <s v=""/>
    <s v="12 Jan 2025"/>
    <d v="2025-01-12T00:00:00"/>
    <s v="2025-01-19"/>
    <d v="2025-01-19T00:00:00"/>
    <s v="Valid"/>
    <n v="7"/>
    <s v="Valid"/>
    <s v="CUST-6588"/>
    <s v="Aarav Sharma"/>
    <s v="Aarav Sharma"/>
    <s v="Consumer"/>
    <s v="Consumer"/>
    <x v="1"/>
    <s v="East"/>
    <s v="Jharkhand"/>
    <s v="Ranchi"/>
    <s v="Furniture"/>
    <s v="Furniture"/>
    <s v="Tables"/>
    <s v="Prime Tables 242"/>
    <s v="First Class"/>
    <s v="First Class"/>
    <n v="1"/>
    <n v="1842.31"/>
    <n v="0"/>
    <n v="0"/>
    <s v="Valid"/>
    <n v="1842.31"/>
    <n v="1019.17"/>
    <n v="823.14"/>
    <x v="0"/>
    <s v="Include"/>
    <s v=""/>
    <s v="Completed"/>
    <s v="Completed"/>
    <s v="Include"/>
  </r>
  <r>
    <s v="ORD-2024-10444"/>
    <n v="1"/>
    <s v=""/>
    <s v="04-04-2024"/>
    <d v="2024-04-04T00:00:00"/>
    <s v="07 Apr 2024"/>
    <d v="2024-04-07T00:00:00"/>
    <s v="Valid"/>
    <n v="3"/>
    <s v="Valid"/>
    <s v="CUST-2207"/>
    <s v="Rohan Mehta"/>
    <s v="Rohan Mehta"/>
    <s v="Home Office"/>
    <s v="Home Office"/>
    <x v="1"/>
    <s v="East"/>
    <s v="Odisha"/>
    <s v="Bhubaneswar"/>
    <s v="Furniture"/>
    <s v="Furniture"/>
    <s v="Furnishings"/>
    <s v="Basic Furnishings 563"/>
    <s v="First Class"/>
    <s v="First Class"/>
    <n v="1"/>
    <n v="3683.75"/>
    <n v="0.1"/>
    <n v="0.1"/>
    <s v="Valid"/>
    <n v="3315.38"/>
    <n v="2347.6799999999998"/>
    <n v="967.7"/>
    <x v="0"/>
    <s v="Include"/>
    <s v=""/>
    <s v="Completed"/>
    <s v="Completed"/>
    <s v="Include"/>
  </r>
  <r>
    <s v="ORD-2025-10445"/>
    <n v="1"/>
    <s v=""/>
    <s v="12 Aug 2025"/>
    <d v="2025-08-12T00:00:00"/>
    <s v="2025-08-16"/>
    <d v="2025-08-16T00:00:00"/>
    <s v="Valid"/>
    <n v="4"/>
    <s v="Valid"/>
    <s v="CUST-4475"/>
    <s v="Ananya Rao"/>
    <s v="Ananya Rao"/>
    <s v="Consumer"/>
    <s v="Consumer"/>
    <x v="1"/>
    <s v="East"/>
    <s v="Assam"/>
    <s v="Guwahati"/>
    <s v="Technology"/>
    <s v="Technology"/>
    <s v="Accessories"/>
    <s v="Prime Accessories 482"/>
    <s v="Same Day"/>
    <s v="Same Day"/>
    <n v="9"/>
    <n v="2379.2399999999998"/>
    <n v="0.05"/>
    <n v="0.05"/>
    <s v="Valid"/>
    <n v="20342.5"/>
    <n v="12407.51"/>
    <n v="7934.99"/>
    <x v="0"/>
    <s v="Include"/>
    <s v=""/>
    <s v="Completed"/>
    <s v="Completed"/>
    <s v="Include"/>
  </r>
  <r>
    <s v="ORD-2024-10446"/>
    <n v="1"/>
    <s v=""/>
    <s v="05/09/2024"/>
    <d v="2024-05-09T00:00:00"/>
    <s v="05-05-2024"/>
    <d v="2024-05-05T00:00:00"/>
    <s v="Invalid Shipping Record"/>
    <n v="-4"/>
    <s v="Invalid Shipping Record"/>
    <s v="CUST-1351"/>
    <s v="Arjun Bose"/>
    <s v="Arjun Bose"/>
    <s v="Consumer"/>
    <s v="Consumer"/>
    <x v="1"/>
    <s v="East"/>
    <s v="Assam"/>
    <s v="Guwahati"/>
    <s v="Furniture"/>
    <s v="Furniture"/>
    <s v="Bookcases"/>
    <s v="Eco Bookcases 215"/>
    <s v="Same Day"/>
    <s v="Same Day"/>
    <n v="2"/>
    <n v="2111.23"/>
    <n v="0.2"/>
    <n v="0.2"/>
    <s v="Valid"/>
    <n v="3377.97"/>
    <n v="2496.29"/>
    <n v="881.68"/>
    <x v="0"/>
    <s v="Include"/>
    <s v=""/>
    <s v="Completed"/>
    <s v="Completed"/>
    <s v="Include"/>
  </r>
  <r>
    <s v="ORD-2025-10447"/>
    <n v="1"/>
    <s v=""/>
    <s v="18-09-2025"/>
    <d v="2025-09-18T00:00:00"/>
    <s v="19-09-2025"/>
    <d v="2025-09-19T00:00:00"/>
    <s v="Valid"/>
    <n v="1"/>
    <s v="Valid"/>
    <s v="CUST-9295"/>
    <s v="Sneha Kapoor"/>
    <s v="Sneha Kapoor"/>
    <s v="Home Office"/>
    <s v="Home Office"/>
    <x v="2"/>
    <s v="South"/>
    <s v="Andhra Pradesh"/>
    <s v="Vijayawada"/>
    <s v="Office Supplies"/>
    <s v="Office Supplies"/>
    <s v="Storage"/>
    <s v="Eco Storage 793"/>
    <s v="Same Day"/>
    <s v="Same Day"/>
    <n v="8"/>
    <n v="4242.51"/>
    <n v="0"/>
    <n v="0"/>
    <s v="Valid"/>
    <n v="33940.080000000002"/>
    <n v="23754.19"/>
    <n v="10185.89"/>
    <x v="0"/>
    <s v="Include"/>
    <s v=""/>
    <s v="Completed"/>
    <s v="Completed"/>
    <s v="Include"/>
  </r>
  <r>
    <s v="ORD-2025-10448"/>
    <n v="1"/>
    <s v=""/>
    <s v="10-08-2025"/>
    <d v="2025-08-10T00:00:00"/>
    <s v="10 Aug 2025"/>
    <d v="2025-08-10T00:00:00"/>
    <s v="Valid"/>
    <n v="0"/>
    <s v="Valid"/>
    <s v="CUST-3614"/>
    <s v="Rohan Mehta"/>
    <s v="Rohan Mehta"/>
    <s v="Home Office"/>
    <s v="Home Office"/>
    <x v="2"/>
    <s v="South"/>
    <s v="Telangana"/>
    <s v="Hyderabad"/>
    <s v="Furniture"/>
    <s v="Furniture"/>
    <s v="Bookcases"/>
    <s v="Basic Bookcases 182"/>
    <s v="Standard Class"/>
    <s v="Standard Class"/>
    <n v="6"/>
    <n v="4288.7"/>
    <n v="0.15"/>
    <n v="0.15"/>
    <s v="Valid"/>
    <n v="21872.37"/>
    <n v="13829.5"/>
    <n v="8042.87"/>
    <x v="2"/>
    <s v="Include"/>
    <s v=""/>
    <s v="Returned"/>
    <s v="Returned"/>
    <s v="Include"/>
  </r>
  <r>
    <s v="ORD-2024-10449"/>
    <n v="1"/>
    <s v=""/>
    <s v="01/15/2024"/>
    <d v="2024-01-15T00:00:00"/>
    <s v="18 Jan 2024"/>
    <d v="2024-01-18T00:00:00"/>
    <s v="Valid"/>
    <n v="3"/>
    <s v="Valid"/>
    <s v="CUST-1932"/>
    <s v="Mira Das"/>
    <s v="Mira Das"/>
    <s v="Small Business"/>
    <s v="Small Business"/>
    <x v="2"/>
    <s v="South"/>
    <s v="Andhra Pradesh"/>
    <s v="Vijayawada"/>
    <s v="Furniture"/>
    <s v="Furniture"/>
    <s v="Chairs"/>
    <s v="Prime Chairs 631"/>
    <s v="First Class"/>
    <s v="First Class"/>
    <n v="2"/>
    <n v="201.21"/>
    <n v="0.15"/>
    <n v="0.15"/>
    <s v="Valid"/>
    <n v="342.06"/>
    <n v="244.57"/>
    <n v="97.49"/>
    <x v="0"/>
    <s v="Include"/>
    <s v=""/>
    <s v="Completed"/>
    <s v="Completed"/>
    <s v="Include"/>
  </r>
  <r>
    <s v="ORD-2024-10450"/>
    <n v="1"/>
    <s v=""/>
    <s v="06-06-2024"/>
    <d v="2024-06-06T00:00:00"/>
    <s v="13 Jun 2024"/>
    <d v="2024-06-13T00:00:00"/>
    <s v="Valid"/>
    <n v="7"/>
    <s v="Valid"/>
    <s v="CUST-5094"/>
    <s v="Aditi Sen"/>
    <s v="Aditi Sen"/>
    <s v="Corporate"/>
    <s v="Corporate"/>
    <x v="1"/>
    <s v="East"/>
    <s v="Assam"/>
    <s v="Guwahati"/>
    <s v="Technology"/>
    <s v="Technology"/>
    <s v="Machines"/>
    <s v="Basic Machines 808"/>
    <s v="Second Class"/>
    <s v="Second Class"/>
    <n v="6"/>
    <n v="3270.36"/>
    <n v="0"/>
    <n v="0"/>
    <s v="Valid"/>
    <n v="19622.16"/>
    <n v="14271.27"/>
    <n v="5350.89"/>
    <x v="0"/>
    <s v="Include"/>
    <s v=""/>
    <s v="Completed"/>
    <s v="Completed"/>
    <s v="Include"/>
  </r>
  <r>
    <s v="ORD-2025-10451"/>
    <n v="1"/>
    <s v=""/>
    <s v="06/12/2025"/>
    <d v="2025-06-12T00:00:00"/>
    <s v="2025-06-19"/>
    <d v="2025-06-19T00:00:00"/>
    <s v="Valid"/>
    <n v="7"/>
    <s v="Valid"/>
    <s v="CUST-8672"/>
    <s v="Ananya Rao"/>
    <s v="Ananya Rao"/>
    <s v="Corporate"/>
    <s v="Corporate"/>
    <x v="0"/>
    <s v="North"/>
    <s v="Delhi"/>
    <s v="New Delhi"/>
    <s v="Furniture"/>
    <s v="Furniture"/>
    <s v="Chairs"/>
    <s v="Pro Chairs 302"/>
    <s v="Standard Class"/>
    <s v="Standard Class"/>
    <n v="9"/>
    <n v="2278.5700000000002"/>
    <n v="0.25"/>
    <n v="0.25"/>
    <s v="Valid"/>
    <n v="15380.35"/>
    <n v="9907.3700000000008"/>
    <n v="5472.98"/>
    <x v="0"/>
    <s v="Include"/>
    <s v=""/>
    <s v="Completed"/>
    <s v="Completed"/>
    <s v="Include"/>
  </r>
  <r>
    <s v="ORD-2024-10452"/>
    <n v="1"/>
    <s v=""/>
    <s v="24-03-2024"/>
    <d v="2024-03-24T00:00:00"/>
    <s v="26-03-2024"/>
    <d v="2024-03-26T00:00:00"/>
    <s v="Valid"/>
    <n v="2"/>
    <s v="Valid"/>
    <s v="CUST-3907"/>
    <s v="Rohan Mehta"/>
    <s v="Rohan Mehta"/>
    <s v="Small Business"/>
    <s v="Small Business"/>
    <x v="0"/>
    <s v="North"/>
    <s v="Haryana"/>
    <s v="Gurugram"/>
    <s v="Office Supplies"/>
    <s v="Office Supplies"/>
    <s v="Paper"/>
    <s v="Classic Paper 272"/>
    <s v="Second Class"/>
    <s v="Second Class"/>
    <n v="8"/>
    <n v="1917.64"/>
    <n v="0.15"/>
    <n v="0.15"/>
    <s v="Valid"/>
    <n v="13039.95"/>
    <n v="11127.82"/>
    <n v="1912.13"/>
    <x v="0"/>
    <s v="Exclude"/>
    <s v=""/>
    <s v="Cancelled"/>
    <s v="Cancelled"/>
    <s v="Exclude"/>
  </r>
  <r>
    <s v="ORD-2024-10453"/>
    <n v="1"/>
    <s v=""/>
    <s v="10-05-2024"/>
    <d v="2024-05-10T00:00:00"/>
    <s v="16-05-2024"/>
    <d v="2024-05-16T00:00:00"/>
    <s v="Valid"/>
    <n v="6"/>
    <s v="Valid"/>
    <s v="CUST-8796"/>
    <s v="Diya Patel"/>
    <s v="Diya Patel"/>
    <s v="Home Office"/>
    <s v="Home Office"/>
    <x v="1"/>
    <s v="East"/>
    <s v="Jharkhand"/>
    <s v="Ranchi"/>
    <s v="Technology"/>
    <s v="Technology"/>
    <s v="Accessories"/>
    <s v="Smart Accessories 149"/>
    <s v="Second Class"/>
    <s v="Second Class"/>
    <n v="6"/>
    <n v="2013.33"/>
    <n v="0.2"/>
    <n v="0.2"/>
    <s v="Valid"/>
    <n v="9663.98"/>
    <n v="5628.93"/>
    <n v="4035.05"/>
    <x v="0"/>
    <s v="Include"/>
    <s v=""/>
    <s v="Completed"/>
    <s v="Completed"/>
    <s v="Include"/>
  </r>
  <r>
    <s v="ORD-2025-10454"/>
    <n v="1"/>
    <s v=""/>
    <s v="05/03/2025"/>
    <d v="2025-05-03T00:00:00"/>
    <s v="2025-05-11"/>
    <d v="2025-05-11T00:00:00"/>
    <s v="Valid"/>
    <n v="8"/>
    <s v="Valid"/>
    <s v="CUST-2317"/>
    <s v="Rohan Mehta"/>
    <s v="Rohan Mehta"/>
    <s v="Small Business"/>
    <s v="Small Business"/>
    <x v="3"/>
    <s v="West"/>
    <s v="Madhya Pradesh"/>
    <s v="Indore"/>
    <s v="Office Supplies"/>
    <s v="Office Supplies"/>
    <s v="Labels"/>
    <s v="Elite Labels 322"/>
    <s v="Same Day"/>
    <s v="Same Day"/>
    <n v="5"/>
    <n v="1483.52"/>
    <n v="0"/>
    <n v="0"/>
    <s v="Valid"/>
    <n v="7417.6"/>
    <n v="4955.8599999999997"/>
    <n v="2461.7399999999998"/>
    <x v="0"/>
    <s v="Include"/>
    <s v=""/>
    <s v="Completed"/>
    <s v="Completed"/>
    <s v="Include"/>
  </r>
  <r>
    <s v="ORD-2025-10455"/>
    <n v="1"/>
    <s v=""/>
    <s v="2025-03-23"/>
    <d v="2025-03-23T00:00:00"/>
    <s v="28-03-2025"/>
    <d v="2025-03-28T00:00:00"/>
    <s v="Valid"/>
    <n v="5"/>
    <s v="Valid"/>
    <s v="CUST-8643"/>
    <s v="Vikram Iyer"/>
    <s v="Vikram Iyer"/>
    <s v="Small Business"/>
    <s v="Small Business"/>
    <x v="0"/>
    <s v="North"/>
    <s v="Rajasthan"/>
    <s v="Jaipur"/>
    <s v="Furniture"/>
    <s v="Furniture"/>
    <s v="Furnishings"/>
    <s v="Max Furnishings 821"/>
    <s v="Standard Class"/>
    <s v="Standard Class"/>
    <n v="9"/>
    <n v="3298"/>
    <n v="0.15"/>
    <n v="0.15"/>
    <s v="Valid"/>
    <n v="25229.7"/>
    <n v="20170.43"/>
    <n v="5059.2700000000004"/>
    <x v="0"/>
    <s v="Include"/>
    <s v=""/>
    <s v="Completed"/>
    <s v="Completed"/>
    <s v="Include"/>
  </r>
  <r>
    <s v="ORD-2024-10456"/>
    <n v="1"/>
    <s v=""/>
    <s v="18 Jul 2024"/>
    <d v="2024-07-18T00:00:00"/>
    <s v="22-07-2024"/>
    <d v="2024-07-22T00:00:00"/>
    <s v="Valid"/>
    <n v="4"/>
    <s v="Valid"/>
    <s v="CUST-1800"/>
    <s v="Neha Gupta"/>
    <s v="Neha Gupta"/>
    <s v="Small Business"/>
    <s v="Small Business"/>
    <x v="2"/>
    <s v="South"/>
    <s v="Telangana"/>
    <s v="Hyderabad"/>
    <s v="Office Supplies"/>
    <s v="Office Supplies"/>
    <s v="Art"/>
    <s v="Basic Art 556"/>
    <s v="Standard Class"/>
    <s v="Standard Class"/>
    <n v="4"/>
    <n v="808.77"/>
    <n v="0"/>
    <n v="0"/>
    <s v="Valid"/>
    <n v="3235.08"/>
    <n v="1848.6"/>
    <n v="1386.48"/>
    <x v="0"/>
    <s v="Include"/>
    <s v=""/>
    <s v="Completed"/>
    <s v="Completed"/>
    <s v="Include"/>
  </r>
  <r>
    <s v="ORD-2024-10457"/>
    <n v="1"/>
    <s v=""/>
    <s v="2024-02-20"/>
    <d v="2024-02-20T00:00:00"/>
    <s v="2024-02-20"/>
    <d v="2024-02-20T00:00:00"/>
    <s v="Valid"/>
    <n v="0"/>
    <s v="Valid"/>
    <s v="CUST-7688"/>
    <s v="Neha Gupta"/>
    <s v="Neha Gupta"/>
    <s v="Corporate"/>
    <s v="Corporate"/>
    <x v="0"/>
    <s v="North"/>
    <s v="Uttar Pradesh"/>
    <s v="Noida"/>
    <s v="Technology"/>
    <s v="Technology"/>
    <s v="Accessories"/>
    <s v="Smart Accessories 265"/>
    <s v="Same Day"/>
    <s v="Same Day"/>
    <n v="5"/>
    <n v="2604.91"/>
    <n v="0.15"/>
    <n v="0.15"/>
    <s v="Valid"/>
    <n v="11070.87"/>
    <n v="6623.61"/>
    <n v="4447.26"/>
    <x v="0"/>
    <s v="Include"/>
    <s v=""/>
    <s v="Returned"/>
    <s v="Returned"/>
    <s v="Include"/>
  </r>
  <r>
    <s v="ORD-2024-10458"/>
    <n v="1"/>
    <s v=""/>
    <s v="05/04/2024"/>
    <d v="2024-05-04T00:00:00"/>
    <s v="2024-05-04"/>
    <d v="2024-05-04T00:00:00"/>
    <s v="Valid"/>
    <n v="0"/>
    <s v="Valid"/>
    <s v="CUST-4957"/>
    <s v="Mira Das"/>
    <s v="Mira Das"/>
    <s v="Small Business"/>
    <s v="Small Business"/>
    <x v="3"/>
    <s v="West"/>
    <s v="Goa"/>
    <s v="Panaji"/>
    <s v="Furniture"/>
    <s v="Furniture"/>
    <s v="Tables"/>
    <s v="Elite Tables 418"/>
    <s v="Standard Class"/>
    <s v="Standard Class"/>
    <n v="7"/>
    <n v="2851.51"/>
    <n v="0"/>
    <n v="0"/>
    <s v="Valid"/>
    <n v="19960.57"/>
    <n v="16603.599999999999"/>
    <n v="3356.97"/>
    <x v="0"/>
    <s v="Include"/>
    <s v=""/>
    <s v="Completed"/>
    <s v="Completed"/>
    <s v="Include"/>
  </r>
  <r>
    <s v="ORD-2024-10459"/>
    <n v="1"/>
    <s v=""/>
    <s v="2024-02-10"/>
    <d v="2024-02-10T00:00:00"/>
    <s v="02/11/2024"/>
    <d v="2024-02-11T00:00:00"/>
    <s v="Valid"/>
    <n v="1"/>
    <s v="Valid"/>
    <s v="CUST-1263"/>
    <s v="Karan Malhotra"/>
    <s v="Karan Malhotra"/>
    <s v="Corporate"/>
    <s v="Corporate"/>
    <x v="0"/>
    <s v="North"/>
    <s v="Rajasthan"/>
    <s v="Jaipur"/>
    <s v="Technology"/>
    <s v="Technology"/>
    <s v="Phones"/>
    <s v="Pro Phones 907"/>
    <s v="Second Class"/>
    <s v="Second Class"/>
    <n v="3"/>
    <n v="3183.72"/>
    <n v="0.1"/>
    <n v="0.1"/>
    <s v="Valid"/>
    <n v="8596.0400000000009"/>
    <n v="5378.16"/>
    <n v="3217.88"/>
    <x v="0"/>
    <s v="Include"/>
    <s v=""/>
    <s v="Completed"/>
    <s v="Completed"/>
    <s v="Include"/>
  </r>
  <r>
    <s v="ORD-2024-10460"/>
    <n v="1"/>
    <s v=""/>
    <s v="03/28/2024"/>
    <d v="2024-03-28T00:00:00"/>
    <s v="04-04-2024"/>
    <d v="2024-04-04T00:00:00"/>
    <s v="Valid"/>
    <n v="7"/>
    <s v="Valid"/>
    <s v="CUST-4745"/>
    <s v="Ananya Rao"/>
    <s v="Ananya Rao"/>
    <s v="Home Office"/>
    <s v="Home Office"/>
    <x v="3"/>
    <s v="West"/>
    <s v="Goa"/>
    <s v="Panaji"/>
    <s v="Office Supplies"/>
    <s v="Office Supplies"/>
    <s v="Paper"/>
    <s v="Basic Paper 233"/>
    <s v="First Class"/>
    <s v="First Class"/>
    <n v="3"/>
    <n v="1150.92"/>
    <n v="0"/>
    <n v="0"/>
    <s v="Valid"/>
    <n v="3452.76"/>
    <n v="2077.96"/>
    <n v="1374.8"/>
    <x v="0"/>
    <s v="Include"/>
    <s v=""/>
    <s v="Completed"/>
    <s v="Completed"/>
    <s v="Include"/>
  </r>
  <r>
    <s v="ORD-2025-10461"/>
    <n v="1"/>
    <s v=""/>
    <s v="30 Sep 2025"/>
    <d v="2025-09-30T00:00:00"/>
    <s v="06 Oct 2025"/>
    <d v="2025-10-06T00:00:00"/>
    <s v="Valid"/>
    <n v="6"/>
    <s v="Valid"/>
    <s v="CUST-5551"/>
    <s v="Aarav Sharma"/>
    <s v="Aarav Sharma"/>
    <s v="Corporate"/>
    <s v="Corporate"/>
    <x v="4"/>
    <s v="Unknown"/>
    <s v="Rajasthan"/>
    <s v="Jaipur"/>
    <s v="Technology"/>
    <s v="Technology"/>
    <s v="Copiers"/>
    <s v="Eco Copiers 603"/>
    <s v="Second Class"/>
    <s v="Second Class"/>
    <n v="9"/>
    <n v="1359.88"/>
    <n v="0.05"/>
    <n v="0.05"/>
    <s v="Valid"/>
    <n v="11626.97"/>
    <n v="7394.07"/>
    <n v="4232.8999999999996"/>
    <x v="0"/>
    <s v="Include"/>
    <s v=""/>
    <s v="Completed"/>
    <s v="Completed"/>
    <s v="Include"/>
  </r>
  <r>
    <s v="ORD-2025-10462"/>
    <n v="1"/>
    <s v=""/>
    <s v="05/25/2025"/>
    <d v="2025-05-25T00:00:00"/>
    <s v="05/26/2025"/>
    <d v="2025-05-26T00:00:00"/>
    <s v="Valid"/>
    <n v="1"/>
    <s v="Valid"/>
    <s v="CUST-3659"/>
    <s v="Neha Gupta"/>
    <s v="Neha Gupta"/>
    <s v="Corporate"/>
    <s v="Corporate"/>
    <x v="2"/>
    <s v="South"/>
    <s v="Andhra Pradesh"/>
    <s v="Vijayawada"/>
    <s v="Office Supplies"/>
    <s v="Office Supplies"/>
    <s v="Paper"/>
    <s v="Max Paper 700"/>
    <s v="Standard Class"/>
    <s v="Standard Class"/>
    <n v="3"/>
    <n v="3378.15"/>
    <n v="0.15"/>
    <n v="0.15"/>
    <s v="Valid"/>
    <n v="8614.2800000000007"/>
    <n v="7052.08"/>
    <n v="1562.2"/>
    <x v="0"/>
    <s v="Include"/>
    <s v=""/>
    <s v="Completed"/>
    <s v="Completed"/>
    <s v="Include"/>
  </r>
  <r>
    <s v="ORD-2024-10463"/>
    <n v="1"/>
    <s v=""/>
    <s v="09/23/2024"/>
    <d v="2024-09-23T00:00:00"/>
    <s v="25-09-2024"/>
    <d v="2024-09-25T00:00:00"/>
    <s v="Valid"/>
    <n v="2"/>
    <s v="Valid"/>
    <s v="CUST-6594"/>
    <s v="Aarav Sharma"/>
    <s v="Aarav Sharma"/>
    <s v="Home Office"/>
    <s v="Home Office"/>
    <x v="0"/>
    <s v="North"/>
    <s v="Delhi"/>
    <s v="New Delhi"/>
    <s v="Office Supplies"/>
    <s v="Office Supplies"/>
    <s v="Binders"/>
    <s v="Pro Binders 404"/>
    <s v="First Class"/>
    <s v="First Class"/>
    <n v="2"/>
    <n v="1275.1400000000001"/>
    <n v="0.2"/>
    <n v="0.2"/>
    <s v="Valid"/>
    <n v="2040.22"/>
    <n v="1395.71"/>
    <n v="644.51"/>
    <x v="0"/>
    <s v="Include"/>
    <s v=""/>
    <s v="Completed"/>
    <s v="Completed"/>
    <s v="Include"/>
  </r>
  <r>
    <s v="ORD-2025-10464"/>
    <n v="1"/>
    <s v=""/>
    <s v="07-02-2025"/>
    <d v="2025-02-07T00:00:00"/>
    <s v="2025-02-08"/>
    <d v="2025-02-08T00:00:00"/>
    <s v="Valid"/>
    <n v="1"/>
    <s v="Valid"/>
    <s v="CUST-2626"/>
    <s v="Arjun Bose"/>
    <s v="Arjun Bose"/>
    <s v="Corporate"/>
    <s v="Corporate"/>
    <x v="3"/>
    <s v="West"/>
    <s v="Madhya Pradesh"/>
    <s v="Indore"/>
    <s v="Technology"/>
    <s v="Technology"/>
    <s v="Phones"/>
    <s v="Eco Phones 208"/>
    <s v="Standard Class"/>
    <s v="Standard Class"/>
    <n v="4"/>
    <n v="889.5"/>
    <n v="0.2"/>
    <n v="0.2"/>
    <s v="Valid"/>
    <n v="2846.4"/>
    <n v="2132.37"/>
    <n v="714.03"/>
    <x v="0"/>
    <s v="Include"/>
    <s v=""/>
    <s v="Completed"/>
    <s v="Completed"/>
    <s v="Include"/>
  </r>
  <r>
    <s v="ORD-2025-10465"/>
    <n v="1"/>
    <s v=""/>
    <s v="11-03-2025"/>
    <d v="2025-03-11T00:00:00"/>
    <s v="03/15/2025"/>
    <d v="2025-03-15T00:00:00"/>
    <s v="Valid"/>
    <n v="4"/>
    <s v="Valid"/>
    <s v="CUST-7362"/>
    <s v="Arjun Bose"/>
    <s v="Arjun Bose"/>
    <s v="Corporate"/>
    <s v="Corporate"/>
    <x v="1"/>
    <s v="East"/>
    <s v="Bihar"/>
    <s v="Patna"/>
    <s v="Office Supplies"/>
    <s v="Office Supplies"/>
    <s v="Paper"/>
    <s v="Elite Paper 106"/>
    <s v="Same Day"/>
    <s v="Same Day"/>
    <n v="3"/>
    <n v="3625.08"/>
    <n v="0.05"/>
    <n v="0.05"/>
    <s v="Valid"/>
    <n v="10331.48"/>
    <n v="7131.91"/>
    <n v="3199.57"/>
    <x v="2"/>
    <s v="Exclude"/>
    <s v=""/>
    <s v="Cancelled"/>
    <s v="Cancelled"/>
    <s v="Exclude"/>
  </r>
  <r>
    <s v="ORD-2024-10466"/>
    <n v="1"/>
    <s v=""/>
    <s v="29-01-2024"/>
    <d v="2024-01-29T00:00:00"/>
    <s v="2024-02-06"/>
    <d v="2024-02-06T00:00:00"/>
    <s v="Valid"/>
    <n v="8"/>
    <s v="Valid"/>
    <s v="CUST-1748"/>
    <s v="Aarav Sharma"/>
    <s v="Aarav Sharma"/>
    <s v="Small Business"/>
    <s v="Small Business"/>
    <x v="3"/>
    <s v="West"/>
    <s v="Madhya Pradesh"/>
    <s v="Indore"/>
    <s v="Office Supplies"/>
    <s v="Office Supplies"/>
    <s v="Labels"/>
    <s v="Eco Labels 914"/>
    <s v="Standard Class"/>
    <s v="Standard Class"/>
    <n v="2"/>
    <n v="1258.9000000000001"/>
    <n v="0"/>
    <n v="0"/>
    <s v="Valid"/>
    <n v="2517.8000000000002"/>
    <n v="1478.54"/>
    <n v="1039.26"/>
    <x v="0"/>
    <s v="Include"/>
    <s v=""/>
    <s v="Completed"/>
    <s v="Completed"/>
    <s v="Include"/>
  </r>
  <r>
    <s v="ORD-2024-10467"/>
    <n v="1"/>
    <s v=""/>
    <s v="04-01-2024"/>
    <d v="2024-01-04T00:00:00"/>
    <s v="01/08/2024"/>
    <d v="2024-01-08T00:00:00"/>
    <s v="Valid"/>
    <n v="4"/>
    <s v="Valid"/>
    <s v="CUST-2725"/>
    <s v="Mira Das"/>
    <s v="Mira Das"/>
    <s v="Small Business"/>
    <s v="Small Business"/>
    <x v="1"/>
    <s v="East"/>
    <s v="Bihar"/>
    <s v="Patna"/>
    <s v="Technology"/>
    <s v="Technology"/>
    <s v="Accessories"/>
    <s v="Max Accessories 486"/>
    <s v="Same Day"/>
    <s v="Same Day"/>
    <n v="9"/>
    <n v="1591.96"/>
    <n v="0.2"/>
    <n v="0.2"/>
    <s v="Valid"/>
    <n v="11462.11"/>
    <n v="7105.48"/>
    <n v="4356.63"/>
    <x v="0"/>
    <s v="Include"/>
    <s v=""/>
    <s v="Completed"/>
    <s v="Completed"/>
    <s v="Include"/>
  </r>
  <r>
    <s v="ORD-2024-10468"/>
    <n v="1"/>
    <s v=""/>
    <s v="20-08-2024"/>
    <d v="2024-08-20T00:00:00"/>
    <s v="21 Aug 2024"/>
    <d v="2024-08-21T00:00:00"/>
    <s v="Valid"/>
    <n v="1"/>
    <s v="Valid"/>
    <s v="CUST-9470"/>
    <s v="Aditi Sen"/>
    <s v="Aditi Sen"/>
    <s v="Corporate"/>
    <s v="Corporate"/>
    <x v="1"/>
    <s v="East"/>
    <s v="Odisha"/>
    <s v="Bhubaneswar"/>
    <s v="Technology"/>
    <s v="Technology"/>
    <s v="Copiers"/>
    <s v="Max Copiers 867"/>
    <s v="First Class"/>
    <s v="First Class"/>
    <n v="5"/>
    <n v="4288.33"/>
    <n v="0.1"/>
    <n v="0.1"/>
    <s v="Valid"/>
    <n v="19297.490000000002"/>
    <n v="15451.66"/>
    <n v="3845.83"/>
    <x v="1"/>
    <s v="Exclude"/>
    <s v="Refunded Order"/>
    <s v="Cancelled"/>
    <s v="Cancelled"/>
    <s v="Exclude"/>
  </r>
  <r>
    <s v="ORD-2025-10469"/>
    <n v="1"/>
    <s v=""/>
    <s v="09 Jan 2025"/>
    <d v="2025-01-09T00:00:00"/>
    <s v="07 Jan 2025"/>
    <d v="2025-01-07T00:00:00"/>
    <s v="Invalid Shipping Record"/>
    <n v="-2"/>
    <s v="Invalid Shipping Record"/>
    <s v="CUST-4176"/>
    <s v="Aarav Sharma"/>
    <s v="Aarav Sharma"/>
    <s v="Home Office"/>
    <s v="Home Office"/>
    <x v="1"/>
    <s v="East"/>
    <s v="West Bengal"/>
    <s v="Kolkata"/>
    <s v="Office Supplies"/>
    <s v="Office Supplies"/>
    <s v="Binders"/>
    <s v="Pro Binders 555"/>
    <s v="Second Class"/>
    <s v="Second Class"/>
    <n v="3"/>
    <n v="2188.33"/>
    <n v="0"/>
    <n v="0"/>
    <s v="Valid"/>
    <n v="6564.99"/>
    <n v="5407.24"/>
    <n v="1157.75"/>
    <x v="0"/>
    <s v="Include"/>
    <s v=""/>
    <s v="Completed"/>
    <s v="Completed"/>
    <s v="Include"/>
  </r>
  <r>
    <s v="ORD-2024-10470"/>
    <n v="1"/>
    <s v=""/>
    <s v="2024-01-19"/>
    <d v="2024-01-19T00:00:00"/>
    <s v="01/25/2024"/>
    <d v="2024-01-25T00:00:00"/>
    <s v="Valid"/>
    <n v="6"/>
    <s v="Valid"/>
    <s v="CUST-3448"/>
    <s v="Aditi Sen"/>
    <s v="Aditi Sen"/>
    <s v="Corporate"/>
    <s v="Corporate"/>
    <x v="3"/>
    <s v="West"/>
    <s v="Goa"/>
    <s v="Panaji"/>
    <s v="Technology"/>
    <s v="Technology"/>
    <s v="Copiers"/>
    <s v="Pro Copiers 971"/>
    <s v="First Class"/>
    <s v="First Class"/>
    <n v="3"/>
    <n v="1041.6600000000001"/>
    <n v="0.1"/>
    <n v="0.1"/>
    <s v="Valid"/>
    <n v="2812.48"/>
    <n v="2282.12"/>
    <n v="530.36"/>
    <x v="0"/>
    <s v="Include"/>
    <s v=""/>
    <s v="Completed"/>
    <s v="Completed"/>
    <s v="Include"/>
  </r>
  <r>
    <s v="ORD-2024-10471"/>
    <n v="1"/>
    <s v=""/>
    <s v="28-07-2024"/>
    <d v="2024-07-28T00:00:00"/>
    <s v="07/31/2024"/>
    <d v="2024-07-31T00:00:00"/>
    <s v="Valid"/>
    <n v="3"/>
    <s v="Valid"/>
    <s v="CUST-4970"/>
    <s v="Aditi Sen"/>
    <s v="Aditi Sen"/>
    <s v="Consumer"/>
    <s v="Consumer"/>
    <x v="0"/>
    <s v="North"/>
    <s v="Rajasthan"/>
    <s v="Jaipur"/>
    <s v="Furniture"/>
    <s v="Furniture"/>
    <s v="Tables"/>
    <s v="Pro Tables 833"/>
    <s v="Same Day"/>
    <s v="Same Day"/>
    <n v="2"/>
    <n v="4424.78"/>
    <n v="0.2"/>
    <n v="0.2"/>
    <s v="Valid"/>
    <n v="7079.65"/>
    <n v="4465.91"/>
    <n v="2613.7399999999998"/>
    <x v="0"/>
    <s v="Include"/>
    <s v=""/>
    <s v="Completed"/>
    <s v="Completed"/>
    <s v="Include"/>
  </r>
  <r>
    <s v="ORD-2024-10472"/>
    <n v="1"/>
    <s v=""/>
    <s v="11-02-2024"/>
    <d v="2024-02-11T00:00:00"/>
    <s v="02/15/2024"/>
    <d v="2024-02-15T00:00:00"/>
    <s v="Valid"/>
    <n v="4"/>
    <s v="Valid"/>
    <s v="CUST-6147"/>
    <s v="Kabir Singh"/>
    <s v="Kabir Singh"/>
    <s v="Consumer"/>
    <s v="Consumer"/>
    <x v="2"/>
    <s v="South"/>
    <s v="Telangana"/>
    <s v="Hyderabad"/>
    <s v="Office Supplies"/>
    <s v="Office Supplies"/>
    <s v="Binders"/>
    <s v="Prime Binders 497"/>
    <s v="Standard Class"/>
    <s v="Standard Class"/>
    <n v="3"/>
    <n v="3019.14"/>
    <n v="0.25"/>
    <n v="0.25"/>
    <s v="Valid"/>
    <n v="6793.07"/>
    <n v="4985.22"/>
    <n v="1807.85"/>
    <x v="0"/>
    <s v="Include"/>
    <s v=""/>
    <s v="Completed"/>
    <s v="Completed"/>
    <s v="Include"/>
  </r>
  <r>
    <s v="ORD-2024-10473"/>
    <n v="1"/>
    <s v=""/>
    <s v="02-03-2024"/>
    <d v="2024-03-02T00:00:00"/>
    <s v="03/07/2024"/>
    <d v="2024-03-07T00:00:00"/>
    <s v="Valid"/>
    <n v="5"/>
    <s v="Valid"/>
    <s v="CUST-7208"/>
    <s v="Rohan Mehta"/>
    <s v="Rohan Mehta"/>
    <s v="Corporate"/>
    <s v="Corporate"/>
    <x v="1"/>
    <s v="East"/>
    <s v="Odisha"/>
    <s v="Bhubaneswar"/>
    <s v="Office Supplies"/>
    <s v="Office Supplies"/>
    <s v="Storage"/>
    <s v="Pro Storage 756"/>
    <s v="Standard Class"/>
    <s v="Standard Class"/>
    <n v="7"/>
    <n v="263.45999999999998"/>
    <n v="0"/>
    <n v="0"/>
    <s v="Valid"/>
    <n v="1844.22"/>
    <n v="1094.21"/>
    <n v="750.01"/>
    <x v="0"/>
    <s v="Include"/>
    <s v=""/>
    <s v="Completed"/>
    <s v="Completed"/>
    <s v="Include"/>
  </r>
  <r>
    <s v="ORD-2024-10474"/>
    <n v="1"/>
    <s v=""/>
    <s v="13-11-2024"/>
    <d v="2024-11-13T00:00:00"/>
    <s v="13 Nov 2024"/>
    <d v="2024-11-13T00:00:00"/>
    <s v="Valid"/>
    <n v="0"/>
    <s v="Valid"/>
    <s v="CUST-2794"/>
    <s v="Priya Menon"/>
    <s v="Priya Menon"/>
    <s v="Consumer"/>
    <s v="Consumer"/>
    <x v="3"/>
    <s v="West"/>
    <s v="Goa"/>
    <s v="Panaji"/>
    <s v="Technology"/>
    <s v="Technology"/>
    <s v="Copiers"/>
    <s v="Max Copiers 829"/>
    <s v="Standard Class"/>
    <s v="Standard Class"/>
    <n v="6"/>
    <n v="191.45"/>
    <n v="0.2"/>
    <n v="0.2"/>
    <s v="Valid"/>
    <n v="918.96"/>
    <n v="554.17999999999995"/>
    <n v="364.78"/>
    <x v="0"/>
    <s v="Include"/>
    <s v=""/>
    <s v="Completed"/>
    <s v="Completed"/>
    <s v="Include"/>
  </r>
  <r>
    <s v="ORD-2024-10475"/>
    <n v="1"/>
    <s v=""/>
    <s v="03-06-2024"/>
    <d v="2024-06-03T00:00:00"/>
    <s v="2024-06-10"/>
    <d v="2024-06-10T00:00:00"/>
    <s v="Valid"/>
    <n v="7"/>
    <s v="Valid"/>
    <s v="CUST-6249"/>
    <s v="Diya Patel"/>
    <s v="Diya Patel"/>
    <s v="Corporate"/>
    <s v="Corporate"/>
    <x v="0"/>
    <s v="North"/>
    <s v="Punjab"/>
    <s v="Ludhiana"/>
    <s v="Furniture"/>
    <s v="Furniture"/>
    <s v="Furnishings"/>
    <s v="Prime Furnishings 827"/>
    <s v="Standard Class"/>
    <s v="Standard Class"/>
    <n v="3"/>
    <n v="1633.57"/>
    <n v="0"/>
    <n v="0"/>
    <s v="Valid"/>
    <n v="4900.71"/>
    <n v="2713.9"/>
    <n v="2186.81"/>
    <x v="0"/>
    <s v="Include"/>
    <s v=""/>
    <s v="Completed"/>
    <s v="Completed"/>
    <s v="Include"/>
  </r>
  <r>
    <s v="ORD-2025-10476"/>
    <n v="1"/>
    <s v=""/>
    <s v="03/01/2025"/>
    <d v="2025-03-01T00:00:00"/>
    <s v="08 Mar 2025"/>
    <d v="2025-03-08T00:00:00"/>
    <s v="Valid"/>
    <n v="7"/>
    <s v="Valid"/>
    <s v="CUST-5712"/>
    <s v="Vikram Iyer"/>
    <s v="Vikram Iyer"/>
    <s v="Consumer"/>
    <s v="Consumer"/>
    <x v="1"/>
    <s v="East"/>
    <s v="West Bengal"/>
    <s v="Kolkata"/>
    <s v="Furniture"/>
    <s v="Furniture"/>
    <s v="Chairs"/>
    <s v="Eco Chairs 365"/>
    <s v="Same Day"/>
    <s v="Same Day"/>
    <n v="8"/>
    <n v="3378.82"/>
    <n v="0.25"/>
    <n v="0.25"/>
    <s v="Valid"/>
    <n v="20272.919999999998"/>
    <n v="15873.38"/>
    <n v="4399.54"/>
    <x v="2"/>
    <s v="Include"/>
    <s v=""/>
    <s v="Returned"/>
    <s v="Returned"/>
    <s v="Include"/>
  </r>
  <r>
    <s v="ORD-2024-10477"/>
    <n v="1"/>
    <s v=""/>
    <s v="05/07/2024"/>
    <d v="2024-05-07T00:00:00"/>
    <s v="05/14/2024"/>
    <d v="2024-05-14T00:00:00"/>
    <s v="Valid"/>
    <n v="7"/>
    <s v="Valid"/>
    <s v="CUST-3004"/>
    <s v="Sneha Kapoor"/>
    <s v="Sneha Kapoor"/>
    <s v="Small Business"/>
    <s v="Small Business"/>
    <x v="0"/>
    <s v="North"/>
    <s v="Rajasthan"/>
    <s v="Jaipur"/>
    <s v="Office Supplies"/>
    <s v="Office Supplies"/>
    <s v="Storage"/>
    <s v="Classic Storage 545"/>
    <s v="First Class"/>
    <s v="First Class"/>
    <n v="3"/>
    <n v="383.58"/>
    <n v="0.1"/>
    <n v="0.1"/>
    <s v="Valid"/>
    <n v="1035.67"/>
    <n v="595.41999999999996"/>
    <n v="440.25"/>
    <x v="0"/>
    <s v="Include"/>
    <s v=""/>
    <s v="Completed"/>
    <s v="Completed"/>
    <s v="Include"/>
  </r>
  <r>
    <s v="ORD-2025-10478"/>
    <n v="1"/>
    <s v=""/>
    <s v="08/23/2025"/>
    <d v="2025-08-23T00:00:00"/>
    <s v="28-08-2025"/>
    <d v="2025-08-28T00:00:00"/>
    <s v="Valid"/>
    <n v="5"/>
    <s v="Valid"/>
    <s v="CUST-6920"/>
    <s v="Vikram Iyer"/>
    <s v="Vikram Iyer"/>
    <s v="Corporate"/>
    <s v="Corporate"/>
    <x v="3"/>
    <s v="West"/>
    <s v="Gujarat"/>
    <s v="Ahmedabad"/>
    <s v="Furniture"/>
    <s v="Furniture"/>
    <s v="Chairs"/>
    <s v="Pro Chairs 186"/>
    <s v="Standard Class"/>
    <s v="Standard Class"/>
    <n v="6"/>
    <n v="2193.23"/>
    <n v="0.1"/>
    <n v="0.1"/>
    <s v="Valid"/>
    <n v="11843.44"/>
    <n v="9356.8799999999992"/>
    <n v="2486.56"/>
    <x v="0"/>
    <s v="Exclude"/>
    <s v=""/>
    <s v="Cancelled"/>
    <s v="Cancelled"/>
    <s v="Exclude"/>
  </r>
  <r>
    <s v="ORD-2024-10479"/>
    <n v="1"/>
    <s v=""/>
    <s v="06/09/2024"/>
    <d v="2024-06-09T00:00:00"/>
    <s v="2024-06-13"/>
    <d v="2024-06-13T00:00:00"/>
    <s v="Valid"/>
    <n v="4"/>
    <s v="Valid"/>
    <s v="CUST-4838"/>
    <s v="Mira Das"/>
    <s v="Mira Das"/>
    <s v="Home Office"/>
    <s v="Home Office"/>
    <x v="4"/>
    <s v="Unknown"/>
    <s v="Uttar Pradesh"/>
    <s v="Noida"/>
    <s v="Technology"/>
    <s v="Technology"/>
    <s v="Machines"/>
    <s v="Classic Machines 561"/>
    <s v="Same Day"/>
    <s v="Same Day"/>
    <n v="7"/>
    <n v="4079.71"/>
    <n v="0.1"/>
    <n v="0.1"/>
    <s v="Valid"/>
    <n v="25702.17"/>
    <n v="14571.48"/>
    <n v="11130.69"/>
    <x v="1"/>
    <s v="Include"/>
    <s v="Refunded Order"/>
    <s v="Returned"/>
    <s v="Returned"/>
    <s v="Include"/>
  </r>
  <r>
    <s v="ORD-2024-10480"/>
    <n v="1"/>
    <s v=""/>
    <s v="23 Feb 2024"/>
    <d v="2024-02-23T00:00:00"/>
    <s v="2024-02-20"/>
    <d v="2024-02-20T00:00:00"/>
    <s v="Invalid Shipping Record"/>
    <n v="-3"/>
    <s v="Invalid Shipping Record"/>
    <s v="CUST-7520"/>
    <s v="Arjun Bose"/>
    <s v="Arjun Bose"/>
    <s v="Corporate"/>
    <s v="Corporate"/>
    <x v="1"/>
    <s v="East"/>
    <s v="Odisha"/>
    <s v="Bhubaneswar"/>
    <s v="Furniture"/>
    <s v="Furniture"/>
    <s v="Chairs"/>
    <s v="Max Chairs 594"/>
    <s v="Second Class"/>
    <s v="Second Class"/>
    <n v="1"/>
    <n v="2202.5500000000002"/>
    <m/>
    <n v="0"/>
    <s v="Valid"/>
    <n v="1651.91"/>
    <n v="1034.57"/>
    <n v="617.34"/>
    <x v="0"/>
    <s v="Include"/>
    <s v=""/>
    <s v="Completed"/>
    <s v="Completed"/>
    <s v="Include"/>
  </r>
  <r>
    <s v="ORD-2025-10481"/>
    <n v="1"/>
    <s v=""/>
    <s v="2025-01-05"/>
    <d v="2025-01-05T00:00:00"/>
    <s v="09 Jan 2025"/>
    <d v="2025-01-09T00:00:00"/>
    <s v="Valid"/>
    <n v="4"/>
    <s v="Valid"/>
    <s v="CUST-9947"/>
    <s v="Neha Gupta"/>
    <s v="Neha Gupta"/>
    <s v="Small Business"/>
    <s v="Small Business"/>
    <x v="2"/>
    <s v="South"/>
    <s v="Tamil Nadu"/>
    <s v="Chennai"/>
    <s v="Office Supplies"/>
    <s v="Office Supplies"/>
    <s v="Storage"/>
    <s v="Eco Storage 923"/>
    <m/>
    <s v="Unknown"/>
    <n v="5"/>
    <n v="905.16"/>
    <n v="0"/>
    <n v="0"/>
    <s v="Valid"/>
    <n v="4525.8"/>
    <n v="2714.51"/>
    <n v="1811.29"/>
    <x v="0"/>
    <s v="Include"/>
    <s v=""/>
    <s v="Completed"/>
    <s v="Completed"/>
    <s v="Include"/>
  </r>
  <r>
    <s v="ORD-2025-10482"/>
    <n v="1"/>
    <s v=""/>
    <s v="2025-06-05"/>
    <d v="2025-06-05T00:00:00"/>
    <s v="06/13/2025"/>
    <d v="2025-06-13T00:00:00"/>
    <s v="Valid"/>
    <n v="8"/>
    <s v="Valid"/>
    <s v="CUST-4403"/>
    <s v="Isha Nair"/>
    <s v="Isha Nair"/>
    <s v="Consumer"/>
    <s v="Consumer"/>
    <x v="0"/>
    <s v="North"/>
    <s v="Uttar Pradesh"/>
    <s v="Noida"/>
    <s v="Technology"/>
    <s v="Technology"/>
    <s v="Machines"/>
    <s v="Classic Machines 287"/>
    <s v="Same Day"/>
    <s v="Same Day"/>
    <n v="4"/>
    <n v="2793.88"/>
    <s v="85%"/>
    <s v="85%"/>
    <s v="Valid"/>
    <n v="10616.74"/>
    <n v="6353.59"/>
    <n v="4263.1499999999996"/>
    <x v="0"/>
    <s v="Include"/>
    <s v=""/>
    <s v="Completed"/>
    <s v="Completed"/>
    <s v="Include"/>
  </r>
  <r>
    <s v="ORD-2024-10483"/>
    <n v="1"/>
    <s v=""/>
    <s v="07/22/2024"/>
    <d v="2024-07-22T00:00:00"/>
    <s v="07/22/2024"/>
    <d v="2024-07-22T00:00:00"/>
    <s v="Valid"/>
    <n v="0"/>
    <s v="Valid"/>
    <s v="CUST-3583"/>
    <s v="Priya Menon"/>
    <s v="Priya Menon"/>
    <s v="Consumer"/>
    <s v="Consumer"/>
    <x v="2"/>
    <s v="South"/>
    <s v="Karnataka"/>
    <s v="Bengaluru"/>
    <s v="Technology"/>
    <s v="Technology"/>
    <s v="Accessories"/>
    <s v="Basic Accessories 518"/>
    <s v="Second Class"/>
    <s v="Second Class"/>
    <n v="3"/>
    <n v="1286.22"/>
    <n v="0.25"/>
    <n v="0.25"/>
    <s v="Valid"/>
    <n v="2893.99"/>
    <n v="1856.03"/>
    <n v="1037.96"/>
    <x v="0"/>
    <s v="Include"/>
    <s v=""/>
    <s v="Completed"/>
    <s v="Completed"/>
    <s v="Include"/>
  </r>
  <r>
    <s v="ORD-2024-10484"/>
    <n v="1"/>
    <s v=""/>
    <s v="25 Dec 2024"/>
    <d v="2024-12-25T00:00:00"/>
    <s v="25-12-2024"/>
    <d v="2024-12-25T00:00:00"/>
    <s v="Valid"/>
    <n v="0"/>
    <s v="Valid"/>
    <s v="CUST-9432"/>
    <s v="Mira Das"/>
    <s v="Mira Das"/>
    <s v="Corporate"/>
    <s v="Corporate"/>
    <x v="1"/>
    <s v="East"/>
    <s v="Bihar"/>
    <s v="Patna"/>
    <s v="Technology"/>
    <s v="Technology"/>
    <s v="Copiers"/>
    <s v="Pro Copiers 984"/>
    <s v="Standard Class"/>
    <s v="Standard Class"/>
    <n v="1"/>
    <n v="829.66"/>
    <n v="0.15"/>
    <n v="0.15"/>
    <s v="Valid"/>
    <n v="705.21"/>
    <n v="438.32"/>
    <n v="266.89"/>
    <x v="0"/>
    <s v="Include"/>
    <s v=""/>
    <s v="Completed"/>
    <s v="Completed"/>
    <s v="Include"/>
  </r>
  <r>
    <s v="ORD-2024-10485"/>
    <n v="1"/>
    <s v=""/>
    <s v="2024-12-28"/>
    <d v="2024-12-28T00:00:00"/>
    <s v="12/31/2024"/>
    <d v="2024-12-31T00:00:00"/>
    <s v="Valid"/>
    <n v="3"/>
    <s v="Valid"/>
    <s v="CUST-1801"/>
    <s v="Mira Das"/>
    <s v="Mira Das"/>
    <s v="Small Business"/>
    <s v="Small Business"/>
    <x v="2"/>
    <s v="South"/>
    <s v="Andhra Pradesh"/>
    <s v="Vijayawada"/>
    <s v="Furniture"/>
    <s v="Furniture"/>
    <s v="Furnishings"/>
    <s v="Max Furnishings 297"/>
    <s v="First Class"/>
    <s v="First Class"/>
    <n v="6"/>
    <n v="3641.22"/>
    <n v="0.25"/>
    <n v="0.25"/>
    <s v="Valid"/>
    <n v="16385.490000000002"/>
    <n v="13679.24"/>
    <n v="2706.25"/>
    <x v="0"/>
    <s v="Include"/>
    <s v=""/>
    <s v="Completed"/>
    <s v="Completed"/>
    <s v="Include"/>
  </r>
  <r>
    <s v="ORD-2025-10486"/>
    <n v="1"/>
    <s v=""/>
    <s v="2025-01-22"/>
    <d v="2025-01-22T00:00:00"/>
    <s v="23 Jan 2025"/>
    <d v="2025-01-23T00:00:00"/>
    <s v="Valid"/>
    <n v="1"/>
    <s v="Valid"/>
    <s v="CUST-1594"/>
    <s v="Rahul Verma"/>
    <s v="Rahul Verma"/>
    <s v="Corporate"/>
    <s v="Corporate"/>
    <x v="3"/>
    <s v="West"/>
    <s v="Goa"/>
    <s v="Panaji"/>
    <s v="Furniture"/>
    <s v="Furniture"/>
    <s v="Bookcases"/>
    <s v="Elite Bookcases 802"/>
    <s v="Standard Class"/>
    <s v="Standard Class"/>
    <n v="4"/>
    <n v="2555.19"/>
    <n v="0.25"/>
    <n v="0.25"/>
    <s v="Valid"/>
    <n v="7665.57"/>
    <n v="5595.6"/>
    <n v="2069.9699999999998"/>
    <x v="0"/>
    <s v="Include"/>
    <s v=""/>
    <s v="Completed"/>
    <s v="Completed"/>
    <s v="Include"/>
  </r>
  <r>
    <s v="ORD-2025-10487"/>
    <n v="1"/>
    <s v=""/>
    <s v="22-06-2025"/>
    <d v="2025-06-22T00:00:00"/>
    <s v="06/26/2025"/>
    <d v="2025-06-26T00:00:00"/>
    <s v="Valid"/>
    <n v="4"/>
    <s v="Valid"/>
    <s v="CUST-8132"/>
    <s v="Rahul Verma"/>
    <s v="Rahul Verma"/>
    <s v="Corporate"/>
    <s v="Corporate"/>
    <x v="3"/>
    <s v="West"/>
    <s v="Goa"/>
    <s v="Panaji"/>
    <s v="Furniture"/>
    <s v="Furniture"/>
    <s v="Tables"/>
    <s v="Pro Tables 257"/>
    <s v="Standard Class"/>
    <s v="Standard Class"/>
    <n v="3"/>
    <n v="1946.18"/>
    <n v="0.2"/>
    <n v="0.2"/>
    <s v="Valid"/>
    <n v="4670.83"/>
    <n v="3166.49"/>
    <n v="1504.34"/>
    <x v="0"/>
    <s v="Include"/>
    <s v=""/>
    <s v="Completed"/>
    <s v="Completed"/>
    <s v="Include"/>
  </r>
  <r>
    <s v="ORD-2025-10488"/>
    <n v="1"/>
    <s v=""/>
    <s v="10 Jun 2025"/>
    <d v="2025-06-10T00:00:00"/>
    <s v="06/17/2025"/>
    <d v="2025-06-17T00:00:00"/>
    <s v="Valid"/>
    <n v="7"/>
    <s v="Valid"/>
    <s v="CUST-7685"/>
    <s v="Rahul Verma"/>
    <s v="Rahul Verma"/>
    <s v="Corporate"/>
    <s v="Corporate"/>
    <x v="2"/>
    <s v="South"/>
    <s v="Telangana"/>
    <s v="Hyderabad"/>
    <s v="Furniture"/>
    <s v="Furniture"/>
    <s v="Furnishings"/>
    <s v="Prime Furnishings 299"/>
    <s v="Standard Class"/>
    <s v="Standard Class"/>
    <n v="5"/>
    <n v="1231.0999999999999"/>
    <n v="0"/>
    <n v="0"/>
    <s v="Valid"/>
    <n v="6155.5"/>
    <n v="4282.09"/>
    <n v="1873.41"/>
    <x v="1"/>
    <s v="Include"/>
    <s v="Refunded Order"/>
    <s v="Returned"/>
    <s v="Returned"/>
    <s v="Include"/>
  </r>
  <r>
    <s v="ORD-2024-10489"/>
    <n v="1"/>
    <s v=""/>
    <s v="14 Oct 2024"/>
    <d v="2024-10-14T00:00:00"/>
    <s v="2024-10-20"/>
    <d v="2024-10-20T00:00:00"/>
    <s v="Valid"/>
    <n v="6"/>
    <s v="Valid"/>
    <s v="CUST-2183"/>
    <s v="Aditi Sen"/>
    <s v="Aditi Sen"/>
    <s v="Small Business"/>
    <s v="Small Business"/>
    <x v="0"/>
    <s v="North"/>
    <s v="Rajasthan"/>
    <s v="Jaipur"/>
    <s v="Furniture"/>
    <s v="Furniture"/>
    <s v="Tables"/>
    <s v="Eco Tables 487"/>
    <s v="Same Day"/>
    <s v="Same Day"/>
    <n v="7"/>
    <n v="1547.6"/>
    <n v="0.2"/>
    <n v="0.2"/>
    <s v="Valid"/>
    <n v="8666.56"/>
    <n v="5967.44"/>
    <n v="2699.12"/>
    <x v="0"/>
    <s v="Include"/>
    <s v=""/>
    <s v="Completed"/>
    <s v="Completed"/>
    <s v="Include"/>
  </r>
  <r>
    <s v="ORD-2024-10490"/>
    <n v="1"/>
    <s v=""/>
    <s v="2024-02-07"/>
    <d v="2024-02-07T00:00:00"/>
    <s v="2024-02-12"/>
    <d v="2024-02-12T00:00:00"/>
    <s v="Valid"/>
    <n v="5"/>
    <s v="Valid"/>
    <s v="CUST-1636"/>
    <s v="Arjun Bose"/>
    <s v="Arjun Bose"/>
    <s v="Home Office"/>
    <s v="Home Office"/>
    <x v="1"/>
    <s v="East"/>
    <s v="West Bengal"/>
    <s v="Kolkata"/>
    <s v="Technology"/>
    <s v="Technology"/>
    <s v="Accessories"/>
    <s v="Prime Accessories 960"/>
    <s v="Second Class"/>
    <s v="Second Class"/>
    <n v="1"/>
    <n v="452.19"/>
    <n v="0.2"/>
    <n v="0.2"/>
    <s v="Valid"/>
    <n v="361.75"/>
    <n v="262.52999999999997"/>
    <n v="99.22"/>
    <x v="0"/>
    <s v="Include"/>
    <s v=""/>
    <s v="Completed"/>
    <s v="Completed"/>
    <s v="Include"/>
  </r>
  <r>
    <s v="ORD-2024-10491"/>
    <n v="1"/>
    <s v=""/>
    <s v="2024-09-16"/>
    <d v="2024-09-16T00:00:00"/>
    <s v="09/19/2024"/>
    <d v="2024-09-19T00:00:00"/>
    <s v="Valid"/>
    <n v="3"/>
    <s v="Valid"/>
    <s v="CUST-1350"/>
    <s v="Aditi Sen"/>
    <s v="Aditi Sen"/>
    <s v="Consumer"/>
    <s v="Consumer"/>
    <x v="3"/>
    <s v="West"/>
    <s v="Rajasthan"/>
    <s v="Udaipur"/>
    <s v="Office Supplies"/>
    <s v="Office Supplies"/>
    <s v="Binders"/>
    <s v="Smart Binders 191"/>
    <s v="First Class"/>
    <s v="First Class"/>
    <n v="7"/>
    <n v="406.42"/>
    <n v="0.15"/>
    <n v="0.15"/>
    <s v="Valid"/>
    <n v="2418.1999999999998"/>
    <n v="1613.82"/>
    <n v="804.38"/>
    <x v="0"/>
    <s v="Include"/>
    <s v=""/>
    <s v="Completed"/>
    <s v="Completed"/>
    <s v="Include"/>
  </r>
  <r>
    <s v="ORD-2025-10492"/>
    <n v="1"/>
    <s v=""/>
    <s v="2025-04-29"/>
    <d v="2025-04-29T00:00:00"/>
    <s v="30-04-2025"/>
    <d v="2025-04-30T00:00:00"/>
    <s v="Valid"/>
    <n v="1"/>
    <s v="Valid"/>
    <s v="CUST-4101"/>
    <s v="Mira Das"/>
    <s v="Mira Das"/>
    <s v="Corporate"/>
    <s v="Corporate"/>
    <x v="2"/>
    <s v="South"/>
    <s v="Kerala"/>
    <s v="Kochi"/>
    <s v="Technology"/>
    <s v="Technology"/>
    <s v="Accessories"/>
    <s v="Prime Accessories 118"/>
    <s v="Standard Class"/>
    <s v="Standard Class"/>
    <n v="4"/>
    <n v="606.58000000000004"/>
    <n v="0.2"/>
    <n v="0.2"/>
    <s v="Valid"/>
    <n v="1941.06"/>
    <n v="1207.42"/>
    <n v="733.64"/>
    <x v="0"/>
    <s v="Include"/>
    <s v=""/>
    <s v="Completed"/>
    <s v="Completed"/>
    <s v="Include"/>
  </r>
  <r>
    <s v="ORD-2025-10493"/>
    <n v="1"/>
    <s v=""/>
    <s v="28-06-2025"/>
    <d v="2025-06-28T00:00:00"/>
    <s v="07/02/2025"/>
    <d v="2025-07-02T00:00:00"/>
    <s v="Valid"/>
    <n v="4"/>
    <s v="Valid"/>
    <s v="CUST-4679"/>
    <s v="Ananya Rao"/>
    <s v="Ananya Rao"/>
    <s v="Corporate"/>
    <s v="Corporate"/>
    <x v="2"/>
    <s v="South"/>
    <s v="Andhra Pradesh"/>
    <s v="Vijayawada"/>
    <s v="Office Supplies"/>
    <s v="Office Supplies"/>
    <s v="Storage"/>
    <s v="Elite Storage 331"/>
    <s v="Second Class"/>
    <s v="Second Class"/>
    <n v="2"/>
    <n v="2725.44"/>
    <n v="0.25"/>
    <n v="0.25"/>
    <s v="Valid"/>
    <n v="4088.16"/>
    <n v="3205.68"/>
    <n v="882.48"/>
    <x v="0"/>
    <s v="Include"/>
    <s v=""/>
    <s v="Completed"/>
    <s v="Completed"/>
    <s v="Include"/>
  </r>
  <r>
    <s v="ORD-2025-10494"/>
    <n v="1"/>
    <s v=""/>
    <s v="13 Feb 2025"/>
    <d v="2025-02-13T00:00:00"/>
    <s v="2025-02-13"/>
    <d v="2025-02-13T00:00:00"/>
    <s v="Valid"/>
    <n v="0"/>
    <s v="Valid"/>
    <s v="CUST-3765"/>
    <s v="Kabir Singh"/>
    <s v="Kabir Singh"/>
    <s v="Corporate"/>
    <s v="Corporate"/>
    <x v="1"/>
    <s v="East"/>
    <s v="Odisha"/>
    <s v="Bhubaneswar"/>
    <s v="Office Supplies"/>
    <s v="Office Supplies"/>
    <s v="Paper"/>
    <s v="Prime Paper 996"/>
    <s v="Second Class"/>
    <s v="Second Class"/>
    <n v="7"/>
    <n v="2296.6999999999998"/>
    <n v="0.05"/>
    <n v="0.05"/>
    <s v="Valid"/>
    <n v="15273.05"/>
    <n v="11088.76"/>
    <n v="4184.29"/>
    <x v="0"/>
    <s v="Include"/>
    <s v=""/>
    <s v="Completed"/>
    <s v="Completed"/>
    <s v="Include"/>
  </r>
  <r>
    <s v="ORD-2024-10495"/>
    <n v="1"/>
    <s v=""/>
    <s v="2024-11-14"/>
    <d v="2024-11-14T00:00:00"/>
    <s v="2024-11-22"/>
    <d v="2024-11-22T00:00:00"/>
    <s v="Valid"/>
    <n v="8"/>
    <s v="Valid"/>
    <s v="CUST-9056"/>
    <s v="Isha Nair"/>
    <s v="Isha Nair"/>
    <s v="Consumer"/>
    <s v="Consumer"/>
    <x v="3"/>
    <s v="West"/>
    <s v="Madhya Pradesh"/>
    <s v="Indore"/>
    <s v="Technology"/>
    <s v="Technology"/>
    <s v="Phones"/>
    <s v="Smart Phones 125"/>
    <s v="Standard Class"/>
    <s v="Standard Class"/>
    <n v="3"/>
    <n v="671.68"/>
    <n v="-0.13"/>
    <n v="-0.13"/>
    <s v="Invalid Discount"/>
    <n v="1712.78"/>
    <n v="1569.38"/>
    <n v="360.66"/>
    <x v="3"/>
    <s v="Exclude"/>
    <s v=""/>
    <s v="Cancelled"/>
    <s v="Cancelled"/>
    <s v="Exclude"/>
  </r>
  <r>
    <s v="ORD-2024-10496"/>
    <n v="1"/>
    <s v=""/>
    <s v="05/09/2024"/>
    <d v="2024-05-09T00:00:00"/>
    <s v="05/15/2024"/>
    <d v="2024-05-15T00:00:00"/>
    <s v="Valid"/>
    <n v="6"/>
    <s v="Valid"/>
    <s v="CUST-9801"/>
    <s v="Mira Das"/>
    <s v="Mira Das"/>
    <s v="Small Business"/>
    <s v="Small Business"/>
    <x v="1"/>
    <s v="East"/>
    <s v="Assam"/>
    <s v="Guwahati"/>
    <s v="Technology"/>
    <s v="Technology"/>
    <s v="Phones"/>
    <s v="Eco Phones 220"/>
    <s v="Second Class"/>
    <s v="Second Class"/>
    <n v="4"/>
    <n v="995.98"/>
    <n v="0.05"/>
    <n v="0.05"/>
    <s v="Valid"/>
    <n v="3784.72"/>
    <n v="2419.2399999999998"/>
    <n v="1365.48"/>
    <x v="1"/>
    <s v="Include"/>
    <s v="Refunded Order"/>
    <s v="Returned"/>
    <s v="Returned"/>
    <s v="Include"/>
  </r>
  <r>
    <s v="ORD-2025-10497"/>
    <n v="1"/>
    <s v=""/>
    <s v="2025-07-04"/>
    <d v="2025-07-04T00:00:00"/>
    <s v="2025-07-06"/>
    <d v="2025-07-06T00:00:00"/>
    <s v="Valid"/>
    <n v="2"/>
    <s v="Valid"/>
    <s v="CUST-2038"/>
    <s v="Kabir Singh"/>
    <s v="Kabir Singh"/>
    <s v="Small Business"/>
    <s v="Small Business"/>
    <x v="1"/>
    <s v="East"/>
    <s v="Jharkhand"/>
    <s v="Ranchi"/>
    <s v="Furniture"/>
    <s v="Furniture"/>
    <s v="Chairs"/>
    <s v="Eco Chairs 795"/>
    <s v="Second Class"/>
    <s v="Second Class"/>
    <n v="2"/>
    <n v="3686.42"/>
    <n v="0.1"/>
    <n v="0.1"/>
    <s v="Valid"/>
    <n v="6635.56"/>
    <n v="3652.91"/>
    <n v="2982.65"/>
    <x v="0"/>
    <s v="Include"/>
    <s v=""/>
    <s v="Completed"/>
    <s v="Completed"/>
    <s v="Include"/>
  </r>
  <r>
    <s v="ORD-2024-10498"/>
    <n v="1"/>
    <s v=""/>
    <s v="29 Aug 2024"/>
    <d v="2024-08-29T00:00:00"/>
    <s v="29 Aug 2024"/>
    <d v="2024-08-29T00:00:00"/>
    <s v="Valid"/>
    <n v="0"/>
    <s v="Valid"/>
    <s v="CUST-1567"/>
    <s v="Sneha Kapoor"/>
    <s v="Sneha Kapoor"/>
    <s v="Small Business"/>
    <s v="Small Business"/>
    <x v="0"/>
    <s v="North"/>
    <s v="Uttar Pradesh"/>
    <s v="Noida"/>
    <s v="Technology"/>
    <s v="Technology"/>
    <s v="Accessories"/>
    <s v="Smart Accessories 896"/>
    <s v="Second Class"/>
    <s v="Second Class"/>
    <n v="1"/>
    <n v="3106.88"/>
    <n v="0.2"/>
    <n v="0.2"/>
    <s v="Valid"/>
    <n v="2485.5"/>
    <n v="2028.43"/>
    <n v="457.07"/>
    <x v="0"/>
    <s v="Exclude"/>
    <s v=""/>
    <s v="Cancelled"/>
    <s v="Cancelled"/>
    <s v="Exclude"/>
  </r>
  <r>
    <s v="ORD-2025-10499"/>
    <n v="1"/>
    <s v=""/>
    <s v="2025-09-07"/>
    <d v="2025-09-07T00:00:00"/>
    <s v="10 Sep 2025"/>
    <d v="2025-09-10T00:00:00"/>
    <s v="Valid"/>
    <n v="3"/>
    <s v="Valid"/>
    <s v="CUST-1190"/>
    <s v="Karan Malhotra"/>
    <s v="Karan Malhotra"/>
    <s v="Consumer"/>
    <s v="Consumer"/>
    <x v="0"/>
    <s v="North"/>
    <s v="Punjab"/>
    <s v="Ludhiana"/>
    <s v="Furniture"/>
    <s v="Furniture"/>
    <s v="Chairs"/>
    <s v="Basic Chairs 255"/>
    <s v="Same Day"/>
    <s v="Same Day"/>
    <n v="2"/>
    <n v="447.55"/>
    <n v="0.05"/>
    <n v="0.05"/>
    <s v="Valid"/>
    <n v="850.35"/>
    <n v="600.98"/>
    <n v="249.37"/>
    <x v="1"/>
    <s v="Exclude"/>
    <s v="Refunded Order"/>
    <s v="Cancelled"/>
    <s v="Cancelled"/>
    <s v="Exclude"/>
  </r>
  <r>
    <s v="ORD-2024-10500"/>
    <n v="1"/>
    <s v=""/>
    <s v="2024-12-22"/>
    <d v="2024-12-22T00:00:00"/>
    <s v="26-12-2024"/>
    <d v="2024-12-26T00:00:00"/>
    <s v="Valid"/>
    <n v="4"/>
    <s v="Valid"/>
    <s v="CUST-5604"/>
    <s v="Rahul Verma"/>
    <s v="Rahul Verma"/>
    <s v="Home Office"/>
    <s v="Home Office"/>
    <x v="0"/>
    <s v="North"/>
    <s v="Uttar Pradesh"/>
    <s v="Noida"/>
    <s v="Furniture"/>
    <s v="Furniture"/>
    <s v="Chairs"/>
    <s v="Eco Chairs 210"/>
    <s v="Standard Class"/>
    <s v="Standard Class"/>
    <n v="9"/>
    <n v="1110.8699999999999"/>
    <m/>
    <n v="0"/>
    <s v="Valid"/>
    <n v="7498.37"/>
    <n v="6059.07"/>
    <n v="1439.3"/>
    <x v="0"/>
    <s v="Exclude"/>
    <s v=""/>
    <s v="Cancelled"/>
    <s v="Cancelled"/>
    <s v="Exclude"/>
  </r>
  <r>
    <s v="ORD-2024-10501"/>
    <n v="1"/>
    <s v=""/>
    <s v="05/17/2024"/>
    <d v="2024-05-17T00:00:00"/>
    <s v="05/22/2024"/>
    <d v="2024-05-22T00:00:00"/>
    <s v="Valid"/>
    <n v="5"/>
    <s v="Valid"/>
    <s v="CUST-7661"/>
    <s v="Sneha Kapoor"/>
    <s v="Sneha Kapoor"/>
    <s v="Consumer"/>
    <s v="Consumer"/>
    <x v="2"/>
    <s v="South"/>
    <s v="Kerala"/>
    <s v="Kochi"/>
    <s v="Technology"/>
    <s v="Technology"/>
    <s v="Phones"/>
    <s v="Prime Phones 533"/>
    <s v="Same Day"/>
    <s v="Same Day"/>
    <n v="9"/>
    <n v="3795.99"/>
    <s v="85%"/>
    <s v="85%"/>
    <s v="Valid"/>
    <n v="34163.910000000003"/>
    <n v="28577.15"/>
    <n v="5586.76"/>
    <x v="0"/>
    <s v="Include"/>
    <s v=""/>
    <s v="Completed"/>
    <s v="Completed"/>
    <s v="Include"/>
  </r>
  <r>
    <s v="ORD-2024-10502"/>
    <n v="1"/>
    <s v=""/>
    <s v="11 Aug 2024"/>
    <d v="2024-08-11T00:00:00"/>
    <s v="08/17/2024"/>
    <d v="2024-08-17T00:00:00"/>
    <s v="Valid"/>
    <n v="6"/>
    <s v="Valid"/>
    <s v="CUST-3710"/>
    <s v="Neha Gupta"/>
    <s v="Neha Gupta"/>
    <s v="Consumer"/>
    <s v="Consumer"/>
    <x v="1"/>
    <s v="East"/>
    <s v="Jharkhand"/>
    <s v="Ranchi"/>
    <s v="Office Supplies"/>
    <s v="Office Supplies"/>
    <s v="Art"/>
    <s v="Elite Art 325"/>
    <s v="Second Class"/>
    <s v="Second Class"/>
    <n v="6"/>
    <n v="3497.54"/>
    <n v="0.15"/>
    <n v="0.15"/>
    <s v="Valid"/>
    <n v="17837.45"/>
    <n v="13627.02"/>
    <n v="4210.43"/>
    <x v="0"/>
    <s v="Include"/>
    <s v=""/>
    <s v="Completed"/>
    <s v="Completed"/>
    <s v="Include"/>
  </r>
  <r>
    <s v="ORD-2024-10503"/>
    <n v="1"/>
    <s v=""/>
    <s v="04/01/2024"/>
    <d v="2024-04-01T00:00:00"/>
    <s v="2024-04-09"/>
    <d v="2024-04-09T00:00:00"/>
    <s v="Valid"/>
    <n v="8"/>
    <s v="Valid"/>
    <s v="CUST-1534"/>
    <s v="Priya Menon"/>
    <s v="Priya Menon"/>
    <s v="Small Business"/>
    <s v="Small Business"/>
    <x v="1"/>
    <s v="East"/>
    <s v="Odisha"/>
    <s v="Bhubaneswar"/>
    <s v="Technology"/>
    <s v="Technology"/>
    <s v="Copiers"/>
    <s v="Prime Copiers 557"/>
    <s v="Second Class"/>
    <s v="Second Class"/>
    <n v="6"/>
    <n v="826.93"/>
    <n v="0.1"/>
    <n v="0.1"/>
    <s v="Valid"/>
    <n v="4465.42"/>
    <n v="3377.1"/>
    <n v="1088.32"/>
    <x v="0"/>
    <s v="Include"/>
    <s v=""/>
    <s v="Completed"/>
    <s v="Completed"/>
    <s v="Include"/>
  </r>
  <r>
    <s v="ORD-2024-10504"/>
    <n v="1"/>
    <s v=""/>
    <s v="2024-09-28"/>
    <d v="2024-09-28T00:00:00"/>
    <s v="2024-10-05"/>
    <d v="2024-10-05T00:00:00"/>
    <s v="Valid"/>
    <n v="7"/>
    <s v="Valid"/>
    <s v="CUST-7422"/>
    <s v="Aarav Sharma"/>
    <s v="Aarav Sharma"/>
    <s v="Consumer"/>
    <s v="Consumer"/>
    <x v="2"/>
    <s v="South"/>
    <s v="Tamil Nadu"/>
    <s v="Chennai"/>
    <s v="Technology"/>
    <s v="Technology"/>
    <s v="Phones"/>
    <s v="Smart Phones 674"/>
    <s v="Standard Class"/>
    <s v="Standard Class"/>
    <n v="7"/>
    <n v="1681.6"/>
    <n v="0.1"/>
    <n v="0.1"/>
    <s v="Valid"/>
    <n v="10594.08"/>
    <n v="7160.31"/>
    <n v="3433.77"/>
    <x v="0"/>
    <s v="Include"/>
    <s v=""/>
    <s v="Completed"/>
    <s v="Completed"/>
    <s v="Include"/>
  </r>
  <r>
    <s v="ORD-2025-10505"/>
    <n v="1"/>
    <s v=""/>
    <s v="2025-02-12"/>
    <d v="2025-02-12T00:00:00"/>
    <s v="2025-02-17"/>
    <d v="2025-02-17T00:00:00"/>
    <s v="Valid"/>
    <n v="5"/>
    <s v="Valid"/>
    <s v="CUST-9693"/>
    <s v="Arjun Bose"/>
    <s v="Arjun Bose"/>
    <s v="Corporate"/>
    <s v="Corporate"/>
    <x v="3"/>
    <s v="West"/>
    <s v="Gujarat"/>
    <s v="Ahmedabad"/>
    <s v="Office Supplies"/>
    <s v="Office Supplies"/>
    <s v="Art"/>
    <s v="Elite Art 553"/>
    <s v="Standard Class"/>
    <s v="Standard Class"/>
    <n v="4"/>
    <n v="4328.12"/>
    <n v="0"/>
    <n v="0"/>
    <s v="Valid"/>
    <n v="17312.48"/>
    <n v="14424.22"/>
    <n v="2888.26"/>
    <x v="0"/>
    <s v="Include"/>
    <s v=""/>
    <s v="Completed"/>
    <s v="Completed"/>
    <s v="Include"/>
  </r>
  <r>
    <s v="ORD-2024-10506"/>
    <n v="1"/>
    <s v=""/>
    <s v="2024-11-09"/>
    <d v="2024-11-09T00:00:00"/>
    <s v="14 Nov 2024"/>
    <d v="2024-11-14T00:00:00"/>
    <s v="Valid"/>
    <n v="5"/>
    <s v="Valid"/>
    <s v="CUST-5458"/>
    <s v="Neha Gupta"/>
    <s v="Neha Gupta"/>
    <s v="Corporate"/>
    <s v="Corporate"/>
    <x v="3"/>
    <s v="West"/>
    <s v="Madhya Pradesh"/>
    <s v="Indore"/>
    <s v="Office Supplies"/>
    <s v="Office Supplies"/>
    <s v="Art"/>
    <s v="Classic Art 339"/>
    <s v="First Class"/>
    <s v="First Class"/>
    <n v="9"/>
    <n v="2438.29"/>
    <n v="0.2"/>
    <n v="0.2"/>
    <s v="Valid"/>
    <n v="17555.689999999999"/>
    <n v="13293.2"/>
    <n v="4262.49"/>
    <x v="0"/>
    <s v="Exclude"/>
    <s v=""/>
    <s v="Cancelled"/>
    <s v="Cancelled"/>
    <s v="Exclude"/>
  </r>
  <r>
    <s v="ORD-2024-10507"/>
    <n v="1"/>
    <s v=""/>
    <s v="15-12-2024"/>
    <d v="2024-12-15T00:00:00"/>
    <s v="2024-12-15"/>
    <d v="2024-12-15T00:00:00"/>
    <s v="Valid"/>
    <n v="0"/>
    <s v="Valid"/>
    <s v="CUST-3011"/>
    <s v="Aarav Sharma"/>
    <s v="Aarav Sharma"/>
    <s v="Small Business"/>
    <s v="Small Business"/>
    <x v="0"/>
    <s v="North"/>
    <s v="Punjab"/>
    <s v="Ludhiana"/>
    <s v="Furniture"/>
    <s v="Furniture"/>
    <s v="Furnishings"/>
    <s v="Smart Furnishings 352"/>
    <s v="First Class"/>
    <s v="First Class"/>
    <n v="2"/>
    <n v="669.8"/>
    <n v="0.1"/>
    <n v="0.1"/>
    <s v="Valid"/>
    <n v="1205.6400000000001"/>
    <n v="842.07"/>
    <n v="363.57"/>
    <x v="1"/>
    <s v="Include"/>
    <s v="Refunded Order"/>
    <s v="Returned"/>
    <s v="Returned"/>
    <s v="Include"/>
  </r>
  <r>
    <s v="ORD-2025-10508"/>
    <n v="1"/>
    <s v=""/>
    <s v="2025-04-15"/>
    <d v="2025-04-15T00:00:00"/>
    <s v="2025-04-22"/>
    <d v="2025-04-22T00:00:00"/>
    <s v="Valid"/>
    <n v="7"/>
    <s v="Valid"/>
    <s v="CUST-1826"/>
    <s v="Isha Nair"/>
    <s v="Isha Nair"/>
    <s v="Small Business"/>
    <s v="Small Business"/>
    <x v="0"/>
    <s v="North"/>
    <s v="Haryana"/>
    <s v="Gurugram"/>
    <s v="Office Supplies"/>
    <s v="Office Supplies"/>
    <s v="Binders"/>
    <s v="Classic Binders 602"/>
    <s v="Same Day"/>
    <s v="Same Day"/>
    <n v="4"/>
    <n v="2990.42"/>
    <n v="0.25"/>
    <n v="0.25"/>
    <s v="Valid"/>
    <n v="8971.26"/>
    <n v="6814.35"/>
    <n v="2156.91"/>
    <x v="0"/>
    <s v="Include"/>
    <s v=""/>
    <s v="Completed"/>
    <s v="Completed"/>
    <s v="Include"/>
  </r>
  <r>
    <s v="ORD-2024-10509"/>
    <n v="1"/>
    <s v=""/>
    <s v="31 Mar 2024"/>
    <d v="2024-03-31T00:00:00"/>
    <s v="07-04-2024"/>
    <d v="2024-04-07T00:00:00"/>
    <s v="Valid"/>
    <n v="7"/>
    <s v="Valid"/>
    <s v="CUST-3333"/>
    <s v="Isha Nair"/>
    <s v="Isha Nair"/>
    <s v="Small Business"/>
    <s v="Small Business"/>
    <x v="0"/>
    <s v="North"/>
    <s v="Haryana"/>
    <s v="Gurugram"/>
    <s v="Technology"/>
    <s v="Technology"/>
    <s v="Machines"/>
    <s v="Smart Machines 853"/>
    <s v="Second Class"/>
    <s v="Second Class"/>
    <n v="4"/>
    <n v="1831"/>
    <n v="0"/>
    <n v="0"/>
    <s v="Valid"/>
    <n v="7324"/>
    <n v="4179.63"/>
    <n v="3144.37"/>
    <x v="0"/>
    <s v="Include"/>
    <s v=""/>
    <s v="Completed"/>
    <s v="Completed"/>
    <s v="Include"/>
  </r>
  <r>
    <s v="ORD-2025-10510"/>
    <n v="1"/>
    <s v=""/>
    <s v="2025-05-12"/>
    <d v="2025-05-12T00:00:00"/>
    <s v="05/14/2025"/>
    <d v="2025-05-14T00:00:00"/>
    <s v="Valid"/>
    <n v="2"/>
    <s v="Valid"/>
    <s v="CUST-7901"/>
    <s v="Neha Gupta"/>
    <s v="Neha Gupta"/>
    <s v="Consumer"/>
    <s v="Consumer"/>
    <x v="3"/>
    <s v="West"/>
    <s v="Gujarat"/>
    <s v="Ahmedabad"/>
    <s v="Technology"/>
    <s v="Technology"/>
    <s v="Machines"/>
    <s v="Classic Machines 599"/>
    <s v="Same Day"/>
    <s v="Same Day"/>
    <n v="8"/>
    <n v="3631.44"/>
    <n v="0.2"/>
    <n v="0.2"/>
    <s v="Valid"/>
    <n v="23241.22"/>
    <n v="17220.900000000001"/>
    <n v="6020.32"/>
    <x v="0"/>
    <s v="Include"/>
    <s v=""/>
    <s v="Completed"/>
    <s v="Completed"/>
    <s v="Include"/>
  </r>
  <r>
    <s v="ORD-2024-10511"/>
    <n v="1"/>
    <s v=""/>
    <s v="10/18/2024"/>
    <d v="2024-10-18T00:00:00"/>
    <s v="21-10-2024"/>
    <d v="2024-10-21T00:00:00"/>
    <s v="Valid"/>
    <n v="3"/>
    <s v="Valid"/>
    <s v="CUST-9759"/>
    <s v="Aarav  Sharma"/>
    <s v="Aarav Sharma"/>
    <s v="Consumer"/>
    <s v="Consumer"/>
    <x v="2"/>
    <s v="South"/>
    <s v="Karnataka"/>
    <s v="Bengaluru"/>
    <s v="Office Supplies"/>
    <s v="Office Supplies"/>
    <s v="Storage"/>
    <s v="Pro Storage 373"/>
    <s v="Second Class"/>
    <s v="Second Class"/>
    <n v="2"/>
    <n v="4238.51"/>
    <n v="0"/>
    <n v="0"/>
    <s v="Valid"/>
    <n v="8477.02"/>
    <n v="6884.96"/>
    <n v="1592.06"/>
    <x v="0"/>
    <s v="Include"/>
    <s v=""/>
    <s v="Completed"/>
    <s v="Completed"/>
    <s v="Include"/>
  </r>
  <r>
    <s v="ORD-2024-10512"/>
    <n v="1"/>
    <s v=""/>
    <s v="10/23/2024"/>
    <d v="2024-10-23T00:00:00"/>
    <s v="26 Oct 2024"/>
    <d v="2024-10-26T00:00:00"/>
    <s v="Valid"/>
    <n v="3"/>
    <s v="Valid"/>
    <s v="CUST-7232"/>
    <s v="Sneha Kapoor"/>
    <s v="Sneha Kapoor"/>
    <s v="Consumer"/>
    <s v="Consumer"/>
    <x v="3"/>
    <s v="West"/>
    <s v="Madhya Pradesh"/>
    <s v="Indore"/>
    <s v="Furniture"/>
    <s v="Furniture"/>
    <s v="Bookcases"/>
    <s v="Smart Bookcases 920"/>
    <s v="Standard Class"/>
    <s v="Standard Class"/>
    <n v="9"/>
    <n v="544.27"/>
    <n v="0.25"/>
    <n v="0.25"/>
    <s v="Valid"/>
    <n v="3673.82"/>
    <n v="2088.15"/>
    <n v="1585.67"/>
    <x v="0"/>
    <s v="Include"/>
    <s v=""/>
    <s v="Completed"/>
    <s v="Completed"/>
    <s v="Include"/>
  </r>
  <r>
    <s v="ORD-2025-10513"/>
    <n v="1"/>
    <s v=""/>
    <s v="03/02/2025"/>
    <d v="2025-03-02T00:00:00"/>
    <s v="2025-03-03"/>
    <d v="2025-03-03T00:00:00"/>
    <s v="Valid"/>
    <n v="1"/>
    <s v="Valid"/>
    <s v="CUST-9943"/>
    <s v="Isha Nair"/>
    <s v="Isha Nair"/>
    <s v="Corporate"/>
    <s v="Corporate"/>
    <x v="2"/>
    <s v="South"/>
    <s v="Kerala"/>
    <s v="Kochi"/>
    <s v="Office Supplies"/>
    <s v="Office Supplies"/>
    <s v="Labels"/>
    <s v="Pro Labels 849"/>
    <s v="Second Class"/>
    <s v="Second Class"/>
    <n v="2"/>
    <n v="4031.45"/>
    <n v="0.25"/>
    <n v="0.25"/>
    <s v="Valid"/>
    <n v="6047.17"/>
    <n v="3368.79"/>
    <n v="2678.38"/>
    <x v="0"/>
    <s v="Include"/>
    <s v=""/>
    <s v="Completed"/>
    <s v="Completed"/>
    <s v="Include"/>
  </r>
  <r>
    <s v="ORD-2025-10514"/>
    <n v="1"/>
    <s v=""/>
    <s v="27-06-2025"/>
    <d v="2025-06-27T00:00:00"/>
    <s v="07/02/2025"/>
    <d v="2025-07-02T00:00:00"/>
    <s v="Valid"/>
    <n v="5"/>
    <s v="Valid"/>
    <s v="CUST-8993"/>
    <s v="Aarav Sharma"/>
    <s v="Aarav Sharma"/>
    <s v="Corporate"/>
    <s v="Corporate"/>
    <x v="2"/>
    <s v="South"/>
    <s v="Kerala"/>
    <s v="Kochi"/>
    <s v="Technology"/>
    <s v="Technology"/>
    <s v="Accessories"/>
    <s v="Prime Accessories 849"/>
    <s v="First Class"/>
    <s v="First Class"/>
    <n v="6"/>
    <n v="1099.49"/>
    <n v="0.1"/>
    <n v="0.1"/>
    <s v="Valid"/>
    <n v="6212.38"/>
    <n v="4088.46"/>
    <n v="1848.79"/>
    <x v="0"/>
    <s v="Include"/>
    <s v=""/>
    <s v="Completed"/>
    <s v="Completed"/>
    <s v="Include"/>
  </r>
  <r>
    <s v="ORD-2024-10515"/>
    <n v="1"/>
    <s v=""/>
    <s v="18 Nov 2024"/>
    <d v="2024-11-18T00:00:00"/>
    <s v="2024-11-22"/>
    <d v="2024-11-22T00:00:00"/>
    <s v="Valid"/>
    <n v="4"/>
    <s v="Valid"/>
    <s v="CUST-7729"/>
    <s v="Karan Malhotra"/>
    <s v="Karan Malhotra"/>
    <s v="Home Office"/>
    <s v="Home Office"/>
    <x v="2"/>
    <s v="South"/>
    <s v="Kerala"/>
    <s v="Kochi"/>
    <s v="Technology"/>
    <s v="Technology"/>
    <s v="Accessories"/>
    <s v="Smart Accessories 388"/>
    <s v="Standard Class"/>
    <s v="Standard Class"/>
    <n v="6"/>
    <n v="3872.94"/>
    <n v="0.1"/>
    <n v="0.1"/>
    <s v="Valid"/>
    <n v="20913.88"/>
    <n v="11684.68"/>
    <n v="9229.2000000000007"/>
    <x v="0"/>
    <s v="Include"/>
    <s v=""/>
    <s v="Completed"/>
    <s v="Completed"/>
    <s v="Include"/>
  </r>
  <r>
    <s v="ORD-2025-10516"/>
    <n v="1"/>
    <s v=""/>
    <s v="04/11/2025"/>
    <d v="2025-04-11T00:00:00"/>
    <s v="2025-04-11"/>
    <d v="2025-04-11T00:00:00"/>
    <s v="Valid"/>
    <n v="0"/>
    <s v="Valid"/>
    <s v="CUST-9986"/>
    <s v="Rahul Verma"/>
    <s v="Rahul Verma"/>
    <s v="Corporate"/>
    <s v="Corporate"/>
    <x v="0"/>
    <s v="North"/>
    <s v="Delhi"/>
    <s v="New Delhi"/>
    <s v="Office Supplies"/>
    <s v="Office Supplies"/>
    <s v="Paper"/>
    <s v="Classic Paper 752"/>
    <s v="Standard Class"/>
    <s v="Standard Class"/>
    <n v="1"/>
    <n v="4458.49"/>
    <n v="-7.0000000000000007E-2"/>
    <n v="-7.0000000000000007E-2"/>
    <s v="Invalid Discount"/>
    <n v="3566.79"/>
    <n v="2083.41"/>
    <n v="1483.38"/>
    <x v="0"/>
    <s v="Include"/>
    <s v=""/>
    <s v="Completed"/>
    <s v="Completed"/>
    <s v="Include"/>
  </r>
  <r>
    <s v="ORD-2024-10517"/>
    <n v="1"/>
    <s v=""/>
    <s v="09/28/2024"/>
    <d v="2024-09-28T00:00:00"/>
    <s v="04 Oct 2024"/>
    <d v="2024-10-04T00:00:00"/>
    <s v="Valid"/>
    <n v="6"/>
    <s v="Valid"/>
    <s v="CUST-2731"/>
    <s v="Kabir Singh"/>
    <s v="Kabir Singh"/>
    <s v="Home Office"/>
    <s v="Home Office"/>
    <x v="0"/>
    <s v="North"/>
    <s v="Delhi"/>
    <s v="New Delhi"/>
    <s v="Technology"/>
    <s v="Technology"/>
    <s v="Copiers"/>
    <s v="Classic Copiers 143"/>
    <s v="Standard Class"/>
    <s v="Standard Class"/>
    <n v="1"/>
    <n v="2233.1799999999998"/>
    <n v="0"/>
    <n v="0"/>
    <s v="Valid"/>
    <n v="2233.1799999999998"/>
    <n v="1585.82"/>
    <n v="647.36"/>
    <x v="3"/>
    <s v="Exclude"/>
    <s v=""/>
    <s v="Returned"/>
    <s v="Returned"/>
    <s v="Include"/>
  </r>
  <r>
    <s v="ORD-2025-10518"/>
    <n v="1"/>
    <s v=""/>
    <s v="2025-05-25"/>
    <d v="2025-05-25T00:00:00"/>
    <s v="27 May 2025"/>
    <d v="2025-05-27T00:00:00"/>
    <s v="Valid"/>
    <n v="2"/>
    <s v="Valid"/>
    <s v="CUST-4235"/>
    <s v="Rahul Verma"/>
    <s v="Rahul Verma"/>
    <s v="Consumer"/>
    <s v="Consumer"/>
    <x v="1"/>
    <s v="East"/>
    <s v="Odisha"/>
    <s v="Bhubaneswar"/>
    <s v="Furniture"/>
    <s v="Furniture"/>
    <s v="Furnishings"/>
    <s v="Basic Furnishings 386"/>
    <s v="Second Class"/>
    <s v="Second Class"/>
    <n v="7"/>
    <n v="2123.2800000000002"/>
    <n v="0.2"/>
    <n v="0.2"/>
    <s v="Valid"/>
    <n v="11890.37"/>
    <n v="9234.5300000000007"/>
    <n v="2655.84"/>
    <x v="1"/>
    <s v="Include"/>
    <s v="Refunded Order"/>
    <s v="Returned"/>
    <s v="Returned"/>
    <s v="Include"/>
  </r>
  <r>
    <s v="ORD-2025-10519"/>
    <n v="1"/>
    <s v=""/>
    <s v="30-04-2025"/>
    <d v="2025-04-30T00:00:00"/>
    <s v="26 Apr 2025"/>
    <d v="2025-04-26T00:00:00"/>
    <s v="Invalid Shipping Record"/>
    <n v="-4"/>
    <s v="Invalid Shipping Record"/>
    <s v="CUST-3377"/>
    <s v="Diya Patel"/>
    <s v="Diya Patel"/>
    <s v="Corporate"/>
    <s v="Corporate"/>
    <x v="1"/>
    <s v="East"/>
    <s v="Odisha"/>
    <s v="Bhubaneswar"/>
    <s v="Furniture"/>
    <s v="Furniture"/>
    <s v="Tables"/>
    <s v="Classic Tables 592"/>
    <s v="First Class"/>
    <s v="First Class"/>
    <n v="7"/>
    <n v="1604.13"/>
    <n v="0.25"/>
    <n v="0.25"/>
    <s v="Valid"/>
    <n v="8421.68"/>
    <n v="6534.47"/>
    <n v="1887.21"/>
    <x v="0"/>
    <s v="Exclude"/>
    <s v=""/>
    <s v="Cancelled"/>
    <s v="Cancelled"/>
    <s v="Exclude"/>
  </r>
  <r>
    <s v="ORD-2025-10520"/>
    <n v="1"/>
    <s v=""/>
    <s v="03-07-2025"/>
    <d v="2025-07-03T00:00:00"/>
    <s v="2025-07-07"/>
    <d v="2025-07-07T00:00:00"/>
    <s v="Valid"/>
    <n v="4"/>
    <s v="Valid"/>
    <s v="CUST-3258"/>
    <s v="Priya Menon"/>
    <s v="Priya Menon"/>
    <s v="Consumer"/>
    <s v="Consumer"/>
    <x v="0"/>
    <s v="North"/>
    <s v="Uttar Pradesh"/>
    <s v="Noida"/>
    <s v="Furniture"/>
    <s v="Furniture"/>
    <s v="Tables"/>
    <s v="Pro Tables 412"/>
    <s v="Standard Class"/>
    <s v="Standard Class"/>
    <n v="4"/>
    <n v="4365.21"/>
    <n v="0.2"/>
    <n v="0.2"/>
    <s v="Valid"/>
    <n v="13968.67"/>
    <n v="8857.58"/>
    <n v="5111.09"/>
    <x v="2"/>
    <s v="Exclude"/>
    <s v=""/>
    <s v="Cancelled"/>
    <s v="Cancelled"/>
    <s v="Exclude"/>
  </r>
  <r>
    <s v="ORD-2024-10521"/>
    <n v="1"/>
    <s v=""/>
    <s v="2024-07-16"/>
    <d v="2024-07-16T00:00:00"/>
    <s v="23 Jul 2024"/>
    <d v="2024-07-23T00:00:00"/>
    <s v="Valid"/>
    <n v="7"/>
    <s v="Valid"/>
    <s v="CUST-2155"/>
    <s v="Aarav Sharma"/>
    <s v="Aarav Sharma"/>
    <s v="Home Office"/>
    <s v="Home Office"/>
    <x v="2"/>
    <s v="South"/>
    <s v="Karnataka"/>
    <s v="Bengaluru"/>
    <s v="Technology"/>
    <s v="Technology"/>
    <s v="Machines"/>
    <s v="Prime Machines 393"/>
    <s v="Same Day"/>
    <s v="Same Day"/>
    <n v="1"/>
    <n v="1695.91"/>
    <n v="0.05"/>
    <n v="0.05"/>
    <s v="Valid"/>
    <n v="1611.11"/>
    <n v="895.15"/>
    <n v="715.96"/>
    <x v="0"/>
    <s v="Include"/>
    <s v=""/>
    <s v="Completed"/>
    <s v="Completed"/>
    <s v="Include"/>
  </r>
  <r>
    <s v="ORD-2025-10522"/>
    <n v="1"/>
    <s v=""/>
    <s v="2025-03-25"/>
    <d v="2025-03-25T00:00:00"/>
    <s v="2025-04-01"/>
    <d v="2025-04-01T00:00:00"/>
    <s v="Valid"/>
    <n v="7"/>
    <s v="Valid"/>
    <s v="CUST-8012"/>
    <s v="Diya Patel"/>
    <s v="Diya Patel"/>
    <s v="Consumer"/>
    <s v="Consumer"/>
    <x v="0"/>
    <s v="North"/>
    <s v="Punjab"/>
    <s v="Ludhiana"/>
    <s v="Office Supplies"/>
    <s v="Office Supplies"/>
    <s v="Labels"/>
    <s v="Classic Labels 776"/>
    <s v="Second Class"/>
    <s v="Second Class"/>
    <n v="6"/>
    <n v="2192.11"/>
    <n v="0.05"/>
    <n v="0.05"/>
    <s v="Valid"/>
    <n v="12495.03"/>
    <n v="9184.52"/>
    <n v="3310.51"/>
    <x v="0"/>
    <s v="Include"/>
    <s v=""/>
    <s v="Completed"/>
    <s v="Completed"/>
    <s v="Include"/>
  </r>
  <r>
    <s v="ORD-2025-10523"/>
    <n v="1"/>
    <s v=""/>
    <s v="02/28/2025"/>
    <d v="2025-02-28T00:00:00"/>
    <s v="08 Mar 2025"/>
    <d v="2025-03-08T00:00:00"/>
    <s v="Valid"/>
    <n v="8"/>
    <s v="Valid"/>
    <s v="CUST-2917"/>
    <s v="Neha Gupta"/>
    <s v="Neha Gupta"/>
    <s v="Small Business"/>
    <s v="Small Business"/>
    <x v="1"/>
    <s v="East"/>
    <s v="Jharkhand"/>
    <s v="Ranchi"/>
    <s v="Technology"/>
    <s v="Technology"/>
    <s v="Phones"/>
    <s v="Max Phones 612"/>
    <s v="First Class"/>
    <s v="First Class"/>
    <n v="9"/>
    <n v="3670.54"/>
    <n v="0"/>
    <n v="0"/>
    <s v="Valid"/>
    <n v="33034.86"/>
    <n v="24539.83"/>
    <n v="8495.0300000000007"/>
    <x v="0"/>
    <s v="Include"/>
    <s v=""/>
    <s v="Completed"/>
    <s v="Completed"/>
    <s v="Include"/>
  </r>
  <r>
    <s v="ORD-2024-10524"/>
    <n v="1"/>
    <s v=""/>
    <s v="02-04-2024"/>
    <d v="2024-04-02T00:00:00"/>
    <s v="2024-04-03"/>
    <d v="2024-04-03T00:00:00"/>
    <s v="Valid"/>
    <n v="1"/>
    <s v="Valid"/>
    <s v="CUST-4653"/>
    <s v="Kabir Singh"/>
    <s v="Kabir Singh"/>
    <s v="Home Office"/>
    <s v="Home Office"/>
    <x v="3"/>
    <s v="West"/>
    <s v="Goa"/>
    <s v="Panaji"/>
    <s v="Office Supplies"/>
    <s v="Office Supplies"/>
    <s v="Paper"/>
    <s v="Basic Paper 315"/>
    <s v="Second Class"/>
    <s v="Second Class"/>
    <n v="2"/>
    <n v="2902.63"/>
    <n v="0"/>
    <n v="0"/>
    <s v="Valid"/>
    <n v="5805.26"/>
    <n v="4654.3599999999997"/>
    <n v="1150.9000000000001"/>
    <x v="0"/>
    <s v="Include"/>
    <s v=""/>
    <s v="Returned"/>
    <s v="Returned"/>
    <s v="Include"/>
  </r>
  <r>
    <s v="ORD-2024-10525"/>
    <n v="1"/>
    <s v=""/>
    <s v="30 Nov 2024"/>
    <d v="2024-11-30T00:00:00"/>
    <s v="01 Dec 2024"/>
    <d v="2024-12-01T00:00:00"/>
    <s v="Valid"/>
    <n v="1"/>
    <s v="Valid"/>
    <s v="CUST-3311"/>
    <s v="Ananya Rao"/>
    <s v="Ananya Rao"/>
    <s v="Corporate"/>
    <s v="Corporate"/>
    <x v="3"/>
    <s v="West"/>
    <s v="Gujarat"/>
    <s v="Ahmedabad"/>
    <s v="Furniture"/>
    <s v="Furniture"/>
    <s v="Chairs"/>
    <s v="Basic Chairs 333"/>
    <s v="First Class"/>
    <s v="First Class"/>
    <n v="9"/>
    <n v="4207.3599999999997"/>
    <n v="0.1"/>
    <n v="0.1"/>
    <s v="Valid"/>
    <n v="34079.620000000003"/>
    <n v="21871.39"/>
    <n v="12208.23"/>
    <x v="0"/>
    <s v="Include"/>
    <s v=""/>
    <s v="Completed"/>
    <s v="Completed"/>
    <s v="Include"/>
  </r>
  <r>
    <s v="ORD-2024-10526"/>
    <n v="1"/>
    <s v=""/>
    <s v="10/17/2024"/>
    <d v="2024-10-17T00:00:00"/>
    <s v="2024-10-17"/>
    <d v="2024-10-17T00:00:00"/>
    <s v="Valid"/>
    <n v="0"/>
    <s v="Valid"/>
    <s v="CUST-2924"/>
    <s v="Priya Menon"/>
    <s v="Priya Menon"/>
    <s v="Home Office"/>
    <s v="Home Office"/>
    <x v="1"/>
    <s v="East"/>
    <s v="West Bengal"/>
    <s v="Kolkata"/>
    <s v="Furniture"/>
    <s v="Furniture"/>
    <s v="Chairs"/>
    <s v="Prime Chairs 215"/>
    <s v="Standard Class"/>
    <s v="Standard Class"/>
    <n v="5"/>
    <n v="2524.4"/>
    <n v="0.1"/>
    <n v="0.1"/>
    <s v="Valid"/>
    <n v="11359.8"/>
    <n v="7062.44"/>
    <n v="4297.3599999999997"/>
    <x v="0"/>
    <s v="Include"/>
    <s v=""/>
    <s v="Completed"/>
    <s v="Completed"/>
    <s v="Include"/>
  </r>
  <r>
    <s v="ORD-2025-10527"/>
    <n v="1"/>
    <s v=""/>
    <s v="2025-07-18"/>
    <d v="2025-07-18T00:00:00"/>
    <s v="21 Jul 2025"/>
    <d v="2025-07-21T00:00:00"/>
    <s v="Valid"/>
    <n v="3"/>
    <s v="Valid"/>
    <s v="CUST-7198"/>
    <s v="Priya Menon"/>
    <s v="Priya Menon"/>
    <s v="Consumer"/>
    <s v="Consumer"/>
    <x v="1"/>
    <s v="East"/>
    <s v="Odisha"/>
    <s v="Bhubaneswar"/>
    <s v="Furniture"/>
    <s v="Furniture"/>
    <s v="Tables"/>
    <s v="Elite Tables 815"/>
    <s v="Second Class"/>
    <s v="Second Class"/>
    <n v="4"/>
    <n v="284.04000000000002"/>
    <m/>
    <n v="0"/>
    <s v="Valid"/>
    <n v="908.93"/>
    <n v="572.08000000000004"/>
    <n v="336.85"/>
    <x v="0"/>
    <s v="Include"/>
    <s v=""/>
    <s v="Completed"/>
    <s v="Completed"/>
    <s v="Include"/>
  </r>
  <r>
    <s v="ORD-2025-10528"/>
    <n v="1"/>
    <s v=""/>
    <s v="01-10-2025"/>
    <d v="2025-10-01T00:00:00"/>
    <s v="2025-10-05"/>
    <d v="2025-10-05T00:00:00"/>
    <s v="Valid"/>
    <n v="4"/>
    <s v="Valid"/>
    <s v="CUST-3419"/>
    <s v="Aditi Sen"/>
    <s v="Aditi Sen"/>
    <s v="Home Office"/>
    <s v="Home Office"/>
    <x v="0"/>
    <s v="North"/>
    <s v="Haryana"/>
    <s v="Gurugram"/>
    <s v="Office Supplies"/>
    <s v="Office Supplies"/>
    <s v="Paper"/>
    <s v="Basic Paper 388"/>
    <s v="First Class"/>
    <s v="First Class"/>
    <n v="5"/>
    <n v="3247.56"/>
    <n v="0.15"/>
    <n v="0.15"/>
    <s v="Valid"/>
    <n v="13802.13"/>
    <n v="10075.93"/>
    <n v="3726.2"/>
    <x v="0"/>
    <s v="Include"/>
    <s v=""/>
    <s v="Completed"/>
    <s v="Completed"/>
    <s v="Include"/>
  </r>
  <r>
    <s v="ORD-2024-10529"/>
    <n v="1"/>
    <s v=""/>
    <s v="2024-10-07"/>
    <d v="2024-10-07T00:00:00"/>
    <s v="09-10-2024"/>
    <d v="2024-10-09T00:00:00"/>
    <s v="Valid"/>
    <n v="2"/>
    <s v="Valid"/>
    <s v="CUST-2390"/>
    <s v="Diya Patel"/>
    <s v="Diya Patel"/>
    <s v="Consumer"/>
    <s v="Consumer"/>
    <x v="2"/>
    <s v="South"/>
    <s v="Tamil Nadu"/>
    <s v="Chennai"/>
    <s v="Office Supplies"/>
    <s v="Office Supplies"/>
    <s v="Binders"/>
    <s v="Eco Binders 855"/>
    <s v="Standard Class"/>
    <s v="Standard Class"/>
    <n v="9"/>
    <n v="3457.09"/>
    <n v="0.05"/>
    <n v="0.05"/>
    <s v="Valid"/>
    <n v="29558.12"/>
    <n v="21302.13"/>
    <n v="8255.99"/>
    <x v="2"/>
    <s v="Include"/>
    <s v=""/>
    <s v="Returned"/>
    <s v="Returned"/>
    <s v="Include"/>
  </r>
  <r>
    <s v="ORD-2024-10530"/>
    <n v="1"/>
    <s v=""/>
    <s v="2024-02-06"/>
    <d v="2024-02-06T00:00:00"/>
    <s v="2024-02-08"/>
    <d v="2024-02-08T00:00:00"/>
    <s v="Valid"/>
    <n v="2"/>
    <s v="Valid"/>
    <s v="CUST-3362"/>
    <s v="Karan Malhotra"/>
    <s v="Karan Malhotra"/>
    <s v="Consumer"/>
    <s v="Consumer"/>
    <x v="1"/>
    <s v="East"/>
    <s v="Jharkhand"/>
    <s v="Ranchi"/>
    <s v="Furniture"/>
    <s v="Furniture"/>
    <s v="Bookcases"/>
    <s v="Classic Bookcases 947"/>
    <s v="Second Class"/>
    <s v="Second Class"/>
    <n v="9"/>
    <n v="1822.25"/>
    <n v="0"/>
    <n v="0"/>
    <s v="Valid"/>
    <n v="16400.25"/>
    <n v="12146.96"/>
    <n v="4253.29"/>
    <x v="0"/>
    <s v="Include"/>
    <s v=""/>
    <s v="Completed"/>
    <s v="Completed"/>
    <s v="Include"/>
  </r>
  <r>
    <s v="ORD-2025-10531"/>
    <n v="1"/>
    <s v=""/>
    <s v="05/30/2025"/>
    <d v="2025-05-30T00:00:00"/>
    <s v="2025-06-01"/>
    <d v="2025-06-01T00:00:00"/>
    <s v="Valid"/>
    <n v="2"/>
    <s v="Valid"/>
    <s v="CUST-8177"/>
    <s v="Rahul Verma"/>
    <s v="Rahul Verma"/>
    <s v="Home Office"/>
    <s v="Home Office"/>
    <x v="2"/>
    <s v="South"/>
    <s v="Tamil Nadu"/>
    <s v="Chennai"/>
    <s v="Office Supplies"/>
    <s v="Office Supplies"/>
    <s v="Binders"/>
    <s v="Eco Binders 352"/>
    <s v="Standard Class"/>
    <s v="Standard Class"/>
    <n v="9"/>
    <n v="1994.51"/>
    <n v="0.05"/>
    <n v="0.05"/>
    <s v="Valid"/>
    <n v="17053.060000000001"/>
    <n v="10742.38"/>
    <n v="6310.68"/>
    <x v="0"/>
    <s v="Include"/>
    <s v=""/>
    <s v="Completed"/>
    <s v="Completed"/>
    <s v="Include"/>
  </r>
  <r>
    <s v="ORD-2024-10532"/>
    <n v="1"/>
    <s v=""/>
    <s v="01 Aug 2024"/>
    <d v="2024-08-01T00:00:00"/>
    <s v="08-08-2024"/>
    <d v="2024-08-08T00:00:00"/>
    <s v="Valid"/>
    <n v="7"/>
    <s v="Valid"/>
    <s v="CUST-6357"/>
    <s v="Diya Patel"/>
    <s v="Diya Patel"/>
    <s v="Small Business"/>
    <s v="Small Business"/>
    <x v="3"/>
    <s v="West"/>
    <s v="Maharashtra"/>
    <s v="Mumbai"/>
    <s v="Office Supplies"/>
    <s v="Office Supplies"/>
    <s v="Storage"/>
    <s v="Pro Storage 364"/>
    <m/>
    <s v="Unknown"/>
    <n v="1"/>
    <n v="442.97"/>
    <n v="0.1"/>
    <n v="0.1"/>
    <s v="Valid"/>
    <n v="398.67"/>
    <n v="311.66000000000003"/>
    <n v="87.01"/>
    <x v="0"/>
    <s v="Include"/>
    <s v=""/>
    <s v="Completed"/>
    <s v="Completed"/>
    <s v="Include"/>
  </r>
  <r>
    <s v="ORD-2025-10533"/>
    <n v="1"/>
    <s v=""/>
    <s v="2025-10-05"/>
    <d v="2025-10-05T00:00:00"/>
    <s v="2025-10-10"/>
    <d v="2025-10-10T00:00:00"/>
    <s v="Valid"/>
    <n v="5"/>
    <s v="Valid"/>
    <s v="CUST-7690"/>
    <s v="Priya Menon"/>
    <s v="Priya Menon"/>
    <s v="Corporate"/>
    <s v="Corporate"/>
    <x v="1"/>
    <s v="East"/>
    <s v="Assam"/>
    <s v="Guwahati"/>
    <s v="Furniture"/>
    <s v="Furniture"/>
    <s v="Tables"/>
    <s v="Classic Tables 213"/>
    <s v="Second Class"/>
    <s v="Second Class"/>
    <n v="9"/>
    <n v="2089.14"/>
    <n v="0.05"/>
    <n v="0.05"/>
    <s v="Valid"/>
    <n v="17862.150000000001"/>
    <n v="9892.2099999999991"/>
    <n v="7969.94"/>
    <x v="3"/>
    <s v="Exclude"/>
    <s v=""/>
    <s v="Cancelled"/>
    <s v="Cancelled"/>
    <s v="Exclude"/>
  </r>
  <r>
    <s v="ORD-2024-10534"/>
    <n v="1"/>
    <s v=""/>
    <s v="25 Aug 2024"/>
    <d v="2024-08-25T00:00:00"/>
    <s v="2024-09-01"/>
    <d v="2024-09-01T00:00:00"/>
    <s v="Valid"/>
    <n v="7"/>
    <s v="Valid"/>
    <s v="CUST-4487"/>
    <s v="Isha Nair"/>
    <s v="Isha Nair"/>
    <s v="Home Office"/>
    <s v="Home Office"/>
    <x v="0"/>
    <s v="North"/>
    <s v="Rajasthan"/>
    <s v="Jaipur"/>
    <s v="Furniture"/>
    <s v="Furniture"/>
    <s v="Tables"/>
    <s v="Smart Tables 659"/>
    <s v="Same Day"/>
    <s v="Same Day"/>
    <n v="6"/>
    <n v="481.3"/>
    <n v="0.25"/>
    <n v="0.25"/>
    <s v="Valid"/>
    <n v="2165.85"/>
    <n v="2124.48"/>
    <n v="430.45"/>
    <x v="0"/>
    <s v="Include"/>
    <s v=""/>
    <s v="Completed"/>
    <s v="Completed"/>
    <s v="Include"/>
  </r>
  <r>
    <s v="ORD-2025-10535"/>
    <n v="1"/>
    <s v=""/>
    <s v="04/27/2025"/>
    <d v="2025-04-27T00:00:00"/>
    <s v="2025-05-05"/>
    <d v="2025-05-05T00:00:00"/>
    <s v="Valid"/>
    <n v="8"/>
    <s v="Valid"/>
    <s v="CUST-8204"/>
    <s v="Rohan Mehta"/>
    <s v="Rohan Mehta"/>
    <s v="Home Office"/>
    <s v="Home Office"/>
    <x v="1"/>
    <s v="East"/>
    <s v="Bihar"/>
    <s v="Patna"/>
    <s v="Technology"/>
    <s v="Technology"/>
    <s v="Accessories"/>
    <s v="Classic Accessories 325"/>
    <s v="Second Class"/>
    <s v="Second Class"/>
    <n v="4"/>
    <n v="3963.39"/>
    <n v="0.1"/>
    <n v="0.1"/>
    <s v="Valid"/>
    <n v="14268.2"/>
    <n v="11705.3"/>
    <n v="2562.9"/>
    <x v="2"/>
    <s v="Include"/>
    <s v=""/>
    <s v="Returned"/>
    <s v="Returned"/>
    <s v="Include"/>
  </r>
  <r>
    <s v="ORD-2024-10536"/>
    <n v="1"/>
    <s v=""/>
    <s v="19-05-2024"/>
    <d v="2024-05-19T00:00:00"/>
    <s v="21 May 2024"/>
    <d v="2024-05-21T00:00:00"/>
    <s v="Valid"/>
    <n v="2"/>
    <s v="Valid"/>
    <s v="CUST-1729"/>
    <s v="Diya Patel"/>
    <s v="Diya Patel"/>
    <s v="Small Business"/>
    <s v="Small Business"/>
    <x v="3"/>
    <s v="West"/>
    <s v="Maharashtra"/>
    <s v="Mumbai"/>
    <s v="Technology"/>
    <s v="Technology"/>
    <s v="Copiers"/>
    <s v="Eco Copiers 243"/>
    <s v="First Class"/>
    <s v="First Class"/>
    <n v="3"/>
    <n v="4000.98"/>
    <n v="0.2"/>
    <n v="0.2"/>
    <s v="Valid"/>
    <n v="9602.35"/>
    <n v="7387.57"/>
    <n v="2214.7800000000002"/>
    <x v="0"/>
    <s v="Include"/>
    <s v=""/>
    <s v="Completed"/>
    <s v="Completed"/>
    <s v="Include"/>
  </r>
  <r>
    <s v="ORD-2025-10537"/>
    <n v="1"/>
    <s v=""/>
    <s v="2025-04-10"/>
    <d v="2025-04-10T00:00:00"/>
    <s v="2025-04-17"/>
    <d v="2025-04-17T00:00:00"/>
    <s v="Valid"/>
    <n v="7"/>
    <s v="Valid"/>
    <s v="CUST-4269"/>
    <s v="Ananya Rao"/>
    <s v="Ananya Rao"/>
    <s v="Small Business"/>
    <s v="Small Business"/>
    <x v="3"/>
    <s v="West"/>
    <s v="Rajasthan"/>
    <s v="Udaipur"/>
    <s v="Furniture"/>
    <s v="Furniture"/>
    <s v="Chairs"/>
    <s v="Elite Chairs 777"/>
    <s v="First Class"/>
    <s v="First Class"/>
    <n v="7"/>
    <n v="3788.9"/>
    <n v="0.25"/>
    <n v="0.25"/>
    <s v="Valid"/>
    <n v="19891.72"/>
    <n v="12295.76"/>
    <n v="7595.96"/>
    <x v="3"/>
    <s v="Exclude"/>
    <s v=""/>
    <s v="Cancelled"/>
    <s v="Cancelled"/>
    <s v="Exclude"/>
  </r>
  <r>
    <s v="ORD-2024-10538"/>
    <n v="1"/>
    <s v=""/>
    <s v="2024-01-22"/>
    <d v="2024-01-22T00:00:00"/>
    <s v="2024-01-30"/>
    <d v="2024-01-30T00:00:00"/>
    <s v="Valid"/>
    <n v="8"/>
    <s v="Valid"/>
    <s v="CUST-1370"/>
    <s v="Ananya Rao"/>
    <s v="Ananya Rao"/>
    <s v="Small Business"/>
    <s v="Small Business"/>
    <x v="0"/>
    <s v="North"/>
    <s v="Haryana"/>
    <s v="Gurugram"/>
    <s v="Office Supplies"/>
    <s v="Office Supplies"/>
    <s v="Art"/>
    <s v="Classic Art 772"/>
    <s v="Same Day"/>
    <s v="Same Day"/>
    <n v="3"/>
    <n v="676.37"/>
    <n v="0.05"/>
    <n v="0.05"/>
    <s v="Valid"/>
    <n v="1927.65"/>
    <n v="1460.6"/>
    <n v="467.05"/>
    <x v="3"/>
    <s v="Exclude"/>
    <s v=""/>
    <s v="Cancelled"/>
    <s v="Cancelled"/>
    <s v="Exclude"/>
  </r>
  <r>
    <s v="ORD-2024-10539"/>
    <n v="1"/>
    <s v=""/>
    <s v="25-09-2024"/>
    <d v="2024-09-25T00:00:00"/>
    <s v="01-10-2024"/>
    <d v="2024-10-01T00:00:00"/>
    <s v="Valid"/>
    <n v="6"/>
    <s v="Valid"/>
    <s v="CUST-5381"/>
    <s v="Diya Patel"/>
    <s v="Diya Patel"/>
    <s v="Small Business"/>
    <s v="Small Business"/>
    <x v="1"/>
    <s v="East"/>
    <s v="Jharkhand"/>
    <s v="Ranchi"/>
    <s v="Furniture"/>
    <s v="Furniture"/>
    <s v="Tables"/>
    <s v="Elite Tables 888"/>
    <s v="Second Class"/>
    <s v="Second Class"/>
    <n v="9"/>
    <n v="3908.6"/>
    <n v="0.15"/>
    <n v="0.15"/>
    <s v="Valid"/>
    <n v="29900.79"/>
    <n v="24650.67"/>
    <n v="5250.12"/>
    <x v="0"/>
    <s v="Include"/>
    <s v=""/>
    <s v="Completed"/>
    <s v="Completed"/>
    <s v="Include"/>
  </r>
  <r>
    <s v="ORD-2025-10540"/>
    <n v="1"/>
    <s v=""/>
    <s v="07/04/2025"/>
    <d v="2025-07-04T00:00:00"/>
    <s v="2025-07-04"/>
    <d v="2025-07-04T00:00:00"/>
    <s v="Valid"/>
    <n v="0"/>
    <s v="Valid"/>
    <s v="CUST-3694"/>
    <s v="Mira Das"/>
    <s v="Mira Das"/>
    <s v="Small Business"/>
    <s v="Small Business"/>
    <x v="2"/>
    <s v="South"/>
    <s v="Tamil Nadu"/>
    <s v="Chennai"/>
    <s v="Furniture"/>
    <s v="Furniture"/>
    <s v="Chairs"/>
    <s v="Classic Chairs 666"/>
    <s v="Standard Class"/>
    <s v="Standard Class"/>
    <n v="3"/>
    <n v="705.35"/>
    <n v="0.1"/>
    <n v="0.1"/>
    <s v="Valid"/>
    <n v="1904.45"/>
    <n v="1316.54"/>
    <n v="587.91"/>
    <x v="0"/>
    <s v="Exclude"/>
    <s v=""/>
    <s v="Cancelled"/>
    <s v="Cancelled"/>
    <s v="Exclude"/>
  </r>
  <r>
    <s v="ORD-2024-10541"/>
    <n v="1"/>
    <s v=""/>
    <s v="26-02-2024"/>
    <d v="2024-02-26T00:00:00"/>
    <s v="23 Feb 2024"/>
    <d v="2024-02-23T00:00:00"/>
    <s v="Invalid Shipping Record"/>
    <n v="-3"/>
    <s v="Invalid Shipping Record"/>
    <s v="CUST-7563"/>
    <s v="Kabir Singh"/>
    <s v="Kabir Singh"/>
    <s v="Consumer"/>
    <s v="Consumer"/>
    <x v="3"/>
    <s v="West"/>
    <s v="Gujarat"/>
    <s v="Ahmedabad"/>
    <s v="Furniture"/>
    <s v="Furniture"/>
    <s v="Furnishings"/>
    <s v="Basic Furnishings 350"/>
    <s v="Standard Class"/>
    <s v="Standard Class"/>
    <n v="7"/>
    <n v="3852.07"/>
    <n v="0.2"/>
    <n v="0.2"/>
    <s v="Valid"/>
    <n v="21571.59"/>
    <n v="17118.07"/>
    <n v="4453.5200000000004"/>
    <x v="0"/>
    <s v="Include"/>
    <s v=""/>
    <s v="Completed"/>
    <s v="Completed"/>
    <s v="Include"/>
  </r>
  <r>
    <s v="ORD-2025-10542"/>
    <n v="1"/>
    <s v=""/>
    <s v="08-07-2025"/>
    <d v="2025-07-08T00:00:00"/>
    <s v="2025-07-09"/>
    <d v="2025-07-09T00:00:00"/>
    <s v="Valid"/>
    <n v="1"/>
    <s v="Valid"/>
    <s v="CUST-4188"/>
    <s v="Sneha Kapoor"/>
    <s v="Sneha Kapoor"/>
    <s v="Consumer"/>
    <s v="Consumer"/>
    <x v="3"/>
    <s v="West"/>
    <s v="Maharashtra"/>
    <s v="Mumbai"/>
    <s v="Technology"/>
    <s v="Technology"/>
    <s v="Copiers"/>
    <s v="Elite Copiers 831"/>
    <s v="Same Day"/>
    <s v="Same Day"/>
    <n v="3"/>
    <n v="2880.56"/>
    <n v="0"/>
    <n v="0"/>
    <s v="Valid"/>
    <n v="8641.68"/>
    <n v="5747.09"/>
    <n v="2894.59"/>
    <x v="0"/>
    <s v="Include"/>
    <s v=""/>
    <s v="Returned"/>
    <s v="Returned"/>
    <s v="Include"/>
  </r>
  <r>
    <s v="ORD-2024-10543"/>
    <n v="1"/>
    <s v=""/>
    <s v="09/17/2024"/>
    <d v="2024-09-17T00:00:00"/>
    <s v="2024-09-23"/>
    <d v="2024-09-23T00:00:00"/>
    <s v="Valid"/>
    <n v="6"/>
    <s v="Valid"/>
    <s v="CUST-9376"/>
    <s v="Rahul Verma"/>
    <s v="Rahul Verma"/>
    <s v="Home Office"/>
    <s v="Home Office"/>
    <x v="2"/>
    <s v="South"/>
    <s v="Kerala"/>
    <s v="Kochi"/>
    <s v="Furniture"/>
    <s v="Furniture"/>
    <s v="Bookcases"/>
    <s v="Eco Bookcases 759"/>
    <s v="Second Class"/>
    <s v="Second Class"/>
    <n v="3"/>
    <n v="4067.62"/>
    <n v="0.2"/>
    <n v="0.2"/>
    <s v="Valid"/>
    <n v="9988.5300000000007"/>
    <n v="8368.24"/>
    <n v="1394.05"/>
    <x v="0"/>
    <s v="Exclude"/>
    <s v=""/>
    <s v="Cancelled"/>
    <s v="Cancelled"/>
    <s v="Exclude"/>
  </r>
  <r>
    <s v="ORD-2024-10544"/>
    <n v="1"/>
    <s v=""/>
    <s v="2024-07-14"/>
    <d v="2024-07-14T00:00:00"/>
    <s v="20-07-2024"/>
    <d v="2024-07-20T00:00:00"/>
    <s v="Valid"/>
    <n v="6"/>
    <s v="Valid"/>
    <s v="CUST-9094"/>
    <s v="Mira Das"/>
    <s v="Mira Das"/>
    <s v="Consumer"/>
    <s v="Consumer"/>
    <x v="1"/>
    <s v="East"/>
    <s v="Bihar"/>
    <s v="Patna"/>
    <s v="Technology"/>
    <s v="Technology"/>
    <s v="Copiers"/>
    <s v="Max Copiers 440"/>
    <s v="Same Day"/>
    <s v="Same Day"/>
    <n v="1"/>
    <n v="492.67"/>
    <n v="0.15"/>
    <n v="0.15"/>
    <s v="Valid"/>
    <n v="418.77"/>
    <n v="313.72000000000003"/>
    <n v="105.05"/>
    <x v="0"/>
    <s v="Include"/>
    <s v=""/>
    <s v="Completed"/>
    <s v="Completed"/>
    <s v="Include"/>
  </r>
  <r>
    <s v="ORD-2025-10545"/>
    <n v="1"/>
    <s v=""/>
    <s v="2025-01-29"/>
    <d v="2025-01-29T00:00:00"/>
    <s v="02/05/2025"/>
    <d v="2025-02-05T00:00:00"/>
    <s v="Valid"/>
    <n v="7"/>
    <s v="Valid"/>
    <s v="CUST-2366"/>
    <s v="Ananya Rao"/>
    <s v="Ananya Rao"/>
    <s v="Consumer"/>
    <s v="Consumer"/>
    <x v="2"/>
    <s v="South"/>
    <s v="Kerala"/>
    <s v="Kochi"/>
    <s v="Office Supplies"/>
    <s v="Office Supplies"/>
    <s v="Art"/>
    <s v="Smart Art 201"/>
    <s v="Same Day"/>
    <s v="Same Day"/>
    <n v="8"/>
    <n v="3643.62"/>
    <n v="0.25"/>
    <n v="0.25"/>
    <s v="Valid"/>
    <n v="21861.72"/>
    <n v="18464.34"/>
    <n v="3397.38"/>
    <x v="0"/>
    <s v="Exclude"/>
    <s v=""/>
    <s v="Cancelled"/>
    <s v="Cancelled"/>
    <s v="Exclude"/>
  </r>
  <r>
    <s v="ORD-2024-10546"/>
    <n v="1"/>
    <s v=""/>
    <s v="05/27/2024"/>
    <d v="2024-05-27T00:00:00"/>
    <s v="30 May 2024"/>
    <d v="2024-05-30T00:00:00"/>
    <s v="Valid"/>
    <n v="3"/>
    <s v="Valid"/>
    <s v="CUST-7168"/>
    <s v="Kabir Singh"/>
    <s v="Kabir Singh"/>
    <s v="Small Business"/>
    <s v="Small Business"/>
    <x v="1"/>
    <s v="East"/>
    <s v="Jharkhand"/>
    <s v="Ranchi"/>
    <s v="Office Supplies"/>
    <s v="Office Supplies"/>
    <s v="Storage"/>
    <s v="Classic Storage 755"/>
    <s v="Same Day"/>
    <s v="Same Day"/>
    <n v="7"/>
    <n v="2900.86"/>
    <n v="0.15"/>
    <n v="0.15"/>
    <s v="Valid"/>
    <n v="17260.12"/>
    <n v="13513.51"/>
    <n v="3746.61"/>
    <x v="0"/>
    <s v="Include"/>
    <s v=""/>
    <s v="Completed"/>
    <s v="Completed"/>
    <s v="Include"/>
  </r>
  <r>
    <s v="ORD-2025-10547"/>
    <n v="1"/>
    <s v=""/>
    <s v="2025-08-14"/>
    <d v="2025-08-14T00:00:00"/>
    <s v="22 Aug 2025"/>
    <d v="2025-08-22T00:00:00"/>
    <s v="Valid"/>
    <n v="8"/>
    <s v="Valid"/>
    <s v="CUST-8157"/>
    <s v="Arjun Bose"/>
    <s v="Arjun Bose"/>
    <s v="Corporate"/>
    <s v="Corporate"/>
    <x v="3"/>
    <s v="West"/>
    <s v="Gujarat"/>
    <s v="Ahmedabad"/>
    <s v="Office Supplies"/>
    <s v="Office Supplies"/>
    <s v="Paper"/>
    <s v="Prime Paper 143"/>
    <s v="First Class"/>
    <s v="First Class"/>
    <n v="5"/>
    <n v="2567.37"/>
    <n v="0.15"/>
    <n v="0.15"/>
    <s v="Valid"/>
    <n v="10911.32"/>
    <n v="6966.44"/>
    <n v="4395.17"/>
    <x v="0"/>
    <s v="Include"/>
    <s v=""/>
    <s v="Completed"/>
    <s v="Completed"/>
    <s v="Include"/>
  </r>
  <r>
    <s v="ORD-2024-10548"/>
    <n v="1"/>
    <s v=""/>
    <s v="16 May 2024"/>
    <d v="2024-05-16T00:00:00"/>
    <s v="23 May 2024"/>
    <d v="2024-05-23T00:00:00"/>
    <s v="Valid"/>
    <n v="7"/>
    <s v="Valid"/>
    <s v="CUST-9146"/>
    <s v="Neha Gupta"/>
    <s v="Neha Gupta"/>
    <s v="Small Business"/>
    <s v="Small Business"/>
    <x v="0"/>
    <s v="North"/>
    <s v="Uttar Pradesh"/>
    <s v="Noida"/>
    <s v="Technology"/>
    <s v="Technology"/>
    <s v="Copiers"/>
    <s v="Max Copiers 607"/>
    <s v="Standard Class"/>
    <s v="Standard Class"/>
    <n v="9"/>
    <n v="3722.09"/>
    <n v="0.1"/>
    <n v="0.1"/>
    <s v="Valid"/>
    <n v="30148.93"/>
    <n v="25155.07"/>
    <n v="4993.8599999999997"/>
    <x v="0"/>
    <s v="Include"/>
    <s v=""/>
    <s v="Completed"/>
    <s v="Completed"/>
    <s v="Include"/>
  </r>
  <r>
    <s v="ORD-2024-10549"/>
    <n v="1"/>
    <s v=""/>
    <s v="29 May 2024"/>
    <d v="2024-05-29T00:00:00"/>
    <s v="29-05-2024"/>
    <d v="2024-05-29T00:00:00"/>
    <s v="Valid"/>
    <n v="0"/>
    <s v="Valid"/>
    <s v="CUST-5129"/>
    <s v="Rohan Mehta"/>
    <s v="Rohan Mehta"/>
    <s v="Corporate"/>
    <s v="Corporate"/>
    <x v="1"/>
    <s v="East"/>
    <s v="Bihar"/>
    <s v="Patna"/>
    <s v="Furniture"/>
    <s v="Furniture"/>
    <s v="Bookcases"/>
    <s v="Prime Bookcases 402"/>
    <s v="Same Day"/>
    <s v="Same Day"/>
    <n v="1"/>
    <n v="1072.01"/>
    <n v="0"/>
    <n v="0"/>
    <s v="Valid"/>
    <n v="1072.01"/>
    <n v="852.62"/>
    <n v="219.39"/>
    <x v="2"/>
    <s v="Exclude"/>
    <s v=""/>
    <s v="Cancelled"/>
    <s v="Cancelled"/>
    <s v="Exclude"/>
  </r>
  <r>
    <s v="ORD-2025-10550"/>
    <n v="1"/>
    <s v=""/>
    <s v="10/11/2025"/>
    <d v="2025-10-11T00:00:00"/>
    <s v="13 Oct 2025"/>
    <d v="2025-10-13T00:00:00"/>
    <s v="Valid"/>
    <n v="2"/>
    <s v="Valid"/>
    <s v="CUST-6028"/>
    <s v="Mira Das"/>
    <s v="Mira Das"/>
    <s v="Corporate"/>
    <s v="Corporate"/>
    <x v="2"/>
    <s v="South"/>
    <s v="Telangana"/>
    <s v="Hyderabad"/>
    <s v="Office Supplies"/>
    <s v="Office Supplies"/>
    <s v="Art"/>
    <s v="Pro Art 287"/>
    <s v="Second Class"/>
    <s v="Second Class"/>
    <n v="3"/>
    <n v="3804.27"/>
    <n v="0.1"/>
    <n v="0.1"/>
    <s v="Valid"/>
    <n v="10271.530000000001"/>
    <n v="8272.24"/>
    <n v="1999.29"/>
    <x v="0"/>
    <s v="Include"/>
    <s v=""/>
    <s v="Completed"/>
    <s v="Completed"/>
    <s v="Include"/>
  </r>
  <r>
    <s v="ORD-2024-10551"/>
    <n v="1"/>
    <s v=""/>
    <s v="02-08-2024"/>
    <d v="2024-08-02T00:00:00"/>
    <s v="08/10/2024"/>
    <d v="2024-08-10T00:00:00"/>
    <s v="Valid"/>
    <n v="8"/>
    <s v="Valid"/>
    <s v="CUST-8687"/>
    <s v="Mira Das"/>
    <s v="Mira Das"/>
    <s v="Home Office"/>
    <s v="Home Office"/>
    <x v="1"/>
    <s v="East"/>
    <s v="Odisha"/>
    <s v="Bhubaneswar"/>
    <s v="Technology"/>
    <s v="Technology"/>
    <s v="Accessories"/>
    <s v="Max Accessories 591"/>
    <s v="Standard Class"/>
    <s v="Standard Class"/>
    <n v="6"/>
    <n v="2126.44"/>
    <n v="0.2"/>
    <n v="0.2"/>
    <s v="Valid"/>
    <n v="10206.91"/>
    <n v="6764.53"/>
    <n v="3442.38"/>
    <x v="0"/>
    <s v="Include"/>
    <s v=""/>
    <s v="Completed"/>
    <s v="Completed"/>
    <s v="Include"/>
  </r>
  <r>
    <s v="ORD-2024-10552"/>
    <n v="1"/>
    <s v=""/>
    <s v="27-02-2024"/>
    <d v="2024-02-27T00:00:00"/>
    <s v="2024-02-27"/>
    <d v="2024-02-27T00:00:00"/>
    <s v="Valid"/>
    <n v="0"/>
    <s v="Valid"/>
    <s v="CUST-8172"/>
    <s v="Sneha Kapoor"/>
    <s v="Sneha Kapoor"/>
    <s v="Consumer"/>
    <s v="Consumer"/>
    <x v="1"/>
    <s v="East"/>
    <s v="Jharkhand"/>
    <s v="Ranchi"/>
    <s v="Furniture"/>
    <s v="Furniture"/>
    <s v="Chairs"/>
    <s v="Elite Chairs 314"/>
    <s v="Second Class"/>
    <s v="Second Class"/>
    <n v="3"/>
    <n v="3148.09"/>
    <n v="0.15"/>
    <n v="0.15"/>
    <s v="Valid"/>
    <n v="8027.63"/>
    <n v="5496.09"/>
    <n v="2531.54"/>
    <x v="0"/>
    <s v="Include"/>
    <s v=""/>
    <s v="Completed"/>
    <s v="Completed"/>
    <s v="Include"/>
  </r>
  <r>
    <s v="ORD-2025-10553"/>
    <n v="1"/>
    <s v=""/>
    <s v="24-01-2025"/>
    <d v="2025-01-24T00:00:00"/>
    <s v="30 Jan 2025"/>
    <d v="2025-01-30T00:00:00"/>
    <s v="Valid"/>
    <n v="6"/>
    <s v="Valid"/>
    <s v="CUST-8861"/>
    <s v="Ananya Rao"/>
    <s v="Ananya Rao"/>
    <s v="Corporate"/>
    <s v="Corporate"/>
    <x v="1"/>
    <s v="East"/>
    <s v="West Bengal"/>
    <s v="Kolkata"/>
    <s v="Technology"/>
    <s v="Technology"/>
    <s v="Copiers"/>
    <s v="Pro Copiers 246"/>
    <s v="Standard Class"/>
    <s v="Standard Class"/>
    <n v="8"/>
    <n v="312.52999999999997"/>
    <s v="70%"/>
    <s v="70%"/>
    <s v="Valid"/>
    <n v="1875.18"/>
    <n v="1579.17"/>
    <n v="296.01"/>
    <x v="0"/>
    <s v="Include"/>
    <s v=""/>
    <s v="Completed"/>
    <s v="Completed"/>
    <s v="Include"/>
  </r>
  <r>
    <s v="ORD-2025-10554"/>
    <n v="1"/>
    <s v=""/>
    <s v="04/25/2025"/>
    <d v="2025-04-25T00:00:00"/>
    <s v="2025-04-28"/>
    <d v="2025-04-28T00:00:00"/>
    <s v="Valid"/>
    <n v="3"/>
    <s v="Valid"/>
    <s v="CUST-9241"/>
    <s v="Aarav Sharma"/>
    <s v="Aarav Sharma"/>
    <s v="Small Business"/>
    <s v="Small Business"/>
    <x v="3"/>
    <s v="West"/>
    <s v="Gujarat"/>
    <s v="Ahmedabad"/>
    <s v="Office Supplies"/>
    <s v="Office Supplies"/>
    <s v="Storage"/>
    <s v="Pro Storage 128"/>
    <s v="First Class"/>
    <s v="First Class"/>
    <n v="9"/>
    <n v="1294.1099999999999"/>
    <n v="0.25"/>
    <n v="0.25"/>
    <s v="Valid"/>
    <n v="8735.24"/>
    <n v="6620.07"/>
    <n v="2115.17"/>
    <x v="0"/>
    <s v="Include"/>
    <s v=""/>
    <s v="Completed"/>
    <s v="Completed"/>
    <s v="Include"/>
  </r>
  <r>
    <s v="ORD-2024-10555"/>
    <n v="1"/>
    <s v=""/>
    <s v="2024-10-12"/>
    <d v="2024-10-12T00:00:00"/>
    <s v="17 Oct 2024"/>
    <d v="2024-10-17T00:00:00"/>
    <s v="Valid"/>
    <n v="5"/>
    <s v="Valid"/>
    <s v="CUST-2126"/>
    <s v="Arjun Bose"/>
    <s v="Arjun Bose"/>
    <s v="Consumer"/>
    <s v="Consumer"/>
    <x v="4"/>
    <s v="Unknown"/>
    <s v="Jharkhand"/>
    <s v="Ranchi"/>
    <s v="Furniture"/>
    <s v="Furniture"/>
    <s v="Furnishings"/>
    <s v="Prime Furnishings 892"/>
    <s v="Standard Class"/>
    <s v="Standard Class"/>
    <n v="4"/>
    <n v="1071.22"/>
    <n v="0.05"/>
    <n v="0.05"/>
    <s v="Valid"/>
    <n v="4070.64"/>
    <n v="2831.62"/>
    <n v="1239.02"/>
    <x v="0"/>
    <s v="Include"/>
    <s v=""/>
    <s v="Completed"/>
    <s v="Completed"/>
    <s v="Include"/>
  </r>
  <r>
    <s v="ORD-2025-10556"/>
    <n v="1"/>
    <s v=""/>
    <s v="04-02-2025"/>
    <d v="2025-02-04T00:00:00"/>
    <s v="10 Feb 2025"/>
    <d v="2025-02-10T00:00:00"/>
    <s v="Valid"/>
    <n v="6"/>
    <s v="Valid"/>
    <s v="CUST-7513"/>
    <s v="Ananya Rao"/>
    <s v="Ananya Rao"/>
    <s v="Small Business"/>
    <s v="Small Business"/>
    <x v="2"/>
    <s v="South"/>
    <s v="Telangana"/>
    <s v="Hyderabad"/>
    <s v="Office Supplies"/>
    <s v="Office Supplies"/>
    <s v="Storage"/>
    <s v="Prime Storage 689"/>
    <s v="Standard Class"/>
    <s v="Standard Class"/>
    <n v="6"/>
    <n v="1042.8"/>
    <n v="0.05"/>
    <n v="0.05"/>
    <s v="Valid"/>
    <n v="5943.96"/>
    <n v="3604.14"/>
    <n v="2339.8200000000002"/>
    <x v="0"/>
    <s v="Include"/>
    <s v=""/>
    <s v="Completed"/>
    <s v="Completed"/>
    <s v="Include"/>
  </r>
  <r>
    <s v="ORD-2024-10557"/>
    <n v="1"/>
    <s v=""/>
    <s v="23 Jun 2024"/>
    <d v="2024-06-23T00:00:00"/>
    <s v="2024-06-29"/>
    <d v="2024-06-29T00:00:00"/>
    <s v="Valid"/>
    <n v="6"/>
    <s v="Valid"/>
    <s v="CUST-1992"/>
    <s v="Neha Gupta"/>
    <s v="Neha Gupta"/>
    <s v="Consumer"/>
    <s v="Consumer"/>
    <x v="0"/>
    <s v="North"/>
    <s v="Haryana"/>
    <s v="Gurugram"/>
    <s v="Furniture"/>
    <s v="Furniture"/>
    <s v="Tables"/>
    <s v="Classic Tables 769"/>
    <s v="First Class"/>
    <s v="First Class"/>
    <n v="1"/>
    <n v="4426.66"/>
    <n v="0"/>
    <n v="0"/>
    <s v="Valid"/>
    <n v="4426.66"/>
    <n v="3035.2"/>
    <n v="1816.23"/>
    <x v="0"/>
    <s v="Include"/>
    <s v=""/>
    <s v="Returned"/>
    <s v="Returned"/>
    <s v="Include"/>
  </r>
  <r>
    <s v="ORD-2024-10558"/>
    <n v="1"/>
    <s v=""/>
    <s v="2024-05-08"/>
    <d v="2024-05-08T00:00:00"/>
    <s v="14-05-2024"/>
    <d v="2024-05-14T00:00:00"/>
    <s v="Valid"/>
    <n v="6"/>
    <s v="Valid"/>
    <s v="CUST-8848"/>
    <s v="Vikram Iyer"/>
    <s v="Vikram Iyer"/>
    <s v="Home Office"/>
    <s v="Home Office"/>
    <x v="0"/>
    <s v="North"/>
    <s v="Haryana"/>
    <s v="Gurugram"/>
    <s v="Technology"/>
    <s v="Technology"/>
    <s v="Phones"/>
    <s v="Prime Phones 503"/>
    <s v="First Class"/>
    <s v="First Class"/>
    <n v="9"/>
    <n v="3769.46"/>
    <n v="0.05"/>
    <n v="0.05"/>
    <s v="Valid"/>
    <n v="32228.880000000001"/>
    <n v="24971.360000000001"/>
    <n v="7257.52"/>
    <x v="0"/>
    <s v="Exclude"/>
    <s v=""/>
    <s v="Cancelled"/>
    <s v="Cancelled"/>
    <s v="Exclude"/>
  </r>
  <r>
    <s v="ORD-2025-10559"/>
    <n v="1"/>
    <s v=""/>
    <s v="2025-09-04"/>
    <d v="2025-09-04T00:00:00"/>
    <s v="09/04/2025"/>
    <d v="2025-09-04T00:00:00"/>
    <s v="Valid"/>
    <n v="0"/>
    <s v="Valid"/>
    <s v="CUST-9368"/>
    <s v="Aditi Sen"/>
    <s v="Aditi Sen"/>
    <s v="Corporate"/>
    <s v="Corporate"/>
    <x v="0"/>
    <s v="North"/>
    <s v="Punjab"/>
    <s v="Ludhiana"/>
    <s v="Technology"/>
    <s v="Technology"/>
    <s v="Machines"/>
    <s v="Basic Machines 136"/>
    <s v="First Class"/>
    <s v="First Class"/>
    <n v="8"/>
    <n v="3079.95"/>
    <n v="0.2"/>
    <n v="0.2"/>
    <s v="Valid"/>
    <n v="19711.68"/>
    <n v="14461.8"/>
    <n v="5249.88"/>
    <x v="0"/>
    <s v="Include"/>
    <s v=""/>
    <s v="Completed"/>
    <s v="Completed"/>
    <s v="Include"/>
  </r>
  <r>
    <s v="ORD-2025-10560"/>
    <n v="1"/>
    <s v=""/>
    <s v="30 Sep 2025"/>
    <d v="2025-09-30T00:00:00"/>
    <s v="2025-10-07"/>
    <d v="2025-10-07T00:00:00"/>
    <s v="Valid"/>
    <n v="7"/>
    <s v="Valid"/>
    <s v="CUST-6797"/>
    <s v="Diya Patel"/>
    <s v="Diya Patel"/>
    <s v="Corporate"/>
    <s v="Corporate"/>
    <x v="1"/>
    <s v="East"/>
    <s v="Bihar"/>
    <s v="Patna"/>
    <s v="Technology"/>
    <s v="Technology"/>
    <s v="Copiers"/>
    <s v="Basic Copiers 512"/>
    <s v="Second Class"/>
    <s v="Second Class"/>
    <n v="5"/>
    <n v="3277.82"/>
    <n v="0.1"/>
    <n v="0.1"/>
    <s v="Valid"/>
    <n v="14750.19"/>
    <n v="9482.58"/>
    <n v="5267.61"/>
    <x v="0"/>
    <s v="Include"/>
    <s v=""/>
    <s v="Returned"/>
    <s v="Returned"/>
    <s v="Include"/>
  </r>
  <r>
    <s v="ORD-2024-10561"/>
    <n v="1"/>
    <s v=""/>
    <s v="2024-01-16"/>
    <d v="2024-01-16T00:00:00"/>
    <s v="22-01-2024"/>
    <d v="2024-01-22T00:00:00"/>
    <s v="Valid"/>
    <n v="6"/>
    <s v="Valid"/>
    <s v="CUST-9333"/>
    <s v="Arjun Bose"/>
    <s v="Arjun Bose"/>
    <s v="Consumer"/>
    <s v="Consumer"/>
    <x v="3"/>
    <s v="West"/>
    <s v="Goa"/>
    <s v="Panaji"/>
    <s v="Office Supplies"/>
    <s v="Office Supplies"/>
    <s v="Storage"/>
    <s v="Smart Storage 767"/>
    <s v="Standard Class"/>
    <s v="Standard Class"/>
    <n v="4"/>
    <n v="282.52999999999997"/>
    <n v="0"/>
    <n v="0"/>
    <s v="Valid"/>
    <n v="1130.1199999999999"/>
    <n v="848.62"/>
    <n v="281.5"/>
    <x v="0"/>
    <s v="Exclude"/>
    <s v=""/>
    <s v="Cancelled"/>
    <s v="Cancelled"/>
    <s v="Exclude"/>
  </r>
  <r>
    <s v="ORD-2025-10562"/>
    <n v="1"/>
    <s v=""/>
    <s v="2025-07-14"/>
    <d v="2025-07-14T00:00:00"/>
    <s v="18 Jul 2025"/>
    <d v="2025-07-18T00:00:00"/>
    <s v="Valid"/>
    <n v="4"/>
    <s v="Valid"/>
    <s v="CUST-6654"/>
    <s v="Aditi Sen"/>
    <s v="Aditi Sen"/>
    <s v="Consumer"/>
    <s v="Consumer"/>
    <x v="0"/>
    <s v="North"/>
    <s v="Punjab"/>
    <s v="Ludhiana"/>
    <s v="Technology"/>
    <s v="Technology"/>
    <s v="Copiers"/>
    <s v="Eco Copiers 954"/>
    <s v="First Class"/>
    <s v="First Class"/>
    <n v="4"/>
    <n v="725.22"/>
    <n v="0"/>
    <n v="0"/>
    <s v="Valid"/>
    <n v="2900.88"/>
    <n v="2391.85"/>
    <n v="509.03"/>
    <x v="2"/>
    <s v="Include"/>
    <s v=""/>
    <s v="Returned"/>
    <s v="Returned"/>
    <s v="Include"/>
  </r>
  <r>
    <s v="ORD-2024-10563"/>
    <n v="1"/>
    <s v=""/>
    <s v="10 May 2024"/>
    <d v="2024-05-10T00:00:00"/>
    <s v="16 May 2024"/>
    <d v="2024-05-16T00:00:00"/>
    <s v="Valid"/>
    <n v="6"/>
    <s v="Valid"/>
    <s v="CUST-8622"/>
    <s v="Karan Malhotra"/>
    <s v="Karan Malhotra"/>
    <s v="Consumer"/>
    <s v="Consumer"/>
    <x v="0"/>
    <s v="North"/>
    <s v="Punjab"/>
    <s v="Ludhiana"/>
    <s v="Office Supplies"/>
    <s v="Office Supplies"/>
    <s v="Binders"/>
    <s v="Elite Binders 143"/>
    <s v="Same Day"/>
    <s v="Same Day"/>
    <n v="7"/>
    <n v="121.54"/>
    <n v="0.2"/>
    <n v="0.2"/>
    <s v="Valid"/>
    <n v="680.62"/>
    <n v="463.49"/>
    <n v="217.13"/>
    <x v="3"/>
    <s v="Exclude"/>
    <s v=""/>
    <s v="Returned"/>
    <s v="Returned"/>
    <s v="Include"/>
  </r>
  <r>
    <s v="ORD-2024-10564"/>
    <n v="1"/>
    <s v=""/>
    <s v="05/06/2024"/>
    <d v="2024-05-06T00:00:00"/>
    <s v="12-05-2024"/>
    <d v="2024-05-12T00:00:00"/>
    <s v="Valid"/>
    <n v="6"/>
    <s v="Valid"/>
    <s v="CUST-8776"/>
    <s v="Arjun Bose"/>
    <s v="Arjun Bose"/>
    <s v="Corporate"/>
    <s v="Corporate"/>
    <x v="3"/>
    <s v="West"/>
    <s v="Goa"/>
    <s v="Panaji"/>
    <s v="Furniture"/>
    <s v="Furniture"/>
    <s v="Tables"/>
    <s v="Classic Tables 560"/>
    <s v="Standard Class"/>
    <s v="Standard Class"/>
    <n v="9"/>
    <n v="790.97"/>
    <n v="0.2"/>
    <n v="0.2"/>
    <s v="Valid"/>
    <n v="5694.98"/>
    <n v="4618.33"/>
    <n v="1076.6500000000001"/>
    <x v="2"/>
    <s v="Exclude"/>
    <s v=""/>
    <s v="Cancelled"/>
    <s v="Cancelled"/>
    <s v="Exclude"/>
  </r>
  <r>
    <s v="ORD-2024-10565"/>
    <n v="1"/>
    <s v=""/>
    <s v="11/10/2024"/>
    <d v="2024-11-10T00:00:00"/>
    <s v="14-11-2024"/>
    <d v="2024-11-14T00:00:00"/>
    <s v="Valid"/>
    <n v="4"/>
    <s v="Valid"/>
    <s v="CUST-9100"/>
    <s v="Sneha Kapoor"/>
    <s v="Sneha Kapoor"/>
    <s v="Corporate"/>
    <s v="Corporate"/>
    <x v="2"/>
    <s v="South"/>
    <s v="Andhra Pradesh"/>
    <s v="Vijayawada"/>
    <s v="Furniture"/>
    <s v="Furniture"/>
    <s v="Tables"/>
    <s v="Basic Tables 759"/>
    <s v="First Class"/>
    <s v="First Class"/>
    <n v="2"/>
    <n v="921.34"/>
    <n v="0.2"/>
    <n v="0.2"/>
    <s v="Valid"/>
    <n v="1474.14"/>
    <n v="968.46"/>
    <n v="505.68"/>
    <x v="0"/>
    <s v="Include"/>
    <s v=""/>
    <s v="Completed"/>
    <s v="Completed"/>
    <s v="Include"/>
  </r>
  <r>
    <s v="ORD-2025-10566"/>
    <n v="1"/>
    <s v=""/>
    <s v="07 Aug 2025"/>
    <d v="2025-08-07T00:00:00"/>
    <s v="13-08-2025"/>
    <d v="2025-08-13T00:00:00"/>
    <s v="Valid"/>
    <n v="6"/>
    <s v="Valid"/>
    <s v="CUST-5601"/>
    <s v="Mira Das"/>
    <s v="Mira Das"/>
    <s v="Corporate"/>
    <s v="Corporate"/>
    <x v="0"/>
    <s v="North"/>
    <s v="Delhi"/>
    <s v="New Delhi"/>
    <s v="Technology"/>
    <s v="Technology"/>
    <s v="Phones"/>
    <s v="Prime Phones 564"/>
    <s v="Standard Class"/>
    <s v="Standard Class"/>
    <n v="6"/>
    <n v="1921.86"/>
    <n v="0.2"/>
    <n v="0.2"/>
    <s v="Valid"/>
    <n v="9224.93"/>
    <n v="7005.2"/>
    <n v="2219.73"/>
    <x v="1"/>
    <s v="Exclude"/>
    <s v="Refunded Order"/>
    <s v="Cancelled"/>
    <s v="Cancelled"/>
    <s v="Exclude"/>
  </r>
  <r>
    <s v="ORD-2024-10567"/>
    <n v="1"/>
    <s v=""/>
    <s v="11 Aug 2024"/>
    <d v="2024-08-11T00:00:00"/>
    <s v="2024-08-19"/>
    <d v="2024-08-19T00:00:00"/>
    <s v="Valid"/>
    <n v="8"/>
    <s v="Valid"/>
    <s v="CUST-5246"/>
    <s v="Sneha Kapoor"/>
    <s v="Sneha Kapoor"/>
    <s v="Small Business"/>
    <s v="Small Business"/>
    <x v="3"/>
    <s v="West"/>
    <s v="Maharashtra"/>
    <s v="Mumbai"/>
    <s v="Office Supplies"/>
    <s v="Office Supplies"/>
    <s v="Paper"/>
    <s v="Smart Paper 807"/>
    <s v="Same Day"/>
    <s v="Same Day"/>
    <n v="2"/>
    <n v="2617.89"/>
    <n v="0.1"/>
    <n v="0.1"/>
    <s v="Valid"/>
    <n v="4712.2"/>
    <n v="3851.91"/>
    <n v="860.29"/>
    <x v="3"/>
    <s v="Exclude"/>
    <s v=""/>
    <s v="Returned"/>
    <s v="Returned"/>
    <s v="Include"/>
  </r>
  <r>
    <s v="ORD-2024-10568"/>
    <n v="1"/>
    <s v=""/>
    <s v="06 Feb 2024"/>
    <d v="2024-02-06T00:00:00"/>
    <s v="10-02-2024"/>
    <d v="2024-02-10T00:00:00"/>
    <s v="Valid"/>
    <n v="4"/>
    <s v="Valid"/>
    <s v="CUST-3128"/>
    <s v="Arjun Bose"/>
    <s v="Arjun Bose"/>
    <s v="Home Office"/>
    <s v="Home Office"/>
    <x v="0"/>
    <s v="North"/>
    <s v="Uttar Pradesh"/>
    <s v="Noida"/>
    <s v="Furniture"/>
    <s v="Furniture"/>
    <s v="Furnishings"/>
    <s v="Pro Furnishings 108"/>
    <s v="Same Day"/>
    <s v="Same Day"/>
    <n v="1"/>
    <n v="1374.06"/>
    <n v="0.05"/>
    <n v="0.05"/>
    <s v="Valid"/>
    <n v="1305.3599999999999"/>
    <n v="731.89"/>
    <n v="573.47"/>
    <x v="0"/>
    <s v="Include"/>
    <s v=""/>
    <s v="Completed"/>
    <s v="Completed"/>
    <s v="Include"/>
  </r>
  <r>
    <s v="ORD-2024-10569"/>
    <n v="1"/>
    <s v=""/>
    <s v="21 Jan 2024"/>
    <d v="2024-01-21T00:00:00"/>
    <s v="24 Jan 2024"/>
    <d v="2024-01-24T00:00:00"/>
    <s v="Valid"/>
    <n v="3"/>
    <s v="Valid"/>
    <s v="CUST-4604"/>
    <s v="Kabir Singh"/>
    <s v="Kabir Singh"/>
    <s v="Corporate"/>
    <s v="Corporate"/>
    <x v="0"/>
    <s v="North"/>
    <s v="Punjab"/>
    <s v="Ludhiana"/>
    <s v="Technology"/>
    <s v="Technology"/>
    <s v="Machines"/>
    <s v="Classic Machines 522"/>
    <s v="Same Day"/>
    <s v="Same Day"/>
    <n v="1"/>
    <n v="3806.3"/>
    <n v="0.25"/>
    <n v="0.25"/>
    <s v="Valid"/>
    <n v="2854.73"/>
    <n v="1968.12"/>
    <n v="886.61"/>
    <x v="0"/>
    <s v="Include"/>
    <s v=""/>
    <s v="Completed"/>
    <s v="Completed"/>
    <s v="Include"/>
  </r>
  <r>
    <s v="ORD-2025-10570"/>
    <n v="1"/>
    <s v=""/>
    <s v="09/08/2025"/>
    <d v="2025-09-08T00:00:00"/>
    <s v="2025-09-10"/>
    <d v="2025-09-10T00:00:00"/>
    <s v="Valid"/>
    <n v="2"/>
    <s v="Valid"/>
    <s v="CUST-2586"/>
    <s v="Rahul Verma"/>
    <s v="Rahul Verma"/>
    <s v="Home Office"/>
    <s v="Home Office"/>
    <x v="3"/>
    <s v="West"/>
    <s v="Maharashtra"/>
    <s v="Mumbai"/>
    <s v="Furniture"/>
    <s v="Furniture"/>
    <s v="Furnishings"/>
    <s v="Elite Furnishings 822"/>
    <s v="Standard Class"/>
    <s v="Standard Class"/>
    <n v="6"/>
    <n v="3251.17"/>
    <n v="0.25"/>
    <n v="0.25"/>
    <s v="Valid"/>
    <n v="14630.26"/>
    <n v="11906.36"/>
    <n v="2723.9"/>
    <x v="1"/>
    <s v="Include"/>
    <s v="Refunded Order"/>
    <s v="Returned"/>
    <s v="Returned"/>
    <s v="Include"/>
  </r>
  <r>
    <s v="ORD-2025-10571"/>
    <n v="1"/>
    <s v=""/>
    <s v="2025-08-18"/>
    <d v="2025-08-18T00:00:00"/>
    <s v="08/22/2025"/>
    <d v="2025-08-22T00:00:00"/>
    <s v="Valid"/>
    <n v="4"/>
    <s v="Valid"/>
    <s v="CUST-6585"/>
    <s v="Arjun Bose"/>
    <s v="Arjun Bose"/>
    <s v="Consumer"/>
    <s v="Consumer"/>
    <x v="1"/>
    <s v="East"/>
    <s v="Jharkhand"/>
    <s v="Ranchi"/>
    <s v="Furniture"/>
    <s v="Furniture"/>
    <s v="Furnishings"/>
    <s v="Max Furnishings 647"/>
    <s v="Second Class"/>
    <s v="Second Class"/>
    <n v="3"/>
    <n v="3946.44"/>
    <n v="0.25"/>
    <n v="0.25"/>
    <s v="Valid"/>
    <n v="8879.49"/>
    <n v="6344.57"/>
    <n v="2534.92"/>
    <x v="3"/>
    <s v="Exclude"/>
    <s v=""/>
    <s v="Returned"/>
    <s v="Returned"/>
    <s v="Include"/>
  </r>
  <r>
    <s v="ORD-2025-10091"/>
    <n v="2"/>
    <s v="Review Required"/>
    <s v="08/24/2025"/>
    <d v="2025-08-24T00:00:00"/>
    <s v="29 Aug 2025"/>
    <d v="2025-08-29T00:00:00"/>
    <s v="Valid"/>
    <n v="5"/>
    <s v="Valid"/>
    <s v="CUST-5909"/>
    <s v="Aarav Sharma"/>
    <s v="Aarav Sharma"/>
    <s v="Small Business"/>
    <s v="Small Business"/>
    <x v="1"/>
    <s v="East"/>
    <s v="Bihar"/>
    <s v="Patna"/>
    <s v="Technology"/>
    <s v="Technology"/>
    <s v="Copiers"/>
    <s v="Smart Copiers 556"/>
    <s v="First Class"/>
    <s v="First Class"/>
    <n v="3"/>
    <n v="3703.96"/>
    <n v="0.15"/>
    <n v="0.15"/>
    <s v="Valid"/>
    <n v="9549.44"/>
    <n v="5586.28"/>
    <n v="3858.82"/>
    <x v="0"/>
    <s v="Include"/>
    <s v=""/>
    <s v="Returned"/>
    <s v="Returned"/>
    <s v="Include"/>
  </r>
  <r>
    <s v="ORD-2024-10573"/>
    <n v="1"/>
    <s v=""/>
    <s v="01/02/2024"/>
    <d v="2024-01-02T00:00:00"/>
    <s v="09-01-2024"/>
    <d v="2024-01-09T00:00:00"/>
    <s v="Valid"/>
    <n v="7"/>
    <s v="Valid"/>
    <s v="CUST-8633"/>
    <s v="Diya Patel"/>
    <s v="Diya Patel"/>
    <s v="Corporate"/>
    <s v="Corporate"/>
    <x v="0"/>
    <s v="North"/>
    <s v="Delhi"/>
    <s v="New Delhi"/>
    <s v="Technology"/>
    <s v="Technology"/>
    <s v="Phones"/>
    <s v="Eco Phones 368"/>
    <s v="Standard Class"/>
    <s v="Standard Class"/>
    <n v="3"/>
    <n v="739.56"/>
    <n v="0.2"/>
    <n v="0.2"/>
    <s v="Valid"/>
    <n v="1774.94"/>
    <n v="1007.4"/>
    <n v="767.54"/>
    <x v="0"/>
    <s v="Include"/>
    <s v=""/>
    <s v="Completed"/>
    <s v="Completed"/>
    <s v="Include"/>
  </r>
  <r>
    <s v="ORD-2025-10574"/>
    <n v="1"/>
    <s v=""/>
    <s v="09/22/2025"/>
    <d v="2025-09-22T00:00:00"/>
    <s v="09/26/2025"/>
    <d v="2025-09-26T00:00:00"/>
    <s v="Valid"/>
    <n v="4"/>
    <s v="Valid"/>
    <s v="CUST-8243"/>
    <s v="Isha Nair"/>
    <s v="Isha Nair"/>
    <s v="Consumer"/>
    <s v="Consumer"/>
    <x v="2"/>
    <s v="South"/>
    <s v="Andhra Pradesh"/>
    <s v="Vijayawada"/>
    <s v="Technology"/>
    <s v="Technology"/>
    <s v="Phones"/>
    <s v="Pro Phones 644"/>
    <s v="Standard Class"/>
    <s v="Standard Class"/>
    <n v="1"/>
    <n v="573.65"/>
    <n v="0"/>
    <n v="0"/>
    <s v="Valid"/>
    <n v="573.65"/>
    <n v="322.67"/>
    <n v="250.98"/>
    <x v="0"/>
    <s v="Include"/>
    <s v=""/>
    <s v="Completed"/>
    <s v="Completed"/>
    <s v="Include"/>
  </r>
  <r>
    <s v="ORD-2024-10575"/>
    <n v="1"/>
    <s v=""/>
    <s v="20 Feb 2024"/>
    <d v="2024-02-20T00:00:00"/>
    <s v="25-02-2024"/>
    <d v="2024-02-25T00:00:00"/>
    <s v="Valid"/>
    <n v="5"/>
    <s v="Valid"/>
    <s v="CUST-9139"/>
    <s v="Diya Patel"/>
    <s v="Diya Patel"/>
    <s v="Home Office"/>
    <s v="Home Office"/>
    <x v="0"/>
    <s v="North"/>
    <s v="Punjab"/>
    <s v="Ludhiana"/>
    <s v="Technology"/>
    <s v="Technology"/>
    <s v="Machines"/>
    <s v="Smart Machines 566"/>
    <s v="Standard Class"/>
    <s v="Standard Class"/>
    <n v="4"/>
    <n v="1355.8"/>
    <n v="0"/>
    <n v="0"/>
    <s v="Valid"/>
    <n v="5423.2"/>
    <n v="4072.44"/>
    <n v="1350.76"/>
    <x v="0"/>
    <s v="Include"/>
    <s v=""/>
    <s v="Completed"/>
    <s v="Completed"/>
    <s v="Include"/>
  </r>
  <r>
    <s v="ORD-2025-10576"/>
    <n v="1"/>
    <s v=""/>
    <s v="11 Mar 2025"/>
    <d v="2025-03-11T00:00:00"/>
    <s v="14 Mar 2025"/>
    <d v="2025-03-14T00:00:00"/>
    <s v="Valid"/>
    <n v="3"/>
    <s v="Valid"/>
    <s v="CUST-5496"/>
    <s v="Sneha Kapoor"/>
    <s v="Sneha Kapoor"/>
    <s v="Home Office"/>
    <s v="Home Office"/>
    <x v="2"/>
    <s v="South"/>
    <s v="Kerala"/>
    <s v="Kochi"/>
    <s v="Furniture"/>
    <s v="Furniture"/>
    <s v="Furnishings"/>
    <s v="Elite Furnishings 173"/>
    <s v="Same Day"/>
    <s v="Same Day"/>
    <n v="4"/>
    <n v="1244.82"/>
    <n v="0.2"/>
    <n v="0.2"/>
    <s v="Valid"/>
    <n v="3983.42"/>
    <n v="3174.91"/>
    <n v="808.51"/>
    <x v="3"/>
    <s v="Exclude"/>
    <s v=""/>
    <s v="Returned"/>
    <s v="Returned"/>
    <s v="Include"/>
  </r>
  <r>
    <s v="ORD-2024-10577"/>
    <n v="1"/>
    <s v=""/>
    <s v="17-02-2024"/>
    <d v="2024-02-17T00:00:00"/>
    <s v="02/23/2024"/>
    <d v="2024-02-23T00:00:00"/>
    <s v="Valid"/>
    <n v="6"/>
    <s v="Valid"/>
    <s v="CUST-2228"/>
    <s v="Rohan Mehta"/>
    <s v="Rohan Mehta"/>
    <s v="Home Office"/>
    <s v="Home Office"/>
    <x v="4"/>
    <s v="Unknown"/>
    <s v="Bihar"/>
    <s v="Patna"/>
    <s v="Office Supplies"/>
    <s v="Office Supplies"/>
    <s v="Binders"/>
    <s v="Smart Binders 417"/>
    <s v="Standard Class"/>
    <s v="Standard Class"/>
    <n v="9"/>
    <n v="2614.46"/>
    <n v="0"/>
    <n v="0"/>
    <s v="Valid"/>
    <n v="23530.14"/>
    <n v="19537.79"/>
    <n v="3992.35"/>
    <x v="1"/>
    <s v="Include"/>
    <s v="Refunded Order"/>
    <s v="Returned"/>
    <s v="Returned"/>
    <s v="Include"/>
  </r>
  <r>
    <s v="ORD-2025-10578"/>
    <n v="1"/>
    <s v=""/>
    <s v="08/28/2025"/>
    <d v="2025-08-28T00:00:00"/>
    <s v="2025-09-03"/>
    <d v="2025-09-03T00:00:00"/>
    <s v="Valid"/>
    <n v="6"/>
    <s v="Valid"/>
    <s v="CUST-4151"/>
    <s v="Priya Menon"/>
    <s v="Priya Menon"/>
    <s v="Corporate"/>
    <s v="Corporate"/>
    <x v="3"/>
    <s v="West"/>
    <s v="Madhya Pradesh"/>
    <s v="Indore"/>
    <s v="Furniture"/>
    <s v="Furniture"/>
    <s v="Furnishings"/>
    <s v="Smart Furnishings 714"/>
    <s v="Standard Class"/>
    <s v="Standard Class"/>
    <n v="7"/>
    <n v="268.45"/>
    <n v="0"/>
    <n v="0"/>
    <s v="Valid"/>
    <n v="1879.15"/>
    <n v="1134.9000000000001"/>
    <n v="744.25"/>
    <x v="0"/>
    <s v="Include"/>
    <s v=""/>
    <s v="Completed"/>
    <s v="Completed"/>
    <s v="Include"/>
  </r>
  <r>
    <s v="ORD-2024-10579"/>
    <n v="1"/>
    <s v=""/>
    <s v="2024-02-21"/>
    <d v="2024-02-21T00:00:00"/>
    <s v="23-02-2024"/>
    <d v="2024-02-23T00:00:00"/>
    <s v="Valid"/>
    <n v="2"/>
    <s v="Valid"/>
    <s v="CUST-4900"/>
    <s v="Neha Gupta"/>
    <s v="Neha Gupta"/>
    <s v="Small Business"/>
    <s v="Small Business"/>
    <x v="3"/>
    <s v="West"/>
    <s v="Gujarat"/>
    <s v="Ahmedabad"/>
    <s v="Technology"/>
    <s v="Technology"/>
    <s v="Copiers"/>
    <s v="Elite Copiers 682"/>
    <s v="First Class"/>
    <s v="First Class"/>
    <n v="6"/>
    <n v="2633.65"/>
    <n v="0.05"/>
    <n v="0.05"/>
    <s v="Valid"/>
    <n v="15011.81"/>
    <n v="9660.36"/>
    <n v="5351.45"/>
    <x v="0"/>
    <s v="Include"/>
    <s v=""/>
    <s v="Completed"/>
    <s v="Completed"/>
    <s v="Include"/>
  </r>
  <r>
    <s v="ORD-2024-10580"/>
    <n v="1"/>
    <s v=""/>
    <s v="19-06-2024"/>
    <d v="2024-06-19T00:00:00"/>
    <s v="24 Jun 2024"/>
    <d v="2024-06-24T00:00:00"/>
    <s v="Valid"/>
    <n v="5"/>
    <s v="Valid"/>
    <s v="CUST-9617"/>
    <s v="Aarav Sharma"/>
    <s v="Aarav Sharma"/>
    <s v="Small Business"/>
    <s v="Small Business"/>
    <x v="2"/>
    <s v="South"/>
    <s v="Tamil Nadu"/>
    <s v="Chennai"/>
    <s v="Office Supplies"/>
    <s v="Office Supplies"/>
    <s v="Storage"/>
    <s v="Pro Storage 482"/>
    <s v="Same Day"/>
    <s v="Same Day"/>
    <n v="1"/>
    <n v="3202.41"/>
    <n v="0"/>
    <n v="0"/>
    <s v="Valid"/>
    <n v="3202.41"/>
    <n v="2608.44"/>
    <n v="593.97"/>
    <x v="0"/>
    <s v="Include"/>
    <s v=""/>
    <s v="Completed"/>
    <s v="Completed"/>
    <s v="Include"/>
  </r>
  <r>
    <s v="ORD-2025-10581"/>
    <n v="1"/>
    <s v=""/>
    <s v="06-03-2025"/>
    <d v="2025-03-06T00:00:00"/>
    <s v="03/13/2025"/>
    <d v="2025-03-13T00:00:00"/>
    <s v="Valid"/>
    <n v="7"/>
    <s v="Valid"/>
    <s v="CUST-7958"/>
    <s v="Kabir Singh"/>
    <s v="Kabir Singh"/>
    <s v="Consumer"/>
    <s v="Consumer"/>
    <x v="2"/>
    <s v="South"/>
    <s v="Kerala"/>
    <s v="Kochi"/>
    <s v="Furniture"/>
    <s v="Furniture"/>
    <s v="Chairs"/>
    <s v="Pro Chairs 888"/>
    <s v="Standard Class"/>
    <s v="Standard Class"/>
    <n v="3"/>
    <n v="163.72"/>
    <n v="0.15"/>
    <n v="0.15"/>
    <s v="Valid"/>
    <n v="417.49"/>
    <n v="261.67"/>
    <n v="155.82"/>
    <x v="3"/>
    <s v="Exclude"/>
    <s v=""/>
    <s v="Returned"/>
    <s v="Returned"/>
    <s v="Include"/>
  </r>
  <r>
    <s v="ORD-2025-10582"/>
    <n v="1"/>
    <s v=""/>
    <s v="2025-08-09"/>
    <d v="2025-08-09T00:00:00"/>
    <s v="08/10/2025"/>
    <d v="2025-08-10T00:00:00"/>
    <s v="Valid"/>
    <n v="1"/>
    <s v="Valid"/>
    <s v="CUST-9931"/>
    <s v="Neha Gupta"/>
    <s v="Neha Gupta"/>
    <s v="Consumer"/>
    <s v="Consumer"/>
    <x v="0"/>
    <s v="North"/>
    <s v="Delhi"/>
    <s v="New Delhi"/>
    <s v="Office Supplies"/>
    <s v="Office Supplies"/>
    <s v="Art"/>
    <s v="Classic Art 611"/>
    <s v="Second Class"/>
    <s v="Second Class"/>
    <n v="4"/>
    <n v="4080.95"/>
    <n v="0"/>
    <n v="0"/>
    <s v="Valid"/>
    <n v="16323.8"/>
    <n v="9965.7900000000009"/>
    <n v="6358.01"/>
    <x v="1"/>
    <s v="Include"/>
    <s v="Refunded Order"/>
    <s v="Returned"/>
    <s v="Returned"/>
    <s v="Include"/>
  </r>
  <r>
    <s v="ORD-2024-10583"/>
    <n v="1"/>
    <s v=""/>
    <s v="2024-10-15"/>
    <d v="2024-10-15T00:00:00"/>
    <s v="10/20/2024"/>
    <d v="2024-10-20T00:00:00"/>
    <s v="Valid"/>
    <n v="5"/>
    <s v="Valid"/>
    <s v="CUST-2088"/>
    <s v="Ananya Rao"/>
    <s v="Ananya Rao"/>
    <s v="Consumer"/>
    <s v="Consumer"/>
    <x v="1"/>
    <s v="East"/>
    <s v="Odisha"/>
    <s v="Bhubaneswar"/>
    <s v="Office Supplies"/>
    <s v="Office Supplies"/>
    <s v="Art"/>
    <s v="Basic Art 174"/>
    <s v="First Class"/>
    <s v="First Class"/>
    <n v="5"/>
    <n v="671.24"/>
    <n v="0"/>
    <n v="0"/>
    <s v="Valid"/>
    <n v="3356.2"/>
    <n v="2205.7199999999998"/>
    <n v="1150.48"/>
    <x v="2"/>
    <s v="Include"/>
    <s v=""/>
    <s v="Returned"/>
    <s v="Returned"/>
    <s v="Include"/>
  </r>
  <r>
    <s v="ORD-2024-10584"/>
    <n v="1"/>
    <s v=""/>
    <s v="28 Feb 2024"/>
    <d v="2024-02-28T00:00:00"/>
    <s v="02/28/2024"/>
    <d v="2024-02-28T00:00:00"/>
    <s v="Valid"/>
    <n v="0"/>
    <s v="Valid"/>
    <s v="CUST-1686"/>
    <s v="Rohan Mehta"/>
    <s v="Rohan Mehta"/>
    <s v="Small Business"/>
    <s v="Small Business"/>
    <x v="1"/>
    <s v="East"/>
    <s v="West Bengal"/>
    <s v="Kolkata"/>
    <s v="Office Supplies"/>
    <s v="Office Supplies"/>
    <s v="Storage"/>
    <s v="Classic Storage 451"/>
    <s v="First Class"/>
    <s v="First Class"/>
    <n v="1"/>
    <n v="2626.84"/>
    <n v="0.2"/>
    <n v="0.2"/>
    <s v="Valid"/>
    <n v="2101.4699999999998"/>
    <n v="1217.83"/>
    <n v="883.64"/>
    <x v="3"/>
    <s v="Exclude"/>
    <s v=""/>
    <s v="Returned"/>
    <s v="Returned"/>
    <s v="Include"/>
  </r>
  <r>
    <s v="ORD-2024-10585"/>
    <n v="1"/>
    <s v=""/>
    <s v="08/04/2024"/>
    <d v="2024-08-04T00:00:00"/>
    <s v="10-08-2024"/>
    <d v="2024-08-10T00:00:00"/>
    <s v="Valid"/>
    <n v="6"/>
    <s v="Valid"/>
    <s v="CUST-4894"/>
    <s v="Vikram Iyer"/>
    <s v="Vikram Iyer"/>
    <s v="Consumer"/>
    <s v="Consumer"/>
    <x v="1"/>
    <s v="East"/>
    <s v="Bihar"/>
    <s v="Patna"/>
    <s v="Office Supplies"/>
    <s v="Office Supplies"/>
    <s v="Art"/>
    <s v="Pro Art 172"/>
    <s v="Same Day"/>
    <s v="Same Day"/>
    <n v="1"/>
    <n v="984.93"/>
    <n v="0.15"/>
    <n v="0.15"/>
    <s v="Valid"/>
    <n v="837.19"/>
    <n v="583.79"/>
    <n v="253.4"/>
    <x v="2"/>
    <s v="Include"/>
    <s v=""/>
    <s v="Returned"/>
    <s v="Returned"/>
    <s v="Include"/>
  </r>
  <r>
    <s v="ORD-2025-10586"/>
    <n v="1"/>
    <s v=""/>
    <s v="22 Jun 2025"/>
    <d v="2025-06-22T00:00:00"/>
    <s v="2025-06-25"/>
    <d v="2025-06-25T00:00:00"/>
    <s v="Valid"/>
    <n v="3"/>
    <s v="Valid"/>
    <s v="CUST-5201"/>
    <s v="Diya Patel"/>
    <s v="Diya Patel"/>
    <s v="Small Business"/>
    <s v="Small Business"/>
    <x v="3"/>
    <s v="West"/>
    <s v="Maharashtra"/>
    <s v="Mumbai"/>
    <s v="Technology"/>
    <s v="Technology"/>
    <s v="Phones"/>
    <s v="Prime Phones 744"/>
    <s v="First Class"/>
    <s v="First Class"/>
    <n v="8"/>
    <n v="3453.66"/>
    <n v="0"/>
    <n v="0"/>
    <s v="Valid"/>
    <n v="27629.279999999999"/>
    <n v="22026.48"/>
    <n v="5602.8"/>
    <x v="0"/>
    <s v="Include"/>
    <s v=""/>
    <s v="Completed"/>
    <s v="Completed"/>
    <s v="Include"/>
  </r>
  <r>
    <s v="ORD-2025-10587"/>
    <n v="1"/>
    <s v=""/>
    <s v="12-04-2025"/>
    <d v="2025-04-12T00:00:00"/>
    <s v="12 Apr 2025"/>
    <d v="2025-04-12T00:00:00"/>
    <s v="Valid"/>
    <n v="0"/>
    <s v="Valid"/>
    <s v="CUST-8626"/>
    <s v="Mira Das"/>
    <s v="Mira Das"/>
    <s v="Home Office"/>
    <s v="Home Office"/>
    <x v="0"/>
    <s v="North"/>
    <s v="Punjab"/>
    <s v="Ludhiana"/>
    <s v="Office Supplies"/>
    <s v="Office Supplies"/>
    <s v="Binders"/>
    <s v="Prime Binders 249"/>
    <s v="Second Class"/>
    <s v="Second Class"/>
    <n v="7"/>
    <n v="1334.2"/>
    <n v="0.2"/>
    <n v="0.2"/>
    <s v="Valid"/>
    <n v="7471.52"/>
    <n v="6184.32"/>
    <n v="1287.2"/>
    <x v="0"/>
    <s v="Include"/>
    <s v=""/>
    <s v="Completed"/>
    <s v="Completed"/>
    <s v="Include"/>
  </r>
  <r>
    <s v="ORD-2025-10588"/>
    <n v="1"/>
    <s v=""/>
    <s v="23-07-2025"/>
    <d v="2025-07-23T00:00:00"/>
    <s v="2025-07-31"/>
    <d v="2025-07-31T00:00:00"/>
    <s v="Valid"/>
    <n v="8"/>
    <s v="Valid"/>
    <s v="CUST-1013"/>
    <s v="Kabir Singh"/>
    <s v="Kabir Singh"/>
    <s v="Home Office"/>
    <s v="Home Office"/>
    <x v="3"/>
    <s v="West"/>
    <s v="Madhya Pradesh"/>
    <s v="Indore"/>
    <s v="Technology"/>
    <s v="Technology"/>
    <s v="Accessories"/>
    <s v="Eco Accessories 948"/>
    <s v="First Class"/>
    <s v="First Class"/>
    <n v="1"/>
    <n v="4253.84"/>
    <n v="0.15"/>
    <n v="0.15"/>
    <s v="Valid"/>
    <n v="3615.76"/>
    <n v="2951.52"/>
    <n v="664.24"/>
    <x v="1"/>
    <s v="Exclude"/>
    <s v="Refunded Order"/>
    <s v="Cancelled"/>
    <s v="Cancelled"/>
    <s v="Exclude"/>
  </r>
  <r>
    <s v="ORD-2025-10589"/>
    <n v="1"/>
    <s v=""/>
    <s v="2025-03-11"/>
    <d v="2025-03-11T00:00:00"/>
    <s v="15 Mar 2025"/>
    <d v="2025-03-15T00:00:00"/>
    <s v="Valid"/>
    <n v="4"/>
    <s v="Valid"/>
    <s v="CUST-3601"/>
    <s v="Aarav Sharma"/>
    <s v="Aarav Sharma"/>
    <s v="Home Office"/>
    <s v="Home Office"/>
    <x v="2"/>
    <s v="South"/>
    <s v="Karnataka"/>
    <s v="Bengaluru"/>
    <s v="Technology"/>
    <s v="Technology"/>
    <s v="Accessories"/>
    <s v="Classic Accessories 458"/>
    <s v="Second Class"/>
    <s v="Second Class"/>
    <n v="8"/>
    <n v="4446.3599999999997"/>
    <n v="0.1"/>
    <n v="0.1"/>
    <s v="Valid"/>
    <n v="32013.79"/>
    <n v="20896.88"/>
    <n v="11116.91"/>
    <x v="1"/>
    <s v="Exclude"/>
    <s v="Refunded Order"/>
    <s v="Cancelled"/>
    <s v="Cancelled"/>
    <s v="Exclude"/>
  </r>
  <r>
    <s v="ORD-2024-10590"/>
    <n v="1"/>
    <s v=""/>
    <s v="06 Dec 2024"/>
    <d v="2024-12-06T00:00:00"/>
    <s v="12/12/2024"/>
    <d v="2024-12-12T00:00:00"/>
    <s v="Valid"/>
    <n v="6"/>
    <s v="Valid"/>
    <s v="CUST-7846"/>
    <s v="Rohan Mehta"/>
    <s v="Rohan Mehta"/>
    <s v="Corporate"/>
    <s v="Corporate"/>
    <x v="0"/>
    <s v="North"/>
    <s v="Uttar Pradesh"/>
    <s v="Noida"/>
    <s v="Technology"/>
    <s v="Technology"/>
    <s v="Phones"/>
    <s v="Max Phones 318"/>
    <s v="First Class"/>
    <s v="First Class"/>
    <n v="3"/>
    <n v="524.75"/>
    <n v="0"/>
    <n v="0"/>
    <s v="Valid"/>
    <n v="1574.25"/>
    <n v="1326.12"/>
    <n v="248.13"/>
    <x v="0"/>
    <s v="Include"/>
    <s v=""/>
    <s v="Completed"/>
    <s v="Completed"/>
    <s v="Include"/>
  </r>
  <r>
    <s v="ORD-2024-10591"/>
    <n v="1"/>
    <s v=""/>
    <s v="29-05-2024"/>
    <d v="2024-05-29T00:00:00"/>
    <s v="2024-05-29"/>
    <d v="2024-05-29T00:00:00"/>
    <s v="Valid"/>
    <n v="0"/>
    <s v="Valid"/>
    <s v="CUST-3433"/>
    <s v="Aarav Sharma"/>
    <s v="Aarav Sharma"/>
    <s v="Home Office"/>
    <s v="Home Office"/>
    <x v="0"/>
    <s v="North"/>
    <s v="Delhi"/>
    <s v="New Delhi"/>
    <s v="Furniture"/>
    <s v="Furniture"/>
    <s v="Chairs"/>
    <s v="Elite Chairs 372"/>
    <s v="Same Day"/>
    <s v="Same Day"/>
    <n v="6"/>
    <n v="3430.35"/>
    <n v="0"/>
    <n v="0"/>
    <s v="Valid"/>
    <n v="20582.099999999999"/>
    <n v="15897.65"/>
    <n v="4684.45"/>
    <x v="2"/>
    <s v="Exclude"/>
    <s v=""/>
    <s v="Cancelled"/>
    <s v="Cancelled"/>
    <s v="Exclude"/>
  </r>
  <r>
    <s v="ORD-2024-10592"/>
    <n v="1"/>
    <s v=""/>
    <s v="2024-02-22"/>
    <d v="2024-02-22T00:00:00"/>
    <s v="24-02-2024"/>
    <d v="2024-02-24T00:00:00"/>
    <s v="Valid"/>
    <n v="2"/>
    <s v="Valid"/>
    <s v="CUST-2423"/>
    <s v="Sneha Kapoor"/>
    <s v="Sneha Kapoor"/>
    <s v="Consumer"/>
    <s v="Consumer"/>
    <x v="2"/>
    <s v="South"/>
    <s v="Karnataka"/>
    <s v="Bengaluru"/>
    <s v="Technology"/>
    <s v="Technology"/>
    <s v="Copiers"/>
    <s v="Eco Copiers 324"/>
    <s v="First Class"/>
    <s v="First Class"/>
    <n v="3"/>
    <n v="3545.08"/>
    <n v="0"/>
    <n v="0"/>
    <s v="Valid"/>
    <n v="10635.24"/>
    <n v="6031.88"/>
    <n v="4603.3599999999997"/>
    <x v="3"/>
    <s v="Exclude"/>
    <s v=""/>
    <s v="Returned"/>
    <s v="Returned"/>
    <s v="Include"/>
  </r>
  <r>
    <s v="ORD-2024-10593"/>
    <n v="1"/>
    <s v=""/>
    <s v="04-03-2024"/>
    <d v="2024-03-04T00:00:00"/>
    <s v="2024-03-09"/>
    <d v="2024-03-09T00:00:00"/>
    <s v="Valid"/>
    <n v="5"/>
    <s v="Valid"/>
    <s v="CUST-3559"/>
    <s v="Mira Das"/>
    <s v="Mira Das"/>
    <s v="Consumer"/>
    <s v="Consumer"/>
    <x v="1"/>
    <s v="East"/>
    <s v="West Bengal"/>
    <s v="Kolkata"/>
    <s v="Technology"/>
    <s v="Technology"/>
    <s v="Accessories"/>
    <s v="Classic Accessories 131"/>
    <s v="Same Day"/>
    <s v="Same Day"/>
    <n v="8"/>
    <n v="4401.41"/>
    <n v="0.15"/>
    <n v="0.15"/>
    <s v="Valid"/>
    <n v="29929.59"/>
    <n v="22436.03"/>
    <n v="7493.56"/>
    <x v="0"/>
    <s v="Include"/>
    <s v=""/>
    <s v="Completed"/>
    <s v="Completed"/>
    <s v="Include"/>
  </r>
  <r>
    <s v="ORD-2025-10594"/>
    <n v="1"/>
    <s v=""/>
    <s v="09/27/2025"/>
    <d v="2025-09-27T00:00:00"/>
    <s v="2025-09-29"/>
    <d v="2025-09-29T00:00:00"/>
    <s v="Valid"/>
    <n v="2"/>
    <s v="Valid"/>
    <s v="CUST-2917"/>
    <s v="Arjun Bose"/>
    <s v="Arjun Bose"/>
    <s v="Home Office"/>
    <s v="Home Office"/>
    <x v="0"/>
    <s v="North"/>
    <s v="Uttar Pradesh"/>
    <s v="Noida"/>
    <s v="Furniture"/>
    <s v="Furniture"/>
    <s v="Tables"/>
    <s v="Eco Tables 550"/>
    <s v="Second Class"/>
    <s v="Second Class"/>
    <n v="9"/>
    <n v="4100.1099999999997"/>
    <n v="0.25"/>
    <n v="0.25"/>
    <s v="Valid"/>
    <n v="27675.74"/>
    <n v="15571.08"/>
    <n v="12104.66"/>
    <x v="0"/>
    <s v="Include"/>
    <s v=""/>
    <s v="Completed"/>
    <s v="Completed"/>
    <s v="Include"/>
  </r>
  <r>
    <s v="ORD-2024-10595"/>
    <n v="1"/>
    <s v=""/>
    <s v="2024-09-19"/>
    <d v="2024-09-19T00:00:00"/>
    <s v="2024-09-21"/>
    <d v="2024-09-21T00:00:00"/>
    <s v="Valid"/>
    <n v="2"/>
    <s v="Valid"/>
    <s v="CUST-6850"/>
    <s v="Karan Malhotra"/>
    <s v="Karan Malhotra"/>
    <s v="Small Business"/>
    <s v="Small Business"/>
    <x v="1"/>
    <s v="East"/>
    <s v="West Bengal"/>
    <s v="Kolkata"/>
    <s v="Furniture"/>
    <s v="Furniture"/>
    <s v="Chairs"/>
    <s v="Basic Chairs 932"/>
    <s v="First Class"/>
    <s v="First Class"/>
    <n v="3"/>
    <n v="3981.76"/>
    <n v="0"/>
    <n v="0"/>
    <s v="Valid"/>
    <n v="11945.28"/>
    <n v="9700.31"/>
    <n v="2244.9699999999998"/>
    <x v="0"/>
    <s v="Include"/>
    <s v=""/>
    <s v="Completed"/>
    <s v="Completed"/>
    <s v="Include"/>
  </r>
  <r>
    <s v="ORD-2025-10596"/>
    <n v="1"/>
    <s v=""/>
    <s v="02/11/2025"/>
    <d v="2025-02-11T00:00:00"/>
    <s v="16-02-2025"/>
    <d v="2025-02-16T00:00:00"/>
    <s v="Valid"/>
    <n v="5"/>
    <s v="Valid"/>
    <s v="CUST-5566"/>
    <s v="Mira Das"/>
    <s v="Mira Das"/>
    <s v="Corporate"/>
    <s v="Corporate"/>
    <x v="0"/>
    <s v="North"/>
    <s v="Uttar Pradesh"/>
    <s v="Noida"/>
    <s v="Technology"/>
    <s v="Technology"/>
    <s v="Phones"/>
    <s v="Classic Phones 294"/>
    <s v="First Class"/>
    <s v="First Class"/>
    <n v="8"/>
    <n v="1825.56"/>
    <n v="0.1"/>
    <n v="0.1"/>
    <s v="Valid"/>
    <n v="13144.03"/>
    <n v="9764"/>
    <n v="3380.03"/>
    <x v="0"/>
    <s v="Include"/>
    <s v=""/>
    <s v="Completed"/>
    <s v="Completed"/>
    <s v="Include"/>
  </r>
  <r>
    <s v="ORD-2024-10597"/>
    <n v="1"/>
    <s v=""/>
    <s v="10 Apr 2024"/>
    <d v="2024-04-10T00:00:00"/>
    <s v="04/16/2024"/>
    <d v="2024-04-16T00:00:00"/>
    <s v="Valid"/>
    <n v="6"/>
    <s v="Valid"/>
    <s v="CUST-2593"/>
    <s v="Aditi Sen"/>
    <s v="Aditi Sen"/>
    <s v="Consumer"/>
    <s v="Consumer"/>
    <x v="2"/>
    <s v="South"/>
    <s v="Kerala"/>
    <s v="Kochi"/>
    <s v="Furniture"/>
    <s v="Furniture"/>
    <s v="Chairs"/>
    <s v="Elite Chairs 700"/>
    <s v="Second Class"/>
    <s v="Second Class"/>
    <n v="9"/>
    <n v="2723.26"/>
    <n v="0.25"/>
    <n v="0.25"/>
    <s v="Valid"/>
    <n v="18382.009999999998"/>
    <n v="13108.2"/>
    <n v="5273.81"/>
    <x v="0"/>
    <s v="Include"/>
    <s v=""/>
    <s v="Completed"/>
    <s v="Completed"/>
    <s v="Include"/>
  </r>
  <r>
    <s v="ORD-2025-10598"/>
    <n v="1"/>
    <s v=""/>
    <s v="08 Jul 2025"/>
    <d v="2025-07-08T00:00:00"/>
    <s v="07/08/2025"/>
    <d v="2025-07-08T00:00:00"/>
    <s v="Valid"/>
    <n v="0"/>
    <s v="Valid"/>
    <s v="CUST-6957"/>
    <s v="Aditi Sen"/>
    <s v="Aditi Sen"/>
    <s v="Consumer"/>
    <s v="Consumer"/>
    <x v="2"/>
    <s v="South"/>
    <s v="Telangana"/>
    <s v="Hyderabad"/>
    <s v="Technology"/>
    <s v="Technology"/>
    <s v="Copiers"/>
    <s v="Prime Copiers 969"/>
    <s v="Same Day"/>
    <s v="Same Day"/>
    <n v="9"/>
    <n v="274.88"/>
    <n v="0.25"/>
    <n v="0.25"/>
    <s v="Valid"/>
    <n v="1855.44"/>
    <n v="1262.74"/>
    <n v="592.70000000000005"/>
    <x v="0"/>
    <s v="Include"/>
    <s v=""/>
    <s v="Completed"/>
    <s v="Completed"/>
    <s v="Include"/>
  </r>
  <r>
    <s v="ORD-2024-10599"/>
    <n v="1"/>
    <s v=""/>
    <s v="08/17/2024"/>
    <d v="2024-08-17T00:00:00"/>
    <s v="08/24/2024"/>
    <d v="2024-08-24T00:00:00"/>
    <s v="Valid"/>
    <n v="7"/>
    <s v="Valid"/>
    <s v="CUST-8498"/>
    <s v="Ananya Rao"/>
    <s v="Ananya Rao"/>
    <s v="Corporate"/>
    <s v="Corporate"/>
    <x v="1"/>
    <s v="East"/>
    <s v="West Bengal"/>
    <s v="Kolkata"/>
    <s v="Technology"/>
    <s v="Technology"/>
    <s v="Copiers"/>
    <s v="Eco Copiers 268"/>
    <s v="Same Day"/>
    <s v="Same Day"/>
    <n v="3"/>
    <n v="1490.69"/>
    <n v="0.25"/>
    <n v="0.25"/>
    <s v="Valid"/>
    <n v="3354.05"/>
    <n v="2672.67"/>
    <n v="681.38"/>
    <x v="0"/>
    <s v="Include"/>
    <s v=""/>
    <s v="Completed"/>
    <s v="Completed"/>
    <s v="Include"/>
  </r>
  <r>
    <s v="ORD-2024-10600"/>
    <n v="1"/>
    <s v=""/>
    <s v="19-08-2024"/>
    <d v="2024-08-19T00:00:00"/>
    <s v="21 Aug 2024"/>
    <d v="2024-08-21T00:00:00"/>
    <s v="Valid"/>
    <n v="2"/>
    <s v="Valid"/>
    <s v="CUST-2612"/>
    <s v="Arjun Bose"/>
    <s v="Arjun Bose"/>
    <s v="Consumer"/>
    <s v="Consumer"/>
    <x v="0"/>
    <s v="North"/>
    <s v="Punjab"/>
    <s v="Ludhiana"/>
    <s v="Technology"/>
    <s v="Technology"/>
    <s v="Phones"/>
    <s v="Pro Phones 588"/>
    <s v="First Class"/>
    <s v="First Class"/>
    <n v="3"/>
    <n v="1103.54"/>
    <n v="0.25"/>
    <n v="0.25"/>
    <s v="Valid"/>
    <n v="2482.9699999999998"/>
    <n v="1621.72"/>
    <n v="861.25"/>
    <x v="0"/>
    <s v="Include"/>
    <s v=""/>
    <s v="Completed"/>
    <s v="Completed"/>
    <s v="Include"/>
  </r>
  <r>
    <s v="ORD-2025-10601"/>
    <n v="1"/>
    <s v=""/>
    <s v="05-03-2025"/>
    <d v="2025-03-05T00:00:00"/>
    <s v="2025-03-12"/>
    <d v="2025-03-12T00:00:00"/>
    <s v="Valid"/>
    <n v="7"/>
    <s v="Valid"/>
    <s v="CUST-6013"/>
    <s v="Ananya Rao"/>
    <s v="Ananya Rao"/>
    <s v="Corporate"/>
    <s v="Corporate"/>
    <x v="3"/>
    <s v="West"/>
    <s v="Madhya Pradesh"/>
    <s v="Indore"/>
    <s v="Office Supplies"/>
    <s v="Office Supplies"/>
    <s v="Storage"/>
    <s v="Prime Storage 432"/>
    <s v="Same Day"/>
    <s v="Same Day"/>
    <n v="3"/>
    <n v="3682.75"/>
    <m/>
    <n v="0"/>
    <s v="Valid"/>
    <n v="11048.25"/>
    <n v="9062.7199999999993"/>
    <n v="1985.53"/>
    <x v="0"/>
    <s v="Include"/>
    <s v=""/>
    <s v="Completed"/>
    <s v="Completed"/>
    <s v="Include"/>
  </r>
  <r>
    <s v="ORD-2024-10602"/>
    <n v="1"/>
    <s v=""/>
    <s v="26 Jan 2024"/>
    <d v="2024-01-26T00:00:00"/>
    <s v="01/31/2024"/>
    <d v="2024-01-31T00:00:00"/>
    <s v="Valid"/>
    <n v="5"/>
    <s v="Valid"/>
    <s v="CUST-8289"/>
    <s v="Ananya Rao"/>
    <s v="Ananya Rao"/>
    <s v="Home Office"/>
    <s v="Home Office"/>
    <x v="1"/>
    <s v="East"/>
    <s v="West Bengal"/>
    <s v="Kolkata"/>
    <s v="Office Supplies"/>
    <s v="Office Supplies"/>
    <s v="Paper"/>
    <s v="Basic Paper 452"/>
    <s v="Second Class"/>
    <s v="Second Class"/>
    <n v="5"/>
    <n v="1615.03"/>
    <n v="0.2"/>
    <n v="0.2"/>
    <s v="Valid"/>
    <n v="6460.12"/>
    <n v="3604.03"/>
    <n v="2856.09"/>
    <x v="0"/>
    <s v="Include"/>
    <s v=""/>
    <s v="Completed"/>
    <s v="Completed"/>
    <s v="Include"/>
  </r>
  <r>
    <s v="ORD-2024-10603"/>
    <n v="1"/>
    <s v=""/>
    <s v="23-10-2024"/>
    <d v="2024-10-23T00:00:00"/>
    <s v="2024-10-30"/>
    <d v="2024-10-30T00:00:00"/>
    <s v="Valid"/>
    <n v="7"/>
    <s v="Valid"/>
    <s v="CUST-5668"/>
    <s v="Aarav Sharma"/>
    <s v="Aarav Sharma"/>
    <s v="Consumer"/>
    <s v="Consumer"/>
    <x v="1"/>
    <s v="East"/>
    <s v="Jharkhand"/>
    <s v="Ranchi"/>
    <s v="Technology"/>
    <s v="Technology"/>
    <s v="Copiers"/>
    <s v="Max Copiers 477"/>
    <s v="Second Class"/>
    <s v="Second Class"/>
    <n v="9"/>
    <n v="3423.82"/>
    <n v="0.15"/>
    <n v="0.15"/>
    <s v="Valid"/>
    <n v="26192.22"/>
    <n v="20795.55"/>
    <n v="5396.67"/>
    <x v="0"/>
    <s v="Include"/>
    <s v=""/>
    <s v="Completed"/>
    <s v="Completed"/>
    <s v="Include"/>
  </r>
  <r>
    <s v="ORD-2025-10604"/>
    <n v="1"/>
    <s v=""/>
    <s v="01/03/2025"/>
    <d v="2025-01-03T00:00:00"/>
    <s v="11-01-2025"/>
    <d v="2025-01-11T00:00:00"/>
    <s v="Valid"/>
    <n v="8"/>
    <s v="Valid"/>
    <s v="CUST-5808"/>
    <s v="Vikram Iyer"/>
    <s v="Vikram Iyer"/>
    <s v="Corporate"/>
    <s v="Corporate"/>
    <x v="1"/>
    <s v="East"/>
    <s v="Bihar"/>
    <s v="Patna"/>
    <s v="Technology"/>
    <s v="Technology"/>
    <s v="Accessories"/>
    <s v="Prime Accessories 300"/>
    <s v="First Class"/>
    <s v="First Class"/>
    <n v="8"/>
    <n v="2574.29"/>
    <n v="0.05"/>
    <n v="0.05"/>
    <s v="Valid"/>
    <n v="19564.599999999999"/>
    <n v="11154.59"/>
    <n v="8410.01"/>
    <x v="2"/>
    <s v="Exclude"/>
    <s v=""/>
    <s v="Cancelled"/>
    <s v="Cancelled"/>
    <s v="Exclude"/>
  </r>
  <r>
    <s v="ORD-2025-10605"/>
    <n v="1"/>
    <s v=""/>
    <s v="05-02-2025"/>
    <d v="2025-02-05T00:00:00"/>
    <s v="02/06/2025"/>
    <d v="2025-02-06T00:00:00"/>
    <s v="Valid"/>
    <n v="1"/>
    <s v="Valid"/>
    <s v="CUST-4526"/>
    <s v="Ananya Rao"/>
    <s v="Ananya Rao"/>
    <s v="Consumer"/>
    <s v="Consumer"/>
    <x v="3"/>
    <s v="West"/>
    <s v="Madhya Pradesh"/>
    <s v="Indore"/>
    <s v="Office Supplies"/>
    <s v="Office Supplies"/>
    <s v="Binders"/>
    <s v="Max Binders 547"/>
    <s v="Same Day"/>
    <s v="Same Day"/>
    <n v="3"/>
    <n v="1076.3"/>
    <n v="0"/>
    <n v="0"/>
    <s v="Valid"/>
    <n v="3228.9"/>
    <n v="1853.23"/>
    <n v="1375.67"/>
    <x v="0"/>
    <s v="Include"/>
    <s v=""/>
    <s v="Completed"/>
    <s v="Completed"/>
    <s v="Include"/>
  </r>
  <r>
    <s v="ORD-2025-10606"/>
    <n v="1"/>
    <s v=""/>
    <s v="2025-07-09"/>
    <d v="2025-07-09T00:00:00"/>
    <s v="13 Jul 2025"/>
    <d v="2025-07-13T00:00:00"/>
    <s v="Valid"/>
    <n v="4"/>
    <s v="Valid"/>
    <s v="CUST-4447"/>
    <s v="Kabir Singh"/>
    <s v="Kabir Singh"/>
    <s v="Corporate"/>
    <s v="Corporate"/>
    <x v="3"/>
    <s v="West"/>
    <s v="Goa"/>
    <s v="Panaji"/>
    <s v="Furniture"/>
    <s v="Furniture"/>
    <s v="Furnishings"/>
    <s v="Pro Furnishings 267"/>
    <s v="Second Class"/>
    <s v="Second Class"/>
    <n v="5"/>
    <n v="1680.01"/>
    <s v="85%"/>
    <s v="85%"/>
    <s v="Valid"/>
    <n v="7560.04"/>
    <n v="6448.05"/>
    <n v="1111.99"/>
    <x v="0"/>
    <s v="Exclude"/>
    <s v=""/>
    <s v="Cancelled"/>
    <s v="Cancelled"/>
    <s v="Exclude"/>
  </r>
  <r>
    <s v="ORD-2025-10607"/>
    <n v="1"/>
    <s v=""/>
    <s v="22 Feb 2025"/>
    <d v="2025-02-22T00:00:00"/>
    <s v="02/28/2025"/>
    <d v="2025-02-28T00:00:00"/>
    <s v="Valid"/>
    <n v="6"/>
    <s v="Valid"/>
    <s v="CUST-2698"/>
    <s v="Rahul Verma"/>
    <s v="Rahul Verma"/>
    <s v="Home Office"/>
    <s v="Home Office"/>
    <x v="3"/>
    <s v="West"/>
    <s v="Madhya Pradesh"/>
    <s v="Indore"/>
    <s v="Technology"/>
    <s v="Technology"/>
    <s v="Copiers"/>
    <s v="Max Copiers 520"/>
    <s v="Same Day"/>
    <s v="Same Day"/>
    <n v="3"/>
    <n v="3890.81"/>
    <n v="0.25"/>
    <n v="0.25"/>
    <s v="Valid"/>
    <n v="8754.32"/>
    <n v="6238.9"/>
    <n v="2515.42"/>
    <x v="0"/>
    <s v="Include"/>
    <s v=""/>
    <s v="Completed"/>
    <s v="Completed"/>
    <s v="Include"/>
  </r>
  <r>
    <s v="ORD-2025-10608"/>
    <n v="1"/>
    <s v=""/>
    <s v="16-02-2025"/>
    <d v="2025-02-16T00:00:00"/>
    <s v="22 Feb 2025"/>
    <d v="2025-02-22T00:00:00"/>
    <s v="Valid"/>
    <n v="6"/>
    <s v="Valid"/>
    <s v="CUST-6297"/>
    <s v="Sneha Kapoor"/>
    <s v="Sneha Kapoor"/>
    <s v="Home Office"/>
    <s v="Home Office"/>
    <x v="1"/>
    <s v="East"/>
    <s v="Bihar"/>
    <s v="Patna"/>
    <s v="Office Supplies"/>
    <s v="Office Supplies"/>
    <s v="Storage"/>
    <s v="Max Storage 424"/>
    <s v="Same Day"/>
    <s v="Same Day"/>
    <n v="5"/>
    <n v="954.67"/>
    <n v="0.15"/>
    <n v="0.15"/>
    <s v="Valid"/>
    <n v="4057.35"/>
    <n v="2862.03"/>
    <n v="1195.32"/>
    <x v="0"/>
    <s v="Include"/>
    <s v=""/>
    <s v="Completed"/>
    <s v="Completed"/>
    <s v="Include"/>
  </r>
  <r>
    <s v="ORD-2024-10609"/>
    <n v="1"/>
    <s v=""/>
    <s v="21 Jun 2024"/>
    <d v="2024-06-21T00:00:00"/>
    <s v="23 Jun 2024"/>
    <d v="2024-06-23T00:00:00"/>
    <s v="Valid"/>
    <n v="2"/>
    <s v="Valid"/>
    <s v="CUST-7690"/>
    <s v="Karan Malhotra"/>
    <s v="Karan Malhotra"/>
    <s v="Home Office"/>
    <s v="Home Office"/>
    <x v="3"/>
    <s v="West"/>
    <s v="Goa"/>
    <s v="Panaji"/>
    <s v="Furniture"/>
    <s v="Furniture"/>
    <s v="Furnishings"/>
    <s v="Elite Furnishings 706"/>
    <s v="Second Class"/>
    <s v="Second Class"/>
    <n v="9"/>
    <n v="2153.75"/>
    <n v="0"/>
    <n v="0"/>
    <s v="Valid"/>
    <n v="19383.75"/>
    <n v="11667.43"/>
    <n v="7716.32"/>
    <x v="0"/>
    <s v="Include"/>
    <s v=""/>
    <s v="Completed"/>
    <s v="Completed"/>
    <s v="Include"/>
  </r>
  <r>
    <s v="ORD-2025-10610"/>
    <n v="1"/>
    <s v=""/>
    <s v="2025-01-08"/>
    <d v="2025-01-08T00:00:00"/>
    <s v="12-01-2025"/>
    <d v="2025-01-12T00:00:00"/>
    <s v="Valid"/>
    <n v="4"/>
    <s v="Valid"/>
    <s v="CUST-4380"/>
    <s v="Sneha Kapoor"/>
    <s v="Sneha Kapoor"/>
    <s v="Home Office"/>
    <s v="Home Office"/>
    <x v="2"/>
    <s v="South"/>
    <s v="Karnataka"/>
    <s v="Bengaluru"/>
    <s v="Furniture"/>
    <s v="Furniture"/>
    <s v="Chairs"/>
    <s v="Pro Chairs 908"/>
    <s v="Standard Class"/>
    <s v="Standard Class"/>
    <n v="7"/>
    <n v="4337.4799999999996"/>
    <n v="0"/>
    <n v="0"/>
    <s v="Valid"/>
    <n v="30362.36"/>
    <n v="25065.4"/>
    <n v="5296.96"/>
    <x v="0"/>
    <s v="Include"/>
    <s v=""/>
    <s v="Completed"/>
    <s v="Completed"/>
    <s v="Include"/>
  </r>
  <r>
    <s v="ORD-2024-10611"/>
    <n v="1"/>
    <s v=""/>
    <s v="20 May 2024"/>
    <d v="2024-05-20T00:00:00"/>
    <s v="05/20/2024"/>
    <d v="2024-05-20T00:00:00"/>
    <s v="Valid"/>
    <n v="0"/>
    <s v="Valid"/>
    <s v="CUST-2779"/>
    <s v="Karan Malhotra"/>
    <s v="Karan Malhotra"/>
    <s v="Home Office"/>
    <s v="Home Office"/>
    <x v="3"/>
    <s v="West"/>
    <s v="Madhya Pradesh"/>
    <s v="Indore"/>
    <s v="Furniture"/>
    <s v="Furniture"/>
    <s v="Chairs"/>
    <s v="Pro Chairs 712"/>
    <s v="Standard Class"/>
    <s v="Standard Class"/>
    <n v="1"/>
    <n v="3032.95"/>
    <n v="0.1"/>
    <n v="0.1"/>
    <s v="Valid"/>
    <n v="2729.65"/>
    <n v="1715.36"/>
    <n v="1014.29"/>
    <x v="0"/>
    <s v="Include"/>
    <s v=""/>
    <s v="Completed"/>
    <s v="Completed"/>
    <s v="Include"/>
  </r>
  <r>
    <s v="ORD-2025-10612"/>
    <n v="1"/>
    <s v=""/>
    <s v="08-07-2025"/>
    <d v="2025-07-08T00:00:00"/>
    <s v="15 Jul 2025"/>
    <d v="2025-07-15T00:00:00"/>
    <s v="Valid"/>
    <n v="7"/>
    <s v="Valid"/>
    <s v="CUST-6108"/>
    <s v="Ananya Rao"/>
    <s v="Ananya Rao"/>
    <s v="Small Business"/>
    <s v="Small Business"/>
    <x v="0"/>
    <s v="North"/>
    <s v="Rajasthan"/>
    <s v="Jaipur"/>
    <s v="Office Supplies"/>
    <s v="Office Supplies"/>
    <s v="Binders"/>
    <s v="Max Binders 785"/>
    <s v="Same Day"/>
    <s v="Same Day"/>
    <n v="8"/>
    <n v="655.28"/>
    <n v="0.1"/>
    <n v="0.1"/>
    <s v="Valid"/>
    <n v="4718.0200000000004"/>
    <n v="3908.23"/>
    <n v="809.79"/>
    <x v="0"/>
    <s v="Include"/>
    <s v=""/>
    <s v="Completed"/>
    <s v="Completed"/>
    <s v="Include"/>
  </r>
  <r>
    <s v="ORD-2025-10613"/>
    <n v="1"/>
    <s v=""/>
    <s v="06 Apr 2025"/>
    <d v="2025-04-06T00:00:00"/>
    <s v="13-04-2025"/>
    <d v="2025-04-13T00:00:00"/>
    <s v="Valid"/>
    <n v="7"/>
    <s v="Valid"/>
    <s v="CUST-5663"/>
    <s v="Aditi Sen"/>
    <s v="Aditi Sen"/>
    <s v="Consumer"/>
    <s v="Consumer"/>
    <x v="4"/>
    <s v="Unknown"/>
    <s v="Odisha"/>
    <s v="Bhubaneswar"/>
    <s v="Technology"/>
    <s v="Technology"/>
    <s v="Phones"/>
    <s v="Elite Phones 239"/>
    <s v="Standard Class"/>
    <s v="Standard Class"/>
    <n v="1"/>
    <n v="3844.01"/>
    <n v="0"/>
    <n v="0"/>
    <s v="Valid"/>
    <n v="3844.01"/>
    <n v="2195.79"/>
    <n v="1648.22"/>
    <x v="0"/>
    <s v="Include"/>
    <s v=""/>
    <s v="Completed"/>
    <s v="Completed"/>
    <s v="Include"/>
  </r>
  <r>
    <s v="ORD-2024-10614"/>
    <n v="1"/>
    <s v=""/>
    <s v="2024-10-05"/>
    <d v="2024-10-05T00:00:00"/>
    <s v="10/10/2024"/>
    <d v="2024-10-10T00:00:00"/>
    <s v="Valid"/>
    <n v="5"/>
    <s v="Valid"/>
    <s v="CUST-9311"/>
    <s v="Diya Patel"/>
    <s v="Diya Patel"/>
    <s v="Home Office"/>
    <s v="Home Office"/>
    <x v="3"/>
    <s v="West"/>
    <s v="Gujarat"/>
    <s v="Ahmedabad"/>
    <s v="Technology"/>
    <s v="Technology"/>
    <s v="Machines"/>
    <s v="Basic Machines 413"/>
    <s v="Same Day"/>
    <s v="Same Day"/>
    <n v="9"/>
    <n v="3361.3"/>
    <n v="0.25"/>
    <n v="0.25"/>
    <s v="Valid"/>
    <n v="22688.78"/>
    <n v="14672.41"/>
    <n v="8016.37"/>
    <x v="0"/>
    <s v="Include"/>
    <s v=""/>
    <s v="Completed"/>
    <s v="Completed"/>
    <s v="Include"/>
  </r>
  <r>
    <s v="ORD-2024-10615"/>
    <n v="1"/>
    <s v=""/>
    <s v="11-02-2024"/>
    <d v="2024-02-11T00:00:00"/>
    <s v="19-02-2024"/>
    <d v="2024-02-19T00:00:00"/>
    <s v="Valid"/>
    <n v="8"/>
    <s v="Valid"/>
    <s v="CUST-8154"/>
    <s v="Ananya Rao"/>
    <s v="Ananya Rao"/>
    <s v="Home Office"/>
    <s v="Home Office"/>
    <x v="2"/>
    <s v="South"/>
    <s v="Telangana"/>
    <s v="Hyderabad"/>
    <s v="Furniture"/>
    <s v="Furniture"/>
    <s v="Chairs"/>
    <s v="Elite Chairs 140"/>
    <s v="Standard Class"/>
    <s v="Standard Class"/>
    <n v="8"/>
    <n v="3398.32"/>
    <n v="0.25"/>
    <n v="0.25"/>
    <s v="Valid"/>
    <n v="20389.919999999998"/>
    <n v="16661.080000000002"/>
    <n v="3728.84"/>
    <x v="1"/>
    <s v="Exclude"/>
    <s v="Refunded Order"/>
    <s v="Cancelled"/>
    <s v="Cancelled"/>
    <s v="Exclude"/>
  </r>
  <r>
    <s v="ORD-2024-10616"/>
    <n v="1"/>
    <s v=""/>
    <s v="2024-10-04"/>
    <d v="2024-10-04T00:00:00"/>
    <s v="10/07/2024"/>
    <d v="2024-10-07T00:00:00"/>
    <s v="Valid"/>
    <n v="3"/>
    <s v="Valid"/>
    <s v="CUST-4462"/>
    <s v="Rahul Verma"/>
    <s v="Rahul Verma"/>
    <s v="Corporate"/>
    <s v="Corporate"/>
    <x v="2"/>
    <s v="South"/>
    <s v="Kerala"/>
    <s v="Kochi"/>
    <s v="Office Supplies"/>
    <s v="Office Supplies"/>
    <s v="Art"/>
    <s v="Basic Art 771"/>
    <s v="Second Class"/>
    <s v="Second Class"/>
    <n v="2"/>
    <n v="3144.38"/>
    <n v="0.1"/>
    <n v="0.1"/>
    <s v="Valid"/>
    <n v="5904.57"/>
    <n v="4337.79"/>
    <n v="1322.09"/>
    <x v="0"/>
    <s v="Include"/>
    <s v=""/>
    <s v="Completed"/>
    <s v="Completed"/>
    <s v="Include"/>
  </r>
  <r>
    <s v="ORD-2024-10617"/>
    <n v="1"/>
    <s v=""/>
    <s v="16 Aug 2024"/>
    <d v="2024-08-16T00:00:00"/>
    <s v="19-08-2024"/>
    <d v="2024-08-19T00:00:00"/>
    <s v="Valid"/>
    <n v="3"/>
    <s v="Valid"/>
    <s v="CUST-4660"/>
    <s v="Kabir Singh"/>
    <s v="Kabir Singh"/>
    <s v="Consumer"/>
    <s v="Consumer"/>
    <x v="2"/>
    <s v="South"/>
    <s v="Telangana"/>
    <s v="Hyderabad"/>
    <s v="Office Supplies"/>
    <s v="Office Supplies"/>
    <s v="Paper"/>
    <s v="Prime Paper 664"/>
    <s v="Standard Class"/>
    <s v="Standard Class"/>
    <n v="6"/>
    <n v="3925.55"/>
    <n v="0.2"/>
    <n v="0.2"/>
    <s v="Valid"/>
    <n v="18842.64"/>
    <n v="11840.58"/>
    <n v="7002.06"/>
    <x v="0"/>
    <s v="Include"/>
    <s v=""/>
    <s v="Completed"/>
    <s v="Completed"/>
    <s v="Include"/>
  </r>
  <r>
    <s v="ORD-2024-10618"/>
    <n v="1"/>
    <s v=""/>
    <s v="09/29/2024"/>
    <d v="2024-09-29T00:00:00"/>
    <s v="2024-09-30"/>
    <d v="2024-09-30T00:00:00"/>
    <s v="Valid"/>
    <n v="1"/>
    <s v="Valid"/>
    <s v="CUST-9002"/>
    <s v="Mira Das"/>
    <s v="Mira Das"/>
    <s v="Home Office"/>
    <s v="Home Office"/>
    <x v="2"/>
    <s v="South"/>
    <s v="Telangana"/>
    <s v="Hyderabad"/>
    <s v="Technology"/>
    <s v="Technology"/>
    <s v="Phones"/>
    <s v="Pro Phones 226"/>
    <s v="Standard Class"/>
    <s v="Standard Class"/>
    <n v="9"/>
    <n v="2741.91"/>
    <n v="0"/>
    <n v="0"/>
    <s v="Valid"/>
    <n v="24677.19"/>
    <n v="20350.849999999999"/>
    <n v="4326.34"/>
    <x v="0"/>
    <s v="Include"/>
    <s v=""/>
    <s v="Completed"/>
    <s v="Completed"/>
    <s v="Include"/>
  </r>
  <r>
    <s v="ORD-2024-10619"/>
    <n v="1"/>
    <s v=""/>
    <s v="2024-07-23"/>
    <d v="2024-07-23T00:00:00"/>
    <s v="2024-07-30"/>
    <d v="2024-07-30T00:00:00"/>
    <s v="Valid"/>
    <n v="7"/>
    <s v="Valid"/>
    <s v="CUST-1057"/>
    <s v="Kabir Singh"/>
    <s v="Kabir Singh"/>
    <s v="Corporate"/>
    <s v="Corporate"/>
    <x v="0"/>
    <s v="North"/>
    <s v="Rajasthan"/>
    <s v="Jaipur"/>
    <s v="Furniture"/>
    <s v="Furniture"/>
    <s v="Tables"/>
    <s v="Basic Tables 684"/>
    <s v="Same Day"/>
    <s v="Same Day"/>
    <n v="9"/>
    <n v="1870.11"/>
    <n v="0.25"/>
    <n v="0.25"/>
    <s v="Valid"/>
    <n v="12623.24"/>
    <n v="10540.8"/>
    <n v="2082.44"/>
    <x v="3"/>
    <s v="Exclude"/>
    <s v=""/>
    <s v="Cancelled"/>
    <s v="Cancelled"/>
    <s v="Exclude"/>
  </r>
  <r>
    <s v="ORD-2024-10620"/>
    <n v="1"/>
    <s v=""/>
    <s v="11/22/2024"/>
    <d v="2024-11-22T00:00:00"/>
    <s v="27 Nov 2024"/>
    <d v="2024-11-27T00:00:00"/>
    <s v="Valid"/>
    <n v="5"/>
    <s v="Valid"/>
    <s v="CUST-9596"/>
    <s v="Priya Menon"/>
    <s v="Priya Menon"/>
    <s v="Corporate"/>
    <s v="Corporate"/>
    <x v="2"/>
    <s v="South"/>
    <s v="Tamil Nadu"/>
    <s v="Chennai"/>
    <s v="Office Supplies"/>
    <s v="Office Supplies"/>
    <s v="Binders"/>
    <s v="Prime Binders 938"/>
    <s v="First Class"/>
    <s v="First Class"/>
    <n v="1"/>
    <n v="4251.26"/>
    <n v="0.2"/>
    <n v="0.2"/>
    <s v="Valid"/>
    <n v="3401.01"/>
    <n v="2917.54"/>
    <n v="483.47"/>
    <x v="1"/>
    <s v="Include"/>
    <s v="Refunded Order"/>
    <s v="Returned"/>
    <s v="Returned"/>
    <s v="Include"/>
  </r>
  <r>
    <s v="ORD-2024-10621"/>
    <n v="1"/>
    <s v=""/>
    <s v="18-08-2024"/>
    <d v="2024-08-18T00:00:00"/>
    <s v="08/21/2024"/>
    <d v="2024-08-21T00:00:00"/>
    <s v="Valid"/>
    <n v="3"/>
    <s v="Valid"/>
    <s v="CUST-6947"/>
    <s v="Vikram Iyer"/>
    <s v="Vikram Iyer"/>
    <s v="Consumer"/>
    <s v="Consumer"/>
    <x v="0"/>
    <s v="North"/>
    <s v="Uttar Pradesh"/>
    <s v="Noida"/>
    <s v="Technology"/>
    <s v="Technology"/>
    <s v="Machines"/>
    <s v="Classic Machines 337"/>
    <s v="Standard Class"/>
    <s v="Standard Class"/>
    <n v="9"/>
    <n v="734.34"/>
    <n v="0"/>
    <n v="0"/>
    <s v="Valid"/>
    <n v="6609.06"/>
    <n v="4946.78"/>
    <n v="1662.28"/>
    <x v="0"/>
    <s v="Include"/>
    <s v=""/>
    <s v="Completed"/>
    <s v="Completed"/>
    <s v="Include"/>
  </r>
  <r>
    <s v="ORD-2024-10622"/>
    <n v="1"/>
    <s v=""/>
    <s v="28-11-2024"/>
    <d v="2024-11-28T00:00:00"/>
    <s v="06-12-2024"/>
    <d v="2024-12-06T00:00:00"/>
    <s v="Valid"/>
    <n v="8"/>
    <s v="Valid"/>
    <s v="CUST-7236"/>
    <s v="Aditi Sen"/>
    <s v="Aditi Sen"/>
    <s v="Consumer"/>
    <s v="Consumer"/>
    <x v="3"/>
    <s v="West"/>
    <s v="Maharashtra"/>
    <s v="Mumbai"/>
    <s v="Furniture"/>
    <s v="Furniture"/>
    <s v="Chairs"/>
    <s v="Max Chairs 748"/>
    <s v="Same Day"/>
    <s v="Same Day"/>
    <n v="5"/>
    <n v="1092.8399999999999"/>
    <m/>
    <n v="0"/>
    <s v="Valid"/>
    <n v="5464.2"/>
    <n v="3318.09"/>
    <n v="2146.11"/>
    <x v="0"/>
    <s v="Include"/>
    <s v=""/>
    <s v="Completed"/>
    <s v="Completed"/>
    <s v="Include"/>
  </r>
  <r>
    <s v="ORD-2025-10623"/>
    <n v="1"/>
    <s v=""/>
    <s v="29-01-2025"/>
    <d v="2025-01-29T00:00:00"/>
    <s v="06 Feb 2025"/>
    <d v="2025-02-06T00:00:00"/>
    <s v="Valid"/>
    <n v="8"/>
    <s v="Valid"/>
    <s v="CUST-1127"/>
    <s v="Vikram Iyer"/>
    <s v="Vikram Iyer"/>
    <s v="Consumer"/>
    <s v="Consumer"/>
    <x v="1"/>
    <s v="East"/>
    <s v="Bihar"/>
    <s v="Patna"/>
    <s v="Office Supplies"/>
    <s v="Office Supplies"/>
    <s v="Storage"/>
    <s v="Basic Storage 934"/>
    <s v="Standard Class"/>
    <s v="Standard Class"/>
    <n v="4"/>
    <n v="2759.01"/>
    <n v="0.05"/>
    <n v="0.05"/>
    <s v="Valid"/>
    <n v="10484.24"/>
    <n v="6680.15"/>
    <n v="3804.09"/>
    <x v="0"/>
    <s v="Include"/>
    <s v=""/>
    <s v="Completed"/>
    <s v="Completed"/>
    <s v="Include"/>
  </r>
  <r>
    <s v="ORD-2024-10624"/>
    <n v="1"/>
    <s v=""/>
    <s v="08 Aug 2024"/>
    <d v="2024-08-08T00:00:00"/>
    <s v="14 Aug 2024"/>
    <d v="2024-08-14T00:00:00"/>
    <s v="Valid"/>
    <n v="6"/>
    <s v="Valid"/>
    <s v="CUST-6262"/>
    <s v="Vikram Iyer"/>
    <s v="Vikram Iyer"/>
    <s v="Home Office"/>
    <s v="Home Office"/>
    <x v="0"/>
    <s v="North"/>
    <s v="Punjab"/>
    <s v="Ludhiana"/>
    <s v="Office Supplies"/>
    <s v="Office Supplies"/>
    <s v="Storage"/>
    <s v="Pro Storage 509"/>
    <s v="Second Class"/>
    <s v="Second Class"/>
    <n v="8"/>
    <n v="1359.19"/>
    <n v="0.05"/>
    <n v="0.05"/>
    <s v="Valid"/>
    <n v="10329.84"/>
    <n v="7512.22"/>
    <n v="2817.62"/>
    <x v="0"/>
    <s v="Include"/>
    <s v=""/>
    <s v="Completed"/>
    <s v="Completed"/>
    <s v="Include"/>
  </r>
  <r>
    <s v="ORD-2024-10625"/>
    <n v="1"/>
    <s v=""/>
    <s v="01/30/2024"/>
    <d v="2024-01-30T00:00:00"/>
    <s v="2024-02-01"/>
    <d v="2024-02-01T00:00:00"/>
    <s v="Valid"/>
    <n v="2"/>
    <s v="Valid"/>
    <s v="CUST-5070"/>
    <s v="Neha Gupta"/>
    <s v="Neha Gupta"/>
    <s v="Home Office"/>
    <s v="Home Office"/>
    <x v="1"/>
    <s v="East"/>
    <s v="Assam"/>
    <s v="Guwahati"/>
    <s v="Furniture"/>
    <s v="Furniture"/>
    <s v="Chairs"/>
    <s v="Prime Chairs 765"/>
    <s v="First Class"/>
    <s v="First Class"/>
    <n v="2"/>
    <n v="4451.03"/>
    <n v="0.05"/>
    <n v="0.05"/>
    <s v="Valid"/>
    <n v="8456.9599999999991"/>
    <n v="5462.85"/>
    <n v="2994.11"/>
    <x v="0"/>
    <s v="Include"/>
    <s v=""/>
    <s v="Completed"/>
    <s v="Completed"/>
    <s v="Include"/>
  </r>
  <r>
    <s v="ORD-2024-10626"/>
    <n v="1"/>
    <s v=""/>
    <s v="12/15/2024"/>
    <d v="2024-12-15T00:00:00"/>
    <s v="21 Dec 2024"/>
    <d v="2024-12-21T00:00:00"/>
    <s v="Valid"/>
    <n v="6"/>
    <s v="Valid"/>
    <s v="CUST-7946"/>
    <s v="Diya Patel"/>
    <s v="Diya Patel"/>
    <s v="Corporate"/>
    <s v="Corporate"/>
    <x v="3"/>
    <s v="West"/>
    <s v="Rajasthan"/>
    <s v="Udaipur"/>
    <s v="Furniture"/>
    <s v="Furniture"/>
    <s v="Chairs"/>
    <s v="Elite Chairs 358"/>
    <s v="Same Day"/>
    <s v="Same Day"/>
    <n v="3"/>
    <n v="527.66999999999996"/>
    <n v="0.2"/>
    <n v="0.2"/>
    <s v="Valid"/>
    <n v="1266.4100000000001"/>
    <n v="983.92"/>
    <n v="282.49"/>
    <x v="0"/>
    <s v="Include"/>
    <s v=""/>
    <s v="Completed"/>
    <s v="Completed"/>
    <s v="Include"/>
  </r>
  <r>
    <s v="ORD-2025-10627"/>
    <n v="1"/>
    <s v=""/>
    <s v="04-06-2025"/>
    <d v="2025-06-04T00:00:00"/>
    <s v="06/07/2025"/>
    <d v="2025-06-07T00:00:00"/>
    <s v="Valid"/>
    <n v="3"/>
    <s v="Valid"/>
    <s v="CUST-1793"/>
    <s v="Sneha Kapoor"/>
    <s v="Sneha Kapoor"/>
    <s v="Home Office"/>
    <s v="Home Office"/>
    <x v="1"/>
    <s v="East"/>
    <s v="Assam"/>
    <s v="Guwahati"/>
    <s v="Technology"/>
    <s v="Technology"/>
    <s v="Machines"/>
    <s v="Elite Machines 971"/>
    <s v="Standard Class"/>
    <s v="Standard Class"/>
    <n v="8"/>
    <n v="1434.13"/>
    <n v="0"/>
    <n v="0"/>
    <s v="Valid"/>
    <n v="11473.04"/>
    <n v="8931.33"/>
    <n v="2541.71"/>
    <x v="2"/>
    <s v="Include"/>
    <s v=""/>
    <s v="Returned"/>
    <s v="Returned"/>
    <s v="Include"/>
  </r>
  <r>
    <s v="ORD-2025-10628"/>
    <n v="1"/>
    <s v=""/>
    <s v="02/13/2025"/>
    <d v="2025-02-13T00:00:00"/>
    <s v="21-02-2025"/>
    <d v="2025-02-21T00:00:00"/>
    <s v="Valid"/>
    <n v="8"/>
    <s v="Valid"/>
    <s v="CUST-8839"/>
    <s v="Karan Malhotra"/>
    <s v="Karan Malhotra"/>
    <s v="Small Business"/>
    <s v="Small Business"/>
    <x v="2"/>
    <s v="South"/>
    <s v="Kerala"/>
    <s v="Kochi"/>
    <s v="Technology"/>
    <s v="Technology"/>
    <s v="Phones"/>
    <s v="Max Phones 825"/>
    <s v="Second Class"/>
    <s v="Second Class"/>
    <n v="2"/>
    <n v="2360.02"/>
    <n v="0.15"/>
    <n v="0.15"/>
    <s v="Valid"/>
    <n v="4012.03"/>
    <n v="3142.92"/>
    <n v="869.11"/>
    <x v="2"/>
    <s v="Exclude"/>
    <s v=""/>
    <s v="Cancelled"/>
    <s v="Cancelled"/>
    <s v="Exclude"/>
  </r>
  <r>
    <s v="ORD-2025-10629"/>
    <n v="1"/>
    <s v=""/>
    <s v="2025-10-05"/>
    <d v="2025-10-05T00:00:00"/>
    <s v="12 Oct 2025"/>
    <d v="2025-10-12T00:00:00"/>
    <s v="Valid"/>
    <n v="7"/>
    <s v="Valid"/>
    <s v="CUST-6725"/>
    <s v="Ananya Rao"/>
    <s v="Ananya Rao"/>
    <s v="Home Office"/>
    <s v="Home Office"/>
    <x v="1"/>
    <s v="East"/>
    <s v="Jharkhand"/>
    <s v="Ranchi"/>
    <s v="Technology"/>
    <s v="Technology"/>
    <s v="Accessories"/>
    <s v="Eco Accessories 933"/>
    <s v="Same Day"/>
    <s v="Same Day"/>
    <n v="7"/>
    <n v="806.67"/>
    <n v="0.05"/>
    <n v="0.05"/>
    <s v="Valid"/>
    <n v="5364.36"/>
    <n v="4391.29"/>
    <n v="973.07"/>
    <x v="0"/>
    <s v="Include"/>
    <s v=""/>
    <s v="Completed"/>
    <s v="Completed"/>
    <s v="Include"/>
  </r>
  <r>
    <s v="ORD-2025-10630"/>
    <n v="1"/>
    <s v=""/>
    <s v="09/10/2025"/>
    <d v="2025-09-10T00:00:00"/>
    <s v="14 Sep 2025"/>
    <d v="2025-09-14T00:00:00"/>
    <s v="Valid"/>
    <n v="4"/>
    <s v="Valid"/>
    <s v="CUST-3793"/>
    <s v="Arjun Bose"/>
    <s v="Arjun Bose"/>
    <s v="Home Office"/>
    <s v="Home Office"/>
    <x v="3"/>
    <s v="West"/>
    <s v="Gujarat"/>
    <s v="Ahmedabad"/>
    <s v="Furniture"/>
    <s v="Furniture"/>
    <s v="Tables"/>
    <s v="Max Tables 908"/>
    <s v="Same Day"/>
    <s v="Same Day"/>
    <n v="3"/>
    <n v="4198.46"/>
    <n v="0.15"/>
    <n v="0.15"/>
    <s v="Valid"/>
    <n v="10706.07"/>
    <n v="5927.1"/>
    <n v="4778.97"/>
    <x v="0"/>
    <s v="Include"/>
    <s v=""/>
    <s v="Completed"/>
    <s v="Completed"/>
    <s v="Include"/>
  </r>
  <r>
    <s v="ORD-2024-10631"/>
    <n v="1"/>
    <s v=""/>
    <s v="2024-04-09"/>
    <d v="2024-04-09T00:00:00"/>
    <s v="2024-04-10"/>
    <d v="2024-04-10T00:00:00"/>
    <s v="Valid"/>
    <n v="1"/>
    <s v="Valid"/>
    <s v="CUST-6075"/>
    <s v="Priya Menon"/>
    <s v="Priya Menon"/>
    <s v="Corporate"/>
    <s v="Corporate"/>
    <x v="1"/>
    <s v="East"/>
    <s v="Assam"/>
    <s v="Guwahati"/>
    <s v="Office Supplies"/>
    <s v="Office Supplies"/>
    <s v="Paper"/>
    <s v="Elite Paper 239"/>
    <s v="Standard Class"/>
    <s v="Standard Class"/>
    <n v="4"/>
    <n v="3047.05"/>
    <n v="0.1"/>
    <n v="0.1"/>
    <s v="Valid"/>
    <n v="10969.38"/>
    <n v="9254.4599999999991"/>
    <n v="1714.92"/>
    <x v="0"/>
    <s v="Include"/>
    <s v=""/>
    <s v="Completed"/>
    <s v="Completed"/>
    <s v="Include"/>
  </r>
  <r>
    <s v="ORD-2024-10632"/>
    <n v="1"/>
    <s v=""/>
    <s v="10 Apr 2024"/>
    <d v="2024-04-10T00:00:00"/>
    <s v="15-04-2024"/>
    <d v="2024-04-15T00:00:00"/>
    <s v="Valid"/>
    <n v="5"/>
    <s v="Valid"/>
    <s v="CUST-6381"/>
    <s v="Aarav Sharma"/>
    <s v="Aarav Sharma"/>
    <s v="Home Office"/>
    <s v="Home Office"/>
    <x v="3"/>
    <s v="West"/>
    <s v="Rajasthan"/>
    <s v="Udaipur"/>
    <s v="Furniture"/>
    <s v="Furniture"/>
    <s v="Chairs"/>
    <s v="Eco Chairs 452"/>
    <s v="Standard Class"/>
    <s v="Standard Class"/>
    <n v="8"/>
    <n v="4362.4799999999996"/>
    <n v="0.1"/>
    <n v="0.1"/>
    <s v="Valid"/>
    <n v="31409.86"/>
    <n v="22523.54"/>
    <n v="8886.32"/>
    <x v="0"/>
    <s v="Include"/>
    <s v=""/>
    <s v="Completed"/>
    <s v="Completed"/>
    <s v="Include"/>
  </r>
  <r>
    <s v="ORD-2025-10633"/>
    <n v="1"/>
    <s v=""/>
    <s v="15-04-2025"/>
    <d v="2025-04-15T00:00:00"/>
    <s v="16-04-2025"/>
    <d v="2025-04-16T00:00:00"/>
    <s v="Valid"/>
    <n v="1"/>
    <s v="Valid"/>
    <s v="CUST-4593"/>
    <s v="Sneha Kapoor"/>
    <s v="Sneha Kapoor"/>
    <s v="Small Business"/>
    <s v="Small Business"/>
    <x v="2"/>
    <s v="South"/>
    <s v="Karnataka"/>
    <s v="Bengaluru"/>
    <s v="Furniture"/>
    <s v="Furniture"/>
    <s v="Furnishings"/>
    <s v="Smart Furnishings 721"/>
    <s v="First Class"/>
    <s v="First Class"/>
    <n v="5"/>
    <n v="2850.53"/>
    <n v="0"/>
    <n v="0"/>
    <s v="Valid"/>
    <n v="14252.65"/>
    <n v="11558.31"/>
    <n v="2694.34"/>
    <x v="0"/>
    <s v="Include"/>
    <s v=""/>
    <s v="Completed"/>
    <s v="Completed"/>
    <s v="Include"/>
  </r>
  <r>
    <s v="ORD-2025-10634"/>
    <n v="1"/>
    <s v=""/>
    <s v="04/18/2025"/>
    <d v="2025-04-18T00:00:00"/>
    <s v="20 Apr 2025"/>
    <d v="2025-04-20T00:00:00"/>
    <s v="Valid"/>
    <n v="2"/>
    <s v="Valid"/>
    <s v="CUST-5043"/>
    <s v="Aarav Sharma"/>
    <s v="Aarav Sharma"/>
    <s v="Small Business"/>
    <s v="Small Business"/>
    <x v="2"/>
    <s v="South"/>
    <s v="Tamil Nadu"/>
    <s v="Chennai"/>
    <s v="Technology"/>
    <s v="Technology"/>
    <s v="Accessories"/>
    <s v="Basic Accessories 729"/>
    <s v="Second Class"/>
    <s v="Second Class"/>
    <n v="1"/>
    <n v="1626.08"/>
    <n v="0.15"/>
    <n v="0.15"/>
    <s v="Valid"/>
    <n v="1382.17"/>
    <n v="810.03"/>
    <n v="572.14"/>
    <x v="0"/>
    <s v="Include"/>
    <s v=""/>
    <s v="Completed"/>
    <s v="Completed"/>
    <s v="Include"/>
  </r>
  <r>
    <s v="ORD-2025-10635"/>
    <n v="1"/>
    <s v=""/>
    <s v="01/11/2025"/>
    <d v="2025-01-11T00:00:00"/>
    <s v="12 Jan 2025"/>
    <d v="2025-01-12T00:00:00"/>
    <s v="Valid"/>
    <n v="1"/>
    <s v="Valid"/>
    <s v="CUST-4722"/>
    <s v="Aditi Sen"/>
    <s v="Aditi Sen"/>
    <s v="Consumer"/>
    <s v="Consumer"/>
    <x v="2"/>
    <s v="South"/>
    <s v="Telangana"/>
    <s v="Hyderabad"/>
    <s v="Furniture"/>
    <s v="Furniture"/>
    <s v="Chairs"/>
    <s v="Classic Chairs 220"/>
    <s v="Second Class"/>
    <s v="Second Class"/>
    <n v="4"/>
    <n v="2427.15"/>
    <n v="0.05"/>
    <n v="0.05"/>
    <s v="Valid"/>
    <n v="9223.17"/>
    <n v="5103.7"/>
    <n v="4119.47"/>
    <x v="0"/>
    <s v="Include"/>
    <s v=""/>
    <s v="Completed"/>
    <s v="Completed"/>
    <s v="Include"/>
  </r>
  <r>
    <s v="ORD-2024-10636"/>
    <n v="1"/>
    <s v=""/>
    <s v="20 May 2024"/>
    <d v="2024-05-20T00:00:00"/>
    <s v="2024-05-25"/>
    <d v="2024-05-25T00:00:00"/>
    <s v="Valid"/>
    <n v="5"/>
    <s v="Valid"/>
    <s v="CUST-7931"/>
    <s v="Mira Das"/>
    <s v="Mira Das"/>
    <s v="Corporate"/>
    <s v="Corporate"/>
    <x v="2"/>
    <s v="South"/>
    <s v="Andhra Pradesh"/>
    <s v="Vijayawada"/>
    <s v="Furniture"/>
    <s v="Furniture"/>
    <s v="Chairs"/>
    <s v="Max Chairs 305"/>
    <s v="Same Day"/>
    <s v="Same Day"/>
    <n v="7"/>
    <n v="3122.85"/>
    <n v="0.25"/>
    <n v="0.25"/>
    <s v="Valid"/>
    <n v="16394.96"/>
    <n v="10404.17"/>
    <n v="5990.79"/>
    <x v="0"/>
    <s v="Include"/>
    <s v=""/>
    <s v="Completed"/>
    <s v="Completed"/>
    <s v="Include"/>
  </r>
  <r>
    <s v="ORD-2024-10637"/>
    <n v="1"/>
    <s v=""/>
    <s v="02 Oct 2024"/>
    <d v="2024-10-02T00:00:00"/>
    <s v="09 Oct 2024"/>
    <d v="2024-10-09T00:00:00"/>
    <s v="Valid"/>
    <n v="7"/>
    <s v="Valid"/>
    <s v="CUST-7221"/>
    <s v="Ananya Rao"/>
    <s v="Ananya Rao"/>
    <s v="Consumer"/>
    <s v="Consumer"/>
    <x v="2"/>
    <s v="South"/>
    <s v="Tamil Nadu"/>
    <s v="Chennai"/>
    <s v="Office Supplies"/>
    <s v="Office Supplies"/>
    <s v="Paper"/>
    <s v="Smart Paper 872"/>
    <s v="Standard Class"/>
    <s v="Standard Class"/>
    <n v="8"/>
    <n v="1910.31"/>
    <n v="0.15"/>
    <n v="0.15"/>
    <s v="Valid"/>
    <n v="12990.11"/>
    <n v="10200.799999999999"/>
    <n v="2789.31"/>
    <x v="0"/>
    <s v="Include"/>
    <s v=""/>
    <s v="Completed"/>
    <s v="Completed"/>
    <s v="Include"/>
  </r>
  <r>
    <s v="ORD-2024-10638"/>
    <n v="1"/>
    <s v=""/>
    <s v="26-05-2024"/>
    <d v="2024-05-26T00:00:00"/>
    <s v="2024-05-26"/>
    <d v="2024-05-26T00:00:00"/>
    <s v="Valid"/>
    <n v="0"/>
    <s v="Valid"/>
    <s v="CUST-2594"/>
    <s v="Rahul Verma"/>
    <s v="Rahul Verma"/>
    <s v="Small Business"/>
    <s v="Small Business"/>
    <x v="3"/>
    <s v="West"/>
    <s v="Goa"/>
    <s v="Panaji"/>
    <s v="Technology"/>
    <s v="Technology"/>
    <s v="Copiers"/>
    <s v="Max Copiers 994"/>
    <s v="First Class"/>
    <s v="First Class"/>
    <n v="2"/>
    <n v="3192.47"/>
    <n v="0.2"/>
    <n v="0.2"/>
    <s v="Valid"/>
    <n v="5107.95"/>
    <n v="3133.08"/>
    <n v="1974.87"/>
    <x v="0"/>
    <s v="Include"/>
    <s v=""/>
    <s v="Completed"/>
    <s v="Completed"/>
    <s v="Include"/>
  </r>
  <r>
    <s v="ORD-2024-10639"/>
    <n v="1"/>
    <s v=""/>
    <s v="26 Jan 2024"/>
    <d v="2024-01-26T00:00:00"/>
    <s v="31-01-2024"/>
    <d v="2024-01-31T00:00:00"/>
    <s v="Valid"/>
    <n v="5"/>
    <s v="Valid"/>
    <s v="CUST-2111"/>
    <s v="Karan Malhotra"/>
    <s v="Karan Malhotra"/>
    <s v="Corporate"/>
    <s v="Corporate"/>
    <x v="2"/>
    <s v="South"/>
    <s v="Kerala"/>
    <s v="Kochi"/>
    <s v="Office Supplies"/>
    <s v="Office Supplies"/>
    <s v="Storage"/>
    <s v="Pro Storage 744"/>
    <s v="Second Class"/>
    <s v="Second Class"/>
    <n v="3"/>
    <n v="3224.32"/>
    <n v="0.2"/>
    <n v="0.2"/>
    <s v="Valid"/>
    <n v="7738.37"/>
    <n v="4626.8500000000004"/>
    <n v="3111.52"/>
    <x v="3"/>
    <s v="Exclude"/>
    <s v=""/>
    <s v="Returned"/>
    <s v="Returned"/>
    <s v="Include"/>
  </r>
  <r>
    <s v="ORD-2024-10640"/>
    <n v="1"/>
    <s v=""/>
    <s v="12/27/2024"/>
    <d v="2024-12-27T00:00:00"/>
    <s v="31-12-2024"/>
    <d v="2024-12-31T00:00:00"/>
    <s v="Valid"/>
    <n v="4"/>
    <s v="Valid"/>
    <s v="CUST-6829"/>
    <s v="Isha Nair"/>
    <s v="Isha Nair"/>
    <s v="Small Business"/>
    <s v="Small Business"/>
    <x v="1"/>
    <s v="East"/>
    <s v="Odisha"/>
    <s v="Bhubaneswar"/>
    <s v="Furniture"/>
    <s v="Furniture"/>
    <s v="Chairs"/>
    <s v="Elite Chairs 744"/>
    <s v="Second Class"/>
    <s v="Second Class"/>
    <n v="1"/>
    <n v="1594.7"/>
    <n v="0.05"/>
    <n v="0.05"/>
    <s v="Valid"/>
    <n v="1514.96"/>
    <n v="1046.17"/>
    <n v="468.79"/>
    <x v="0"/>
    <s v="Include"/>
    <s v=""/>
    <s v="Completed"/>
    <s v="Completed"/>
    <s v="Include"/>
  </r>
  <r>
    <s v="ORD-2025-10641"/>
    <n v="1"/>
    <s v=""/>
    <s v="14-01-2025"/>
    <d v="2025-01-14T00:00:00"/>
    <s v="17 Jan 2025"/>
    <d v="2025-01-17T00:00:00"/>
    <s v="Valid"/>
    <n v="3"/>
    <s v="Valid"/>
    <s v="CUST-5061"/>
    <s v="Vikram Iyer"/>
    <s v="Vikram Iyer"/>
    <s v="Consumer"/>
    <s v="Consumer"/>
    <x v="3"/>
    <s v="West"/>
    <s v="Goa"/>
    <s v="Panaji"/>
    <s v="Office Supplies"/>
    <s v="Office Supplies"/>
    <s v="Storage"/>
    <s v="Basic Storage 973"/>
    <s v="First Class"/>
    <s v="First Class"/>
    <n v="1"/>
    <n v="1584.12"/>
    <n v="0.2"/>
    <n v="0.2"/>
    <s v="Valid"/>
    <n v="1267.3"/>
    <n v="923.53"/>
    <n v="343.77"/>
    <x v="0"/>
    <s v="Include"/>
    <s v=""/>
    <s v="Completed"/>
    <s v="Completed"/>
    <s v="Include"/>
  </r>
  <r>
    <s v="ORD-2025-10642"/>
    <n v="1"/>
    <s v=""/>
    <s v="2025-04-09"/>
    <d v="2025-04-09T00:00:00"/>
    <s v="2025-04-14"/>
    <d v="2025-04-14T00:00:00"/>
    <s v="Valid"/>
    <n v="5"/>
    <s v="Valid"/>
    <s v="CUST-7915"/>
    <s v="Karan Malhotra"/>
    <s v="Karan Malhotra"/>
    <s v="Consumer"/>
    <s v="Consumer"/>
    <x v="0"/>
    <s v="North"/>
    <s v="Delhi"/>
    <s v="New Delhi"/>
    <s v="Furniture"/>
    <s v="Furniture"/>
    <s v="Furnishings"/>
    <s v="Smart Furnishings 783"/>
    <s v="Same Day"/>
    <s v="Same Day"/>
    <n v="2"/>
    <n v="3202.87"/>
    <n v="0"/>
    <n v="0"/>
    <s v="Valid"/>
    <n v="6405.74"/>
    <n v="3561.87"/>
    <n v="2843.87"/>
    <x v="0"/>
    <s v="Include"/>
    <s v=""/>
    <s v="Completed"/>
    <s v="Completed"/>
    <s v="Include"/>
  </r>
  <r>
    <s v="ORD-2024-10643"/>
    <n v="1"/>
    <s v=""/>
    <s v="08/29/2024"/>
    <d v="2024-08-29T00:00:00"/>
    <s v="08/31/2024"/>
    <d v="2024-08-31T00:00:00"/>
    <s v="Valid"/>
    <n v="2"/>
    <s v="Valid"/>
    <s v="CUST-1940"/>
    <s v="Isha Nair"/>
    <s v="Isha Nair"/>
    <s v="Home Office"/>
    <s v="Home Office"/>
    <x v="1"/>
    <s v="East"/>
    <s v="Assam"/>
    <s v="Guwahati"/>
    <s v="Office Supplies"/>
    <s v="Office Supplies"/>
    <s v="Binders"/>
    <s v="Prime Binders 287"/>
    <s v="Second Class"/>
    <s v="Second Class"/>
    <n v="9"/>
    <n v="1275.21"/>
    <n v="0.25"/>
    <n v="0.25"/>
    <s v="Valid"/>
    <n v="8607.67"/>
    <n v="5337.64"/>
    <n v="3270.03"/>
    <x v="3"/>
    <s v="Exclude"/>
    <s v=""/>
    <s v="Returned"/>
    <s v="Returned"/>
    <s v="Include"/>
  </r>
  <r>
    <s v="ORD-2024-10644"/>
    <n v="1"/>
    <s v=""/>
    <s v="05-02-2024"/>
    <d v="2024-02-05T00:00:00"/>
    <s v="2024-02-13"/>
    <d v="2024-02-13T00:00:00"/>
    <s v="Valid"/>
    <n v="8"/>
    <s v="Valid"/>
    <s v="CUST-1986"/>
    <s v="Aarav Sharma"/>
    <s v="Aarav Sharma"/>
    <s v="Home Office"/>
    <s v="Home Office"/>
    <x v="0"/>
    <s v="North"/>
    <s v="Uttar Pradesh"/>
    <s v="Noida"/>
    <s v="Office Supplies"/>
    <s v="Office Supplies"/>
    <s v="Labels"/>
    <s v="Elite Labels 654"/>
    <s v="Standard Class"/>
    <s v="Standard Class"/>
    <n v="8"/>
    <n v="3871.18"/>
    <n v="0.15"/>
    <n v="0.15"/>
    <s v="Valid"/>
    <n v="26324.02"/>
    <n v="16277.96"/>
    <n v="10046.06"/>
    <x v="3"/>
    <s v="Exclude"/>
    <s v=""/>
    <s v="Returned"/>
    <s v="Returned"/>
    <s v="Include"/>
  </r>
  <r>
    <s v="ORD-2025-10645"/>
    <n v="1"/>
    <s v=""/>
    <s v="2025-04-10"/>
    <d v="2025-04-10T00:00:00"/>
    <s v="04/17/2025"/>
    <d v="2025-04-17T00:00:00"/>
    <s v="Valid"/>
    <n v="7"/>
    <s v="Valid"/>
    <s v="CUST-5549"/>
    <s v="Vikram Iyer"/>
    <s v="Vikram Iyer"/>
    <s v="Consumer"/>
    <s v="Consumer"/>
    <x v="1"/>
    <s v="East"/>
    <s v="West Bengal"/>
    <s v="Kolkata"/>
    <s v="Furniture"/>
    <s v="Furniture"/>
    <s v="Chairs"/>
    <s v="Pro Chairs 812"/>
    <s v="Standard Class"/>
    <s v="Standard Class"/>
    <n v="4"/>
    <n v="3750.02"/>
    <n v="0.05"/>
    <n v="0.05"/>
    <s v="Valid"/>
    <n v="14250.08"/>
    <n v="10914.92"/>
    <n v="3335.16"/>
    <x v="0"/>
    <s v="Include"/>
    <s v=""/>
    <s v="Completed"/>
    <s v="Completed"/>
    <s v="Include"/>
  </r>
  <r>
    <s v="ORD-2024-10646"/>
    <n v="1"/>
    <s v=""/>
    <s v="2024-01-04"/>
    <d v="2024-01-04T00:00:00"/>
    <s v="09-01-2024"/>
    <d v="2024-01-09T00:00:00"/>
    <s v="Valid"/>
    <n v="5"/>
    <s v="Valid"/>
    <s v="CUST-2314"/>
    <s v="Kabir Singh"/>
    <s v="Kabir Singh"/>
    <s v="Consumer"/>
    <s v="Consumer"/>
    <x v="1"/>
    <s v="East"/>
    <s v="Bihar"/>
    <s v="Patna"/>
    <s v="Furniture"/>
    <s v="Furniture"/>
    <s v="Chairs"/>
    <s v="Basic Chairs 480"/>
    <s v="Second Class"/>
    <s v="Second Class"/>
    <n v="6"/>
    <n v="2423.61"/>
    <n v="0.1"/>
    <n v="0.1"/>
    <s v="Valid"/>
    <n v="13087.49"/>
    <n v="7608.89"/>
    <n v="5133.22"/>
    <x v="0"/>
    <s v="Include"/>
    <s v=""/>
    <s v="Completed"/>
    <s v="Completed"/>
    <s v="Include"/>
  </r>
  <r>
    <s v="ORD-2024-10647"/>
    <n v="1"/>
    <s v=""/>
    <s v="09/18/2024"/>
    <d v="2024-09-18T00:00:00"/>
    <s v="24-09-2024"/>
    <d v="2024-09-24T00:00:00"/>
    <s v="Valid"/>
    <n v="6"/>
    <s v="Valid"/>
    <s v="CUST-6360"/>
    <s v="Vikram Iyer"/>
    <s v="Vikram Iyer"/>
    <s v="Small Business"/>
    <s v="Small Business"/>
    <x v="1"/>
    <s v="East"/>
    <s v="Jharkhand"/>
    <s v="Ranchi"/>
    <s v="Technology"/>
    <s v="Technology"/>
    <s v="Machines"/>
    <s v="Elite Machines 955"/>
    <s v="First Class"/>
    <s v="First Class"/>
    <n v="3"/>
    <n v="729.14"/>
    <n v="0.25"/>
    <n v="0.25"/>
    <s v="Valid"/>
    <n v="1640.57"/>
    <n v="1136.98"/>
    <n v="503.59"/>
    <x v="0"/>
    <s v="Include"/>
    <s v=""/>
    <s v="Completed"/>
    <s v="Completed"/>
    <s v="Include"/>
  </r>
  <r>
    <s v="ORD-2025-10648"/>
    <n v="1"/>
    <s v=""/>
    <s v="01/01/2025"/>
    <d v="2025-01-01T00:00:00"/>
    <s v="09-01-2025"/>
    <d v="2025-01-09T00:00:00"/>
    <s v="Valid"/>
    <n v="8"/>
    <s v="Valid"/>
    <s v="CUST-9942"/>
    <s v="Rohan  Mehta"/>
    <s v="Rohan Mehta"/>
    <s v="Small Business"/>
    <s v="Small Business"/>
    <x v="0"/>
    <s v="North"/>
    <s v="Punjab"/>
    <s v="Ludhiana"/>
    <s v="Office Supplies"/>
    <s v="Office Supplies"/>
    <s v="Art"/>
    <s v="Prime Art 461"/>
    <s v="First Class"/>
    <s v="First Class"/>
    <n v="8"/>
    <n v="2123.81"/>
    <n v="0.15"/>
    <n v="0.15"/>
    <s v="Valid"/>
    <n v="14441.91"/>
    <n v="10872.89"/>
    <n v="3569.02"/>
    <x v="0"/>
    <s v="Include"/>
    <s v=""/>
    <s v="Completed"/>
    <s v="Completed"/>
    <s v="Include"/>
  </r>
  <r>
    <s v="ORD-2024-10649"/>
    <n v="1"/>
    <s v=""/>
    <s v="21-04-2024"/>
    <d v="2024-04-21T00:00:00"/>
    <s v="24 Apr 2024"/>
    <d v="2024-04-24T00:00:00"/>
    <s v="Valid"/>
    <n v="3"/>
    <s v="Valid"/>
    <s v="CUST-1808"/>
    <s v="Neha Gupta"/>
    <s v="Neha Gupta"/>
    <s v="Small Business"/>
    <s v="Small Business"/>
    <x v="2"/>
    <s v="South"/>
    <s v="Andhra Pradesh"/>
    <s v="Vijayawada"/>
    <s v="Office Supplies"/>
    <s v="Office Supplies"/>
    <s v="Art"/>
    <s v="Prime Art 301"/>
    <s v="Same Day"/>
    <s v="Same Day"/>
    <n v="9"/>
    <n v="703.59"/>
    <n v="0.2"/>
    <n v="0.2"/>
    <s v="Valid"/>
    <n v="5065.8500000000004"/>
    <n v="3517.23"/>
    <n v="1548.62"/>
    <x v="3"/>
    <s v="Exclude"/>
    <s v=""/>
    <s v="Returned"/>
    <s v="Returned"/>
    <s v="Include"/>
  </r>
  <r>
    <s v="ORD-2025-10650"/>
    <n v="1"/>
    <s v=""/>
    <s v="11 Aug 2025"/>
    <d v="2025-08-11T00:00:00"/>
    <s v="19-08-2025"/>
    <d v="2025-08-19T00:00:00"/>
    <s v="Valid"/>
    <n v="8"/>
    <s v="Valid"/>
    <s v="CUST-7277"/>
    <s v="Kabir Singh"/>
    <s v="Kabir Singh"/>
    <s v="Small Business"/>
    <s v="Small Business"/>
    <x v="2"/>
    <s v="South"/>
    <s v="Kerala"/>
    <s v="Kochi"/>
    <s v="Technology"/>
    <s v="Technology"/>
    <s v="Accessories"/>
    <s v="Classic Accessories 354"/>
    <s v="Standard Class"/>
    <s v="Standard Class"/>
    <n v="4"/>
    <n v="2258.96"/>
    <n v="0.25"/>
    <n v="0.25"/>
    <s v="Valid"/>
    <n v="6776.88"/>
    <n v="3836.24"/>
    <n v="2940.64"/>
    <x v="0"/>
    <s v="Include"/>
    <s v=""/>
    <s v="Completed"/>
    <s v="Completed"/>
    <s v="Include"/>
  </r>
  <r>
    <s v="ORD-2024-10651"/>
    <n v="1"/>
    <s v=""/>
    <s v="04/13/2024"/>
    <d v="2024-04-13T00:00:00"/>
    <s v="21 Apr 2024"/>
    <d v="2024-04-21T00:00:00"/>
    <s v="Valid"/>
    <n v="8"/>
    <s v="Valid"/>
    <s v="CUST-7744"/>
    <s v="Aarav Sharma"/>
    <s v="Aarav Sharma"/>
    <s v="Home Office"/>
    <s v="Home Office"/>
    <x v="1"/>
    <s v="East"/>
    <s v="Bihar"/>
    <s v="Patna"/>
    <s v="Technology"/>
    <s v="Technology"/>
    <s v="Accessories"/>
    <s v="Basic Accessories 210"/>
    <s v="Same Day"/>
    <s v="Same Day"/>
    <n v="7"/>
    <n v="2648.76"/>
    <n v="0.15"/>
    <n v="0.15"/>
    <s v="Valid"/>
    <n v="15760.12"/>
    <n v="9931.5300000000007"/>
    <n v="5828.59"/>
    <x v="3"/>
    <s v="Exclude"/>
    <s v=""/>
    <s v="Returned"/>
    <s v="Returned"/>
    <s v="Include"/>
  </r>
  <r>
    <s v="ORD-2025-10652"/>
    <n v="1"/>
    <s v=""/>
    <s v="06 Aug 2025"/>
    <d v="2025-08-06T00:00:00"/>
    <s v="09-08-2025"/>
    <d v="2025-08-09T00:00:00"/>
    <s v="Valid"/>
    <n v="3"/>
    <s v="Valid"/>
    <s v="CUST-2660"/>
    <s v="Mira Das"/>
    <s v="Mira Das"/>
    <s v="Small Business"/>
    <s v="Small Business"/>
    <x v="2"/>
    <s v="South"/>
    <s v="Andhra Pradesh"/>
    <s v="Vijayawada"/>
    <s v="Office Supplies"/>
    <s v="Office Supplies"/>
    <s v="Paper"/>
    <s v="Smart Paper 364"/>
    <s v="Second Class"/>
    <s v="Second Class"/>
    <n v="3"/>
    <n v="598.54999999999995"/>
    <n v="0"/>
    <n v="0"/>
    <s v="Valid"/>
    <n v="1795.65"/>
    <n v="996.72"/>
    <n v="798.93"/>
    <x v="0"/>
    <s v="Include"/>
    <s v=""/>
    <s v="Completed"/>
    <s v="Completed"/>
    <s v="Include"/>
  </r>
  <r>
    <s v="ORD-2025-10653"/>
    <n v="1"/>
    <s v=""/>
    <s v="03/17/2025"/>
    <d v="2025-03-17T00:00:00"/>
    <s v="2025-03-21"/>
    <d v="2025-03-21T00:00:00"/>
    <s v="Valid"/>
    <n v="4"/>
    <s v="Valid"/>
    <s v="CUST-8177"/>
    <s v="Sneha Kapoor"/>
    <s v="Sneha Kapoor"/>
    <s v="Consumer"/>
    <s v="Consumer"/>
    <x v="0"/>
    <s v="North"/>
    <s v="Uttar Pradesh"/>
    <s v="Noida"/>
    <s v="Office Supplies"/>
    <s v="Office Supplies"/>
    <s v="Binders"/>
    <s v="Smart Binders 999"/>
    <s v="Standard Class"/>
    <s v="Standard Class"/>
    <n v="5"/>
    <n v="4320.59"/>
    <n v="0.15"/>
    <n v="0.15"/>
    <s v="Valid"/>
    <n v="18362.509999999998"/>
    <n v="11133.97"/>
    <n v="7228.54"/>
    <x v="0"/>
    <s v="Include"/>
    <s v=""/>
    <s v="Completed"/>
    <s v="Completed"/>
    <s v="Include"/>
  </r>
  <r>
    <s v="ORD-2025-10654"/>
    <n v="1"/>
    <s v=""/>
    <s v="04-04-2025"/>
    <d v="2025-04-04T00:00:00"/>
    <s v="04/07/2025"/>
    <d v="2025-04-07T00:00:00"/>
    <s v="Valid"/>
    <n v="3"/>
    <s v="Valid"/>
    <s v="CUST-3970"/>
    <s v="Priya Menon"/>
    <s v="Priya Menon"/>
    <s v="Small Business"/>
    <s v="Small Business"/>
    <x v="2"/>
    <s v="South"/>
    <s v="Tamil Nadu"/>
    <s v="Chennai"/>
    <s v="Technology"/>
    <s v="Technology"/>
    <s v="Copiers"/>
    <s v="Max Copiers 356"/>
    <s v="Second Class"/>
    <s v="Second Class"/>
    <n v="7"/>
    <n v="4457.93"/>
    <n v="0.15"/>
    <n v="0.15"/>
    <s v="Valid"/>
    <n v="26524.68"/>
    <n v="20574.3"/>
    <n v="5950.38"/>
    <x v="0"/>
    <s v="Include"/>
    <s v=""/>
    <s v="Completed"/>
    <s v="Completed"/>
    <s v="Include"/>
  </r>
  <r>
    <s v="ORD-2025-10655"/>
    <n v="1"/>
    <s v=""/>
    <s v="10/12/2025"/>
    <d v="2025-10-12T00:00:00"/>
    <s v="16-10-2025"/>
    <d v="2025-10-16T00:00:00"/>
    <s v="Valid"/>
    <n v="4"/>
    <s v="Valid"/>
    <s v="CUST-8249"/>
    <s v="Diya Patel"/>
    <s v="Diya Patel"/>
    <s v="Corporate"/>
    <s v="Corporate"/>
    <x v="1"/>
    <s v="East"/>
    <s v="Bihar"/>
    <s v="Patna"/>
    <s v="Technology"/>
    <s v="Technology"/>
    <s v="Machines"/>
    <s v="Classic Machines 639"/>
    <s v="Same Day"/>
    <s v="Same Day"/>
    <n v="1"/>
    <n v="2570.06"/>
    <n v="0.2"/>
    <n v="0.2"/>
    <s v="Valid"/>
    <n v="2056.0500000000002"/>
    <n v="1662.39"/>
    <n v="393.66"/>
    <x v="0"/>
    <s v="Include"/>
    <s v=""/>
    <s v="Completed"/>
    <s v="Completed"/>
    <s v="Include"/>
  </r>
  <r>
    <s v="ORD-2025-10656"/>
    <n v="1"/>
    <s v=""/>
    <s v="08/26/2025"/>
    <d v="2025-08-26T00:00:00"/>
    <s v="08/26/2025"/>
    <d v="2025-08-26T00:00:00"/>
    <s v="Valid"/>
    <n v="0"/>
    <s v="Valid"/>
    <s v="CUST-8039"/>
    <s v="Neha Gupta"/>
    <s v="Neha Gupta"/>
    <s v="Home Office"/>
    <s v="Home Office"/>
    <x v="1"/>
    <s v="East"/>
    <s v="West Bengal"/>
    <s v="Kolkata"/>
    <s v="Furniture"/>
    <s v="Furniture"/>
    <s v="Furnishings"/>
    <s v="Smart Furnishings 748"/>
    <s v="Standard Class"/>
    <s v="Standard Class"/>
    <n v="4"/>
    <n v="2151.8200000000002"/>
    <n v="0"/>
    <n v="0"/>
    <s v="Valid"/>
    <n v="8607.2800000000007"/>
    <n v="5124.01"/>
    <n v="3483.27"/>
    <x v="0"/>
    <s v="Include"/>
    <s v=""/>
    <s v="Completed"/>
    <s v="Completed"/>
    <s v="Include"/>
  </r>
  <r>
    <s v="ORD-2024-10657"/>
    <n v="1"/>
    <s v=""/>
    <s v="07-05-2024"/>
    <d v="2024-05-07T00:00:00"/>
    <s v="05/14/2024"/>
    <d v="2024-05-14T00:00:00"/>
    <s v="Valid"/>
    <n v="7"/>
    <s v="Valid"/>
    <s v="CUST-4446"/>
    <s v="Neha Gupta"/>
    <s v="Neha Gupta"/>
    <s v="Small Business"/>
    <s v="Small Business"/>
    <x v="0"/>
    <s v="North"/>
    <s v="Haryana"/>
    <s v="Gurugram"/>
    <s v="Technology"/>
    <s v="Technology"/>
    <s v="Machines"/>
    <s v="Pro Machines 589"/>
    <s v="Same Day"/>
    <s v="Same Day"/>
    <n v="4"/>
    <n v="2751.1"/>
    <n v="-0.05"/>
    <n v="-0.05"/>
    <s v="Invalid Discount"/>
    <n v="9903.9599999999991"/>
    <n v="7696.28"/>
    <n v="2207.6799999999998"/>
    <x v="0"/>
    <s v="Include"/>
    <s v=""/>
    <s v="Completed"/>
    <s v="Completed"/>
    <s v="Include"/>
  </r>
  <r>
    <s v="ORD-2025-10658"/>
    <n v="1"/>
    <s v=""/>
    <s v="08/07/2025"/>
    <d v="2025-08-07T00:00:00"/>
    <s v="2025-08-10"/>
    <d v="2025-08-10T00:00:00"/>
    <s v="Valid"/>
    <n v="3"/>
    <s v="Valid"/>
    <s v="CUST-7787"/>
    <s v="Aditi Sen"/>
    <s v="Aditi Sen"/>
    <s v="Home Office"/>
    <s v="Home Office"/>
    <x v="1"/>
    <s v="East"/>
    <s v="Bihar"/>
    <s v="Patna"/>
    <s v="Office Supplies"/>
    <s v="Office Supplies"/>
    <s v="Storage"/>
    <s v="Eco Storage 316"/>
    <s v="Second Class"/>
    <s v="Second Class"/>
    <n v="1"/>
    <n v="2541.25"/>
    <n v="0.2"/>
    <n v="0.2"/>
    <s v="Valid"/>
    <n v="2033"/>
    <n v="1291.4100000000001"/>
    <n v="741.59"/>
    <x v="0"/>
    <s v="Include"/>
    <s v=""/>
    <s v="Completed"/>
    <s v="Completed"/>
    <s v="Include"/>
  </r>
  <r>
    <s v="ORD-2025-10659"/>
    <n v="1"/>
    <s v=""/>
    <s v="2025-06-09"/>
    <d v="2025-06-09T00:00:00"/>
    <s v="06/12/2025"/>
    <d v="2025-06-12T00:00:00"/>
    <s v="Valid"/>
    <n v="3"/>
    <s v="Valid"/>
    <s v="CUST-9074"/>
    <s v="Sneha Kapoor"/>
    <s v="Sneha Kapoor"/>
    <s v="Consumer"/>
    <s v="Consumer"/>
    <x v="4"/>
    <s v="Unknown"/>
    <s v="Bihar"/>
    <s v="Patna"/>
    <s v="Office Supplies"/>
    <s v="Office Supplies"/>
    <s v="Art"/>
    <s v="Eco Art 763"/>
    <s v="First Class"/>
    <s v="First Class"/>
    <n v="7"/>
    <n v="2852.42"/>
    <n v="0"/>
    <n v="0"/>
    <s v="Valid"/>
    <n v="19966.939999999999"/>
    <n v="12690.83"/>
    <n v="7276.11"/>
    <x v="1"/>
    <s v="Exclude"/>
    <s v="Refunded Order"/>
    <s v="Cancelled"/>
    <s v="Cancelled"/>
    <s v="Exclude"/>
  </r>
  <r>
    <s v="ORD-2025-10660"/>
    <n v="1"/>
    <s v=""/>
    <s v="21-01-2025"/>
    <d v="2025-01-21T00:00:00"/>
    <s v="2025-01-22"/>
    <d v="2025-01-22T00:00:00"/>
    <s v="Valid"/>
    <n v="1"/>
    <s v="Valid"/>
    <s v="CUST-8330"/>
    <s v="Diya Patel"/>
    <s v="Diya Patel"/>
    <s v="Corporate"/>
    <s v="Corporate"/>
    <x v="2"/>
    <s v="South"/>
    <s v="Karnataka"/>
    <s v="Bengaluru"/>
    <s v="Technology"/>
    <s v="Technology"/>
    <s v="Phones"/>
    <s v="Pro Phones 356"/>
    <s v="Second Class"/>
    <s v="Second Class"/>
    <n v="2"/>
    <n v="444.31"/>
    <n v="0.2"/>
    <n v="0.2"/>
    <s v="Valid"/>
    <n v="710.9"/>
    <n v="513.88"/>
    <n v="197.02"/>
    <x v="1"/>
    <s v="Exclude"/>
    <s v="Refunded Order"/>
    <s v="Cancelled"/>
    <s v="Cancelled"/>
    <s v="Exclude"/>
  </r>
  <r>
    <s v="ORD-2025-10661"/>
    <n v="1"/>
    <s v=""/>
    <s v="07/15/2025"/>
    <d v="2025-07-15T00:00:00"/>
    <s v="15-07-2025"/>
    <d v="2025-07-15T00:00:00"/>
    <s v="Valid"/>
    <n v="0"/>
    <s v="Valid"/>
    <s v="CUST-5638"/>
    <s v="Arjun Bose"/>
    <s v="Arjun Bose"/>
    <s v="Small Business"/>
    <s v="Small Business"/>
    <x v="1"/>
    <s v="East"/>
    <s v="Jharkhand"/>
    <s v="Ranchi"/>
    <s v="Technology"/>
    <s v="Technology"/>
    <s v="Phones"/>
    <s v="Basic Phones 865"/>
    <s v="Same Day"/>
    <s v="Same Day"/>
    <n v="4"/>
    <n v="4442.91"/>
    <n v="0.1"/>
    <n v="0.1"/>
    <s v="Valid"/>
    <n v="15994.48"/>
    <n v="9224.2800000000007"/>
    <n v="6770.2"/>
    <x v="0"/>
    <s v="Include"/>
    <s v=""/>
    <s v="Completed"/>
    <s v="Completed"/>
    <s v="Include"/>
  </r>
  <r>
    <s v="ORD-2024-10662"/>
    <n v="1"/>
    <s v=""/>
    <s v="17-05-2024"/>
    <d v="2024-05-17T00:00:00"/>
    <s v="2024-05-22"/>
    <d v="2024-05-22T00:00:00"/>
    <s v="Valid"/>
    <n v="5"/>
    <s v="Valid"/>
    <s v="CUST-4537"/>
    <s v="Sneha Kapoor"/>
    <s v="Sneha Kapoor"/>
    <s v="Consumer"/>
    <s v="Consumer"/>
    <x v="2"/>
    <s v="South"/>
    <s v="Andhra Pradesh"/>
    <s v="Vijayawada"/>
    <s v="Technology"/>
    <s v="Technology"/>
    <s v="Machines"/>
    <s v="Max Machines 595"/>
    <s v="Second Class"/>
    <s v="Second Class"/>
    <n v="7"/>
    <n v="232.5"/>
    <n v="0"/>
    <n v="0"/>
    <s v="Valid"/>
    <n v="1627.5"/>
    <n v="939.9"/>
    <n v="687.6"/>
    <x v="0"/>
    <s v="Include"/>
    <s v=""/>
    <s v="Completed"/>
    <s v="Completed"/>
    <s v="Include"/>
  </r>
  <r>
    <s v="ORD-2024-10663"/>
    <n v="1"/>
    <s v=""/>
    <s v="2024-01-14"/>
    <d v="2024-01-14T00:00:00"/>
    <s v="18-01-2024"/>
    <d v="2024-01-18T00:00:00"/>
    <s v="Valid"/>
    <n v="4"/>
    <s v="Valid"/>
    <s v="CUST-3181"/>
    <s v="Mira Das"/>
    <s v="Mira Das"/>
    <s v="Home Office"/>
    <s v="Home Office"/>
    <x v="3"/>
    <s v="West"/>
    <s v="Rajasthan"/>
    <s v="Udaipur"/>
    <s v="Technology"/>
    <s v="Technology"/>
    <s v="Machines"/>
    <s v="Elite Machines 367"/>
    <s v="Same Day"/>
    <s v="Same Day"/>
    <n v="6"/>
    <n v="1784.8"/>
    <n v="0.1"/>
    <n v="0.1"/>
    <s v="Valid"/>
    <n v="9637.92"/>
    <n v="7329.29"/>
    <n v="2308.63"/>
    <x v="0"/>
    <s v="Include"/>
    <s v=""/>
    <s v="Completed"/>
    <s v="Completed"/>
    <s v="Include"/>
  </r>
  <r>
    <s v="ORD-2024-10664"/>
    <n v="1"/>
    <s v=""/>
    <s v="05/02/2024"/>
    <d v="2024-05-02T00:00:00"/>
    <s v="2024-05-08"/>
    <d v="2024-05-08T00:00:00"/>
    <s v="Valid"/>
    <n v="6"/>
    <s v="Valid"/>
    <s v="CUST-1015"/>
    <s v="Rahul Verma"/>
    <s v="Rahul Verma"/>
    <s v="Home Office"/>
    <s v="Home Office"/>
    <x v="1"/>
    <s v="East"/>
    <s v="Jharkhand"/>
    <s v="Ranchi"/>
    <s v="Technology"/>
    <s v="Technology"/>
    <s v="Copiers"/>
    <s v="Basic Copiers 787"/>
    <s v="Second Class"/>
    <s v="Second Class"/>
    <n v="2"/>
    <n v="3185.01"/>
    <n v="-0.24"/>
    <n v="-0.24"/>
    <s v="Invalid Discount"/>
    <n v="4777.5200000000004"/>
    <n v="3152.98"/>
    <n v="1624.54"/>
    <x v="0"/>
    <s v="Include"/>
    <s v=""/>
    <s v="Completed"/>
    <s v="Completed"/>
    <s v="Include"/>
  </r>
  <r>
    <s v="ORD-2024-10665"/>
    <n v="1"/>
    <s v=""/>
    <s v="07 Dec 2024"/>
    <d v="2024-12-07T00:00:00"/>
    <s v="10 Dec 2024"/>
    <d v="2024-12-10T00:00:00"/>
    <s v="Valid"/>
    <n v="3"/>
    <s v="Valid"/>
    <s v="CUST-2709"/>
    <s v="Mira Das"/>
    <s v="Mira Das"/>
    <s v="Home Office"/>
    <s v="Home Office"/>
    <x v="2"/>
    <s v="South"/>
    <s v="Telangana"/>
    <s v="Hyderabad"/>
    <s v="Technology"/>
    <s v="Technology"/>
    <s v="Accessories"/>
    <s v="Max Accessories 903"/>
    <s v="Standard Class"/>
    <s v="Standard Class"/>
    <n v="1"/>
    <n v="1908.83"/>
    <n v="0.2"/>
    <n v="0.2"/>
    <s v="Valid"/>
    <n v="1527.06"/>
    <n v="1055.8900000000001"/>
    <n v="471.17"/>
    <x v="0"/>
    <s v="Include"/>
    <s v=""/>
    <s v="Completed"/>
    <s v="Completed"/>
    <s v="Include"/>
  </r>
  <r>
    <s v="ORD-2025-10666"/>
    <n v="1"/>
    <s v=""/>
    <s v="2025-01-13"/>
    <d v="2025-01-13T00:00:00"/>
    <s v="01/13/2025"/>
    <d v="2025-01-13T00:00:00"/>
    <s v="Valid"/>
    <n v="0"/>
    <s v="Valid"/>
    <s v="CUST-1197"/>
    <s v="Rahul Verma"/>
    <s v="Rahul Verma"/>
    <s v="Home Office"/>
    <s v="Home Office"/>
    <x v="3"/>
    <s v="West"/>
    <s v="Gujarat"/>
    <s v="Ahmedabad"/>
    <s v="Office Supplies"/>
    <s v="Office Supplies"/>
    <s v="Art"/>
    <s v="Max Art 660"/>
    <s v="Standard Class"/>
    <s v="Standard Class"/>
    <n v="3"/>
    <n v="2110.52"/>
    <n v="0.1"/>
    <n v="0.1"/>
    <s v="Valid"/>
    <n v="5698.4"/>
    <n v="3640.89"/>
    <n v="2057.5100000000002"/>
    <x v="3"/>
    <s v="Exclude"/>
    <s v=""/>
    <s v="Cancelled"/>
    <s v="Cancelled"/>
    <s v="Exclude"/>
  </r>
  <r>
    <s v="ORD-2024-10667"/>
    <n v="1"/>
    <s v=""/>
    <s v="21 Jun 2024"/>
    <d v="2024-06-21T00:00:00"/>
    <s v="06/26/2024"/>
    <d v="2024-06-26T00:00:00"/>
    <s v="Valid"/>
    <n v="5"/>
    <s v="Valid"/>
    <s v="CUST-7758"/>
    <s v="Rohan Mehta"/>
    <s v="Rohan Mehta"/>
    <s v="Small Business"/>
    <s v="Small Business"/>
    <x v="0"/>
    <s v="North"/>
    <s v="Punjab"/>
    <s v="Ludhiana"/>
    <s v="Technology"/>
    <s v="Technology"/>
    <s v="Copiers"/>
    <s v="Classic Copiers 908"/>
    <s v="Same Day"/>
    <s v="Same Day"/>
    <n v="1"/>
    <n v="279.83"/>
    <n v="0.05"/>
    <n v="0.05"/>
    <s v="Valid"/>
    <n v="265.83999999999997"/>
    <n v="223.49"/>
    <n v="42.35"/>
    <x v="0"/>
    <s v="Include"/>
    <s v=""/>
    <s v="Completed"/>
    <s v="Completed"/>
    <s v="Include"/>
  </r>
  <r>
    <s v="ORD-2025-10668"/>
    <n v="1"/>
    <s v=""/>
    <s v="20-05-2025"/>
    <d v="2025-05-20T00:00:00"/>
    <s v="27-05-2025"/>
    <d v="2025-05-27T00:00:00"/>
    <s v="Valid"/>
    <n v="7"/>
    <s v="Valid"/>
    <s v="CUST-3912"/>
    <s v="Diya Patel"/>
    <s v="Diya Patel"/>
    <s v="Small Business"/>
    <s v="Small Business"/>
    <x v="1"/>
    <s v="East"/>
    <s v="Bihar"/>
    <s v="Patna"/>
    <s v="Technology"/>
    <s v="Technology"/>
    <s v="Machines"/>
    <s v="Pro Machines 706"/>
    <s v="Standard Class"/>
    <s v="Standard Class"/>
    <n v="1"/>
    <n v="3959.14"/>
    <n v="0"/>
    <n v="0"/>
    <s v="Valid"/>
    <n v="3959.14"/>
    <n v="3239.53"/>
    <n v="719.61"/>
    <x v="2"/>
    <s v="Include"/>
    <s v=""/>
    <s v="Returned"/>
    <s v="Returned"/>
    <s v="Include"/>
  </r>
  <r>
    <s v="ORD-2024-10669"/>
    <n v="1"/>
    <s v=""/>
    <s v="11/21/2024"/>
    <d v="2024-11-21T00:00:00"/>
    <s v="23 Nov 2024"/>
    <d v="2024-11-23T00:00:00"/>
    <s v="Valid"/>
    <n v="2"/>
    <s v="Valid"/>
    <s v="CUST-4190"/>
    <s v="Mira Das"/>
    <s v="Mira Das"/>
    <s v="Corporate"/>
    <s v="Corporate"/>
    <x v="3"/>
    <s v="West"/>
    <s v="Gujarat"/>
    <s v="Ahmedabad"/>
    <s v="Office Supplies"/>
    <s v="Office Supplies"/>
    <s v="Paper"/>
    <s v="Pro Paper 187"/>
    <s v="Second Class"/>
    <s v="Second Class"/>
    <n v="5"/>
    <n v="600.46"/>
    <n v="0.2"/>
    <n v="0.2"/>
    <s v="Valid"/>
    <n v="2401.84"/>
    <n v="1873.11"/>
    <n v="528.73"/>
    <x v="0"/>
    <s v="Include"/>
    <s v=""/>
    <s v="Completed"/>
    <s v="Completed"/>
    <s v="Include"/>
  </r>
  <r>
    <s v="ORD-2024-10670"/>
    <n v="1"/>
    <s v=""/>
    <s v="2024-03-24"/>
    <d v="2024-03-24T00:00:00"/>
    <s v="01 Apr 2024"/>
    <d v="2024-04-01T00:00:00"/>
    <s v="Valid"/>
    <n v="8"/>
    <s v="Valid"/>
    <s v="CUST-7568"/>
    <s v="Ananya Rao"/>
    <s v="Ananya Rao"/>
    <s v="Home Office"/>
    <s v="Home Office"/>
    <x v="3"/>
    <s v="West"/>
    <s v="Maharashtra"/>
    <s v="Mumbai"/>
    <s v="Furniture"/>
    <s v="Furniture"/>
    <s v="Tables"/>
    <s v="Classic Tables 606"/>
    <s v="Second Class"/>
    <s v="Second Class"/>
    <n v="4"/>
    <n v="1700.72"/>
    <n v="0.25"/>
    <n v="0.25"/>
    <s v="Valid"/>
    <n v="5102.16"/>
    <n v="3226.45"/>
    <n v="1875.71"/>
    <x v="0"/>
    <s v="Include"/>
    <s v=""/>
    <s v="Completed"/>
    <s v="Completed"/>
    <s v="Include"/>
  </r>
  <r>
    <s v="ORD-2025-10671"/>
    <n v="1"/>
    <s v=""/>
    <s v="02/02/2025"/>
    <d v="2025-02-02T00:00:00"/>
    <s v="06 Feb 2025"/>
    <d v="2025-02-06T00:00:00"/>
    <s v="Valid"/>
    <n v="4"/>
    <s v="Valid"/>
    <s v="CUST-5604"/>
    <s v="Sneha Kapoor"/>
    <s v="Sneha Kapoor"/>
    <s v="Corporate"/>
    <s v="Corporate"/>
    <x v="0"/>
    <s v="North"/>
    <s v="Uttar Pradesh"/>
    <s v="Noida"/>
    <s v="Furniture"/>
    <s v="Furniture"/>
    <s v="Tables"/>
    <s v="Smart Tables 835"/>
    <s v="Standard Class"/>
    <s v="Standard Class"/>
    <n v="8"/>
    <n v="857.86"/>
    <n v="0.1"/>
    <n v="0.1"/>
    <s v="Valid"/>
    <n v="6176.59"/>
    <n v="3560.96"/>
    <n v="2615.63"/>
    <x v="0"/>
    <s v="Include"/>
    <s v=""/>
    <s v="Completed"/>
    <s v="Completed"/>
    <s v="Include"/>
  </r>
  <r>
    <s v="ORD-2024-10672"/>
    <n v="1"/>
    <s v=""/>
    <s v="2024-03-22"/>
    <d v="2024-03-22T00:00:00"/>
    <s v="27-03-2024"/>
    <d v="2024-03-27T00:00:00"/>
    <s v="Valid"/>
    <n v="5"/>
    <s v="Valid"/>
    <s v="CUST-3293"/>
    <s v="Aditi Sen"/>
    <s v="Aditi Sen"/>
    <s v="Home Office"/>
    <s v="Home Office"/>
    <x v="3"/>
    <s v="West"/>
    <s v="Goa"/>
    <s v="Panaji"/>
    <s v="Technology"/>
    <s v="Technology"/>
    <s v="Copiers"/>
    <s v="Classic Copiers 583"/>
    <s v="Second Class"/>
    <s v="Second Class"/>
    <n v="9"/>
    <n v="3649.51"/>
    <n v="0.05"/>
    <n v="0.05"/>
    <s v="Valid"/>
    <n v="31203.31"/>
    <n v="17738.13"/>
    <n v="13465.18"/>
    <x v="0"/>
    <s v="Include"/>
    <s v=""/>
    <s v="Completed"/>
    <s v="Completed"/>
    <s v="Include"/>
  </r>
  <r>
    <s v="ORD-2024-10673"/>
    <n v="1"/>
    <s v=""/>
    <s v="2024-09-04"/>
    <d v="2024-09-04T00:00:00"/>
    <s v="2024-09-05"/>
    <d v="2024-09-05T00:00:00"/>
    <s v="Valid"/>
    <n v="1"/>
    <s v="Valid"/>
    <s v="CUST-8180"/>
    <s v="Aditi Sen"/>
    <s v="Aditi Sen"/>
    <s v="Corporate"/>
    <s v="Corporate"/>
    <x v="3"/>
    <s v="West"/>
    <s v="Madhya Pradesh"/>
    <s v="Indore"/>
    <s v="Furniture"/>
    <s v="Furniture"/>
    <s v="Chairs"/>
    <s v="Classic Chairs 460"/>
    <s v="Standard Class"/>
    <s v="Standard Class"/>
    <n v="5"/>
    <n v="2528.5300000000002"/>
    <n v="0.05"/>
    <n v="0.05"/>
    <s v="Valid"/>
    <n v="12010.52"/>
    <n v="7864.61"/>
    <n v="4145.91"/>
    <x v="0"/>
    <s v="Include"/>
    <s v=""/>
    <s v="Returned"/>
    <s v="Returned"/>
    <s v="Include"/>
  </r>
  <r>
    <s v="ORD-2025-10674"/>
    <n v="1"/>
    <s v=""/>
    <s v="2025-02-13"/>
    <d v="2025-02-13T00:00:00"/>
    <s v="16 Feb 2025"/>
    <d v="2025-02-16T00:00:00"/>
    <s v="Valid"/>
    <n v="3"/>
    <s v="Valid"/>
    <s v="CUST-2807"/>
    <s v="Arjun Bose"/>
    <s v="Arjun Bose"/>
    <s v="Small Business"/>
    <s v="Small Business"/>
    <x v="3"/>
    <s v="West"/>
    <s v="Rajasthan"/>
    <s v="Udaipur"/>
    <s v="Furniture"/>
    <s v="Furniture"/>
    <s v="Bookcases"/>
    <s v="Classic Bookcases 488"/>
    <s v="Second Class"/>
    <s v="Second Class"/>
    <n v="4"/>
    <n v="4072.9"/>
    <n v="0.15"/>
    <n v="0.15"/>
    <s v="Valid"/>
    <n v="13847.86"/>
    <n v="8471.7800000000007"/>
    <n v="5376.08"/>
    <x v="0"/>
    <s v="Include"/>
    <s v=""/>
    <s v="Completed"/>
    <s v="Completed"/>
    <s v="Include"/>
  </r>
  <r>
    <s v="ORD-2024-10675"/>
    <n v="1"/>
    <s v=""/>
    <s v="2024-05-18"/>
    <d v="2024-05-18T00:00:00"/>
    <s v="2024-05-21"/>
    <d v="2024-05-21T00:00:00"/>
    <s v="Valid"/>
    <n v="3"/>
    <s v="Valid"/>
    <s v="CUST-4081"/>
    <s v="Vikram Iyer"/>
    <s v="Vikram Iyer"/>
    <s v="Corporate"/>
    <s v="Corporate"/>
    <x v="1"/>
    <s v="East"/>
    <s v="Jharkhand"/>
    <s v="Ranchi"/>
    <s v="Technology"/>
    <s v="Technology"/>
    <s v="Accessories"/>
    <s v="Basic Accessories 944"/>
    <s v="Second Class"/>
    <s v="Second Class"/>
    <n v="1"/>
    <n v="1033.71"/>
    <n v="0"/>
    <n v="0"/>
    <s v="Valid"/>
    <n v="1033.71"/>
    <n v="630.82000000000005"/>
    <n v="402.89"/>
    <x v="2"/>
    <s v="Include"/>
    <s v=""/>
    <s v="Returned"/>
    <s v="Returned"/>
    <s v="Include"/>
  </r>
  <r>
    <s v="ORD-2025-10676"/>
    <n v="1"/>
    <s v=""/>
    <s v="07-06-2025"/>
    <d v="2025-06-07T00:00:00"/>
    <s v="06/10/2025"/>
    <d v="2025-06-10T00:00:00"/>
    <s v="Valid"/>
    <n v="3"/>
    <s v="Valid"/>
    <s v="CUST-5061"/>
    <s v="Aarav Sharma"/>
    <s v="Aarav Sharma"/>
    <s v="Consumer"/>
    <s v="Consumer"/>
    <x v="0"/>
    <s v="North"/>
    <s v="Rajasthan"/>
    <s v="Jaipur"/>
    <s v="Furniture"/>
    <s v="Furniture"/>
    <s v="Furnishings"/>
    <s v="Eco Furnishings 217"/>
    <s v="Same Day"/>
    <s v="Same Day"/>
    <n v="3"/>
    <n v="963.26"/>
    <n v="0"/>
    <n v="0"/>
    <s v="Valid"/>
    <n v="2889.78"/>
    <n v="1811.23"/>
    <n v="1078.55"/>
    <x v="0"/>
    <s v="Include"/>
    <s v=""/>
    <s v="Completed"/>
    <s v="Completed"/>
    <s v="Include"/>
  </r>
  <r>
    <s v="ORD-2025-10677"/>
    <n v="1"/>
    <s v=""/>
    <s v="09/11/2025"/>
    <d v="2025-09-11T00:00:00"/>
    <s v="09/18/2025"/>
    <d v="2025-09-18T00:00:00"/>
    <s v="Valid"/>
    <n v="7"/>
    <s v="Valid"/>
    <s v="CUST-9212"/>
    <s v="Rahul Verma"/>
    <s v="Rahul Verma"/>
    <s v="Small Business"/>
    <s v="Small Business"/>
    <x v="0"/>
    <s v="North"/>
    <s v="Delhi"/>
    <s v="New Delhi"/>
    <s v="Technology"/>
    <s v="Technology"/>
    <s v="Phones"/>
    <s v="Smart Phones 967"/>
    <s v="Same Day"/>
    <s v="Same Day"/>
    <n v="7"/>
    <n v="3411.21"/>
    <n v="0.15"/>
    <n v="0.15"/>
    <s v="Valid"/>
    <n v="20296.7"/>
    <n v="14920.87"/>
    <n v="5375.83"/>
    <x v="0"/>
    <s v="Include"/>
    <s v=""/>
    <s v="Completed"/>
    <s v="Completed"/>
    <s v="Include"/>
  </r>
  <r>
    <s v="ORD-2024-10678"/>
    <n v="1"/>
    <s v=""/>
    <s v="2024-06-22"/>
    <d v="2024-06-22T00:00:00"/>
    <s v="27-06-2024"/>
    <d v="2024-06-27T00:00:00"/>
    <s v="Valid"/>
    <n v="5"/>
    <s v="Valid"/>
    <s v="CUST-4655"/>
    <s v="Isha Nair"/>
    <s v="Isha Nair"/>
    <s v="Home Office"/>
    <s v="Home Office"/>
    <x v="2"/>
    <s v="South"/>
    <s v="Karnataka"/>
    <s v="Bengaluru"/>
    <s v="Furniture"/>
    <s v="Furniture"/>
    <s v="Chairs"/>
    <s v="Smart Chairs 610"/>
    <s v="Same Day"/>
    <s v="Same Day"/>
    <n v="7"/>
    <n v="2623.48"/>
    <n v="0"/>
    <n v="0"/>
    <s v="Valid"/>
    <n v="18364.36"/>
    <n v="15445.81"/>
    <n v="2918.55"/>
    <x v="0"/>
    <s v="Include"/>
    <s v=""/>
    <s v="Completed"/>
    <s v="Completed"/>
    <s v="Include"/>
  </r>
  <r>
    <s v="ORD-2024-10679"/>
    <n v="1"/>
    <s v=""/>
    <s v="24-11-2024"/>
    <d v="2024-11-24T00:00:00"/>
    <s v="12/01/2024"/>
    <d v="2024-12-01T00:00:00"/>
    <s v="Valid"/>
    <n v="7"/>
    <s v="Valid"/>
    <s v="CUST-1674"/>
    <s v="Kabir Singh"/>
    <s v="Kabir Singh"/>
    <s v="Corporate"/>
    <s v="Corporate"/>
    <x v="2"/>
    <s v="South"/>
    <s v="Karnataka"/>
    <s v="Bengaluru"/>
    <s v="Furniture"/>
    <s v="Furniture"/>
    <s v="Tables"/>
    <s v="Prime Tables 123"/>
    <s v="Second Class"/>
    <s v="Second Class"/>
    <n v="9"/>
    <n v="2763.61"/>
    <n v="0.15"/>
    <n v="0.15"/>
    <s v="Valid"/>
    <n v="21141.62"/>
    <n v="11676.33"/>
    <n v="9465.2900000000009"/>
    <x v="0"/>
    <s v="Include"/>
    <s v=""/>
    <s v="Completed"/>
    <s v="Completed"/>
    <s v="Include"/>
  </r>
  <r>
    <s v="ORD-2025-10680"/>
    <n v="1"/>
    <s v=""/>
    <s v="16-08-2025"/>
    <d v="2025-08-16T00:00:00"/>
    <s v="23-08-2025"/>
    <d v="2025-08-23T00:00:00"/>
    <s v="Valid"/>
    <n v="7"/>
    <s v="Valid"/>
    <s v="CUST-2897"/>
    <s v="Rohan Mehta"/>
    <s v="Rohan Mehta"/>
    <s v="Corporate"/>
    <s v="Corporate"/>
    <x v="0"/>
    <s v="North"/>
    <s v="Punjab"/>
    <s v="Ludhiana"/>
    <s v="Technology"/>
    <s v="Technology"/>
    <s v="Copiers"/>
    <s v="Smart Copiers 579"/>
    <s v="Same Day"/>
    <s v="Same Day"/>
    <n v="4"/>
    <n v="1410.57"/>
    <s v="70%"/>
    <s v="70%"/>
    <s v="Valid"/>
    <n v="5360.17"/>
    <n v="3881.51"/>
    <n v="1478.66"/>
    <x v="1"/>
    <s v="Exclude"/>
    <s v="Refunded Order"/>
    <s v="Cancelled"/>
    <s v="Cancelled"/>
    <s v="Exclude"/>
  </r>
  <r>
    <s v="ORD-2024-10681"/>
    <n v="1"/>
    <s v=""/>
    <s v="29 May 2024"/>
    <d v="2024-05-29T00:00:00"/>
    <s v="05 Jun 2024"/>
    <d v="2024-06-05T00:00:00"/>
    <s v="Valid"/>
    <n v="7"/>
    <s v="Valid"/>
    <s v="CUST-1136"/>
    <s v="Kabir Singh"/>
    <s v="Kabir Singh"/>
    <s v="Corporate"/>
    <s v="Corporate"/>
    <x v="2"/>
    <s v="South"/>
    <s v="Tamil Nadu"/>
    <s v="Chennai"/>
    <s v="Technology"/>
    <s v="Technology"/>
    <s v="Accessories"/>
    <s v="Eco Accessories 658"/>
    <s v="First Class"/>
    <s v="First Class"/>
    <n v="4"/>
    <n v="3700.24"/>
    <n v="0"/>
    <n v="0"/>
    <s v="Valid"/>
    <n v="14800.96"/>
    <n v="12048.39"/>
    <n v="2752.57"/>
    <x v="0"/>
    <s v="Include"/>
    <s v=""/>
    <s v="Completed"/>
    <s v="Completed"/>
    <s v="Include"/>
  </r>
  <r>
    <s v="ORD-2024-10682"/>
    <n v="1"/>
    <s v=""/>
    <s v="07/04/2024"/>
    <d v="2024-07-04T00:00:00"/>
    <s v="2024-07-10"/>
    <d v="2024-07-10T00:00:00"/>
    <s v="Valid"/>
    <n v="6"/>
    <s v="Valid"/>
    <s v="CUST-1376"/>
    <s v="Vikram Iyer"/>
    <s v="Vikram Iyer"/>
    <s v="Corporate"/>
    <s v="Corporate"/>
    <x v="0"/>
    <s v="North"/>
    <s v="Delhi"/>
    <s v="New Delhi"/>
    <s v="Furniture"/>
    <s v="Furniture"/>
    <s v="Tables"/>
    <s v="Smart Tables 777"/>
    <s v="Second Class"/>
    <s v="Second Class"/>
    <n v="5"/>
    <n v="1200.27"/>
    <n v="0"/>
    <n v="0"/>
    <s v="Valid"/>
    <n v="6001.35"/>
    <n v="4182.99"/>
    <n v="1818.36"/>
    <x v="0"/>
    <s v="Exclude"/>
    <s v=""/>
    <s v="Cancelled"/>
    <s v="Cancelled"/>
    <s v="Exclude"/>
  </r>
  <r>
    <s v="ORD-2025-10683"/>
    <n v="1"/>
    <s v=""/>
    <s v="05 Feb 2025"/>
    <d v="2025-02-05T00:00:00"/>
    <s v="05-02-2025"/>
    <d v="2025-02-05T00:00:00"/>
    <s v="Valid"/>
    <n v="0"/>
    <s v="Valid"/>
    <s v="CUST-1553"/>
    <s v="Ananya Rao"/>
    <s v="Ananya Rao"/>
    <s v="Corporate"/>
    <s v="Corporate"/>
    <x v="0"/>
    <s v="North"/>
    <s v="Haryana"/>
    <s v="Gurugram"/>
    <s v="Office Supplies"/>
    <s v="Office Supplies"/>
    <s v="Storage"/>
    <s v="Eco Storage 861"/>
    <s v="Same Day"/>
    <s v="Same Day"/>
    <n v="3"/>
    <n v="2590.7800000000002"/>
    <m/>
    <n v="0"/>
    <s v="Valid"/>
    <n v="7383.72"/>
    <n v="4113.66"/>
    <n v="3270.06"/>
    <x v="0"/>
    <s v="Include"/>
    <s v=""/>
    <s v="Completed"/>
    <s v="Completed"/>
    <s v="Include"/>
  </r>
  <r>
    <s v="ORD-2025-10684"/>
    <n v="1"/>
    <s v=""/>
    <s v="2025-07-20"/>
    <d v="2025-07-20T00:00:00"/>
    <s v="24-07-2025"/>
    <d v="2025-07-24T00:00:00"/>
    <s v="Valid"/>
    <n v="4"/>
    <s v="Valid"/>
    <s v="CUST-5704"/>
    <s v="Arjun Bose"/>
    <s v="Arjun Bose"/>
    <s v="Small Business"/>
    <s v="Small Business"/>
    <x v="2"/>
    <s v="South"/>
    <s v="Telangana"/>
    <s v="Hyderabad"/>
    <s v="Furniture"/>
    <s v="Furniture"/>
    <s v="Furnishings"/>
    <s v="Eco Furnishings 875"/>
    <s v="Second Class"/>
    <s v="Second Class"/>
    <n v="6"/>
    <n v="1646.45"/>
    <n v="0.2"/>
    <n v="0.2"/>
    <s v="Valid"/>
    <n v="7902.96"/>
    <n v="5512.03"/>
    <n v="2390.9299999999998"/>
    <x v="1"/>
    <s v="Exclude"/>
    <s v="Refunded Order"/>
    <s v="Cancelled"/>
    <s v="Cancelled"/>
    <s v="Exclude"/>
  </r>
  <r>
    <s v="ORD-2025-10685"/>
    <n v="1"/>
    <s v=""/>
    <s v="2025-07-21"/>
    <d v="2025-07-21T00:00:00"/>
    <s v="21-07-2025"/>
    <d v="2025-07-21T00:00:00"/>
    <s v="Valid"/>
    <n v="0"/>
    <s v="Valid"/>
    <s v="CUST-6738"/>
    <s v="Isha Nair"/>
    <s v="Isha Nair"/>
    <s v="Home Office"/>
    <s v="Home Office"/>
    <x v="2"/>
    <s v="South"/>
    <s v="Tamil Nadu"/>
    <s v="Chennai"/>
    <s v="Furniture"/>
    <s v="Furniture"/>
    <s v="Bookcases"/>
    <s v="Prime Bookcases 784"/>
    <s v="First Class"/>
    <s v="First Class"/>
    <n v="7"/>
    <n v="4396.6499999999996"/>
    <n v="0.2"/>
    <n v="0.2"/>
    <s v="Valid"/>
    <n v="24621.24"/>
    <n v="17155.48"/>
    <n v="7465.76"/>
    <x v="1"/>
    <s v="Exclude"/>
    <s v="Refunded Order"/>
    <s v="Cancelled"/>
    <s v="Cancelled"/>
    <s v="Exclude"/>
  </r>
  <r>
    <s v="ORD-2025-10686"/>
    <n v="1"/>
    <s v=""/>
    <s v="01 Oct 2025"/>
    <d v="2025-10-01T00:00:00"/>
    <s v="2025-10-03"/>
    <d v="2025-10-03T00:00:00"/>
    <s v="Valid"/>
    <n v="2"/>
    <s v="Valid"/>
    <s v="CUST-2586"/>
    <s v="Neha Gupta"/>
    <s v="Neha Gupta"/>
    <s v="Corporate"/>
    <s v="Corporate"/>
    <x v="3"/>
    <s v="West"/>
    <s v="Goa"/>
    <s v="Panaji"/>
    <s v="Office Supplies"/>
    <s v="Office Supplies"/>
    <s v="Art"/>
    <s v="Classic Art 380"/>
    <s v="Standard Class"/>
    <s v="Standard Class"/>
    <n v="9"/>
    <n v="818.15"/>
    <n v="0.55000000000000004"/>
    <n v="0.55000000000000004"/>
    <s v="Valid"/>
    <n v="6627.01"/>
    <n v="5606.79"/>
    <n v="1020.22"/>
    <x v="3"/>
    <s v="Exclude"/>
    <s v=""/>
    <s v="Cancelled"/>
    <s v="Cancelled"/>
    <s v="Exclude"/>
  </r>
  <r>
    <s v="ORD-2024-10687"/>
    <n v="1"/>
    <s v=""/>
    <s v="25-03-2024"/>
    <d v="2024-03-25T00:00:00"/>
    <s v="04/02/2024"/>
    <d v="2024-04-02T00:00:00"/>
    <s v="Valid"/>
    <n v="8"/>
    <s v="Valid"/>
    <s v="CUST-3127"/>
    <s v="Sneha Kapoor"/>
    <s v="Sneha Kapoor"/>
    <s v="Home Office"/>
    <s v="Home Office"/>
    <x v="2"/>
    <s v="South"/>
    <s v="Tamil Nadu"/>
    <s v="Chennai"/>
    <s v="Technology"/>
    <s v="Technology"/>
    <s v="Copiers"/>
    <s v="Pro Copiers 502"/>
    <s v="Standard Class"/>
    <s v="Standard Class"/>
    <n v="2"/>
    <n v="2349.13"/>
    <n v="0"/>
    <n v="0"/>
    <s v="Valid"/>
    <n v="4698.26"/>
    <n v="2654.92"/>
    <n v="2043.34"/>
    <x v="0"/>
    <s v="Include"/>
    <s v=""/>
    <s v="Completed"/>
    <s v="Completed"/>
    <s v="Include"/>
  </r>
  <r>
    <s v="ORD-2025-10688"/>
    <n v="1"/>
    <s v=""/>
    <s v="08 Oct 2025"/>
    <d v="2025-10-08T00:00:00"/>
    <s v="13-10-2025"/>
    <d v="2025-10-13T00:00:00"/>
    <s v="Valid"/>
    <n v="5"/>
    <s v="Valid"/>
    <s v="CUST-9347"/>
    <s v="Mira Das"/>
    <s v="Mira Das"/>
    <s v="Home Office"/>
    <s v="Home Office"/>
    <x v="0"/>
    <s v="North"/>
    <s v="Punjab"/>
    <s v="Ludhiana"/>
    <s v="Furniture"/>
    <s v="Furniture"/>
    <s v="Tables"/>
    <s v="Prime Tables 604"/>
    <s v="First Class"/>
    <s v="First Class"/>
    <n v="4"/>
    <n v="172.05"/>
    <n v="0"/>
    <n v="0"/>
    <s v="Valid"/>
    <n v="688.2"/>
    <n v="497.68"/>
    <n v="190.52"/>
    <x v="3"/>
    <s v="Exclude"/>
    <s v=""/>
    <s v="Cancelled"/>
    <s v="Cancelled"/>
    <s v="Exclude"/>
  </r>
  <r>
    <s v="ORD-2025-10689"/>
    <n v="1"/>
    <s v=""/>
    <s v="26 Feb 2025"/>
    <d v="2025-02-26T00:00:00"/>
    <s v="27 Feb 2025"/>
    <d v="2025-02-27T00:00:00"/>
    <s v="Valid"/>
    <n v="1"/>
    <s v="Valid"/>
    <s v="CUST-8575"/>
    <s v="Neha Gupta"/>
    <s v="Neha Gupta"/>
    <s v="Home Office"/>
    <s v="Home Office"/>
    <x v="0"/>
    <s v="North"/>
    <s v="Haryana"/>
    <s v="Gurugram"/>
    <s v="Office Supplies"/>
    <s v="Office Supplies"/>
    <s v="Art"/>
    <s v="Basic Art 798"/>
    <s v="Second Class"/>
    <s v="Second Class"/>
    <n v="6"/>
    <n v="3037.66"/>
    <n v="0.15"/>
    <n v="0.15"/>
    <s v="Valid"/>
    <n v="15492.07"/>
    <n v="12581.23"/>
    <n v="2910.84"/>
    <x v="0"/>
    <s v="Include"/>
    <s v=""/>
    <s v="Completed"/>
    <s v="Completed"/>
    <s v="Include"/>
  </r>
  <r>
    <s v="ORD-2024-10690"/>
    <n v="1"/>
    <s v=""/>
    <s v="05-10-2024"/>
    <d v="2024-10-05T00:00:00"/>
    <s v="06 Oct 2024"/>
    <d v="2024-10-06T00:00:00"/>
    <s v="Valid"/>
    <n v="1"/>
    <s v="Valid"/>
    <s v="CUST-4382"/>
    <s v="Rohan Mehta"/>
    <s v="Rohan Mehta"/>
    <s v="Small Business"/>
    <s v="Small Business"/>
    <x v="0"/>
    <s v="North"/>
    <s v="Punjab"/>
    <s v="Ludhiana"/>
    <s v="Furniture"/>
    <s v="Furniture"/>
    <s v="Tables"/>
    <s v="Elite Tables 717"/>
    <s v="Standard Class"/>
    <s v="Standard Class"/>
    <n v="9"/>
    <n v="489.58"/>
    <n v="0.15"/>
    <n v="0.15"/>
    <s v="Valid"/>
    <n v="3745.29"/>
    <n v="2302.65"/>
    <n v="1442.64"/>
    <x v="3"/>
    <s v="Exclude"/>
    <s v=""/>
    <s v="Cancelled"/>
    <s v="Cancelled"/>
    <s v="Exclude"/>
  </r>
  <r>
    <s v="ORD-2024-10691"/>
    <n v="1"/>
    <s v=""/>
    <s v="09/11/2024"/>
    <d v="2024-09-11T00:00:00"/>
    <s v="2024-09-15"/>
    <d v="2024-09-15T00:00:00"/>
    <s v="Valid"/>
    <n v="4"/>
    <s v="Valid"/>
    <s v="CUST-6815"/>
    <s v="Sneha Kapoor"/>
    <s v="Sneha Kapoor"/>
    <s v="Corporate"/>
    <s v="Corporate"/>
    <x v="2"/>
    <s v="South"/>
    <s v="Tamil Nadu"/>
    <s v="Chennai"/>
    <s v="Office Supplies"/>
    <s v="Office Supplies"/>
    <s v="Art"/>
    <s v="Max Art 725"/>
    <s v="Standard Class"/>
    <s v="Standard Class"/>
    <n v="4"/>
    <n v="865.63"/>
    <n v="0"/>
    <n v="0"/>
    <s v="Valid"/>
    <n v="3462.52"/>
    <n v="2797.29"/>
    <n v="665.23"/>
    <x v="3"/>
    <s v="Exclude"/>
    <s v=""/>
    <s v="Returned"/>
    <s v="Returned"/>
    <s v="Include"/>
  </r>
  <r>
    <s v="ORD-2024-10692"/>
    <n v="1"/>
    <s v=""/>
    <s v="15-12-2024"/>
    <d v="2024-12-15T00:00:00"/>
    <s v="16-12-2024"/>
    <d v="2024-12-16T00:00:00"/>
    <s v="Valid"/>
    <n v="1"/>
    <s v="Valid"/>
    <s v="CUST-7309"/>
    <s v="Rohan Mehta"/>
    <s v="Rohan Mehta"/>
    <s v="Consumer"/>
    <s v="Consumer"/>
    <x v="1"/>
    <s v="East"/>
    <s v="Odisha"/>
    <s v="Bhubaneswar"/>
    <s v="Technology"/>
    <s v="Technology"/>
    <s v="Copiers"/>
    <s v="Smart Copiers 456"/>
    <s v="Second Class"/>
    <s v="Second Class"/>
    <n v="6"/>
    <n v="1538.1"/>
    <n v="0.05"/>
    <n v="0.05"/>
    <s v="Valid"/>
    <n v="8767.17"/>
    <n v="5098.2"/>
    <n v="3668.97"/>
    <x v="0"/>
    <s v="Include"/>
    <s v=""/>
    <s v="Completed"/>
    <s v="Completed"/>
    <s v="Include"/>
  </r>
  <r>
    <s v="ORD-2025-10693"/>
    <n v="1"/>
    <s v=""/>
    <s v="05-10-2025"/>
    <d v="2025-10-05T00:00:00"/>
    <s v="10-10-2025"/>
    <d v="2025-10-10T00:00:00"/>
    <s v="Valid"/>
    <n v="5"/>
    <s v="Valid"/>
    <s v="CUST-9531"/>
    <s v="Isha Nair"/>
    <s v="Isha Nair"/>
    <s v="Corporate"/>
    <s v="Corporate"/>
    <x v="2"/>
    <s v="South"/>
    <s v="Karnataka"/>
    <s v="Bengaluru"/>
    <s v="Furniture"/>
    <s v="Furniture"/>
    <s v="Furnishings"/>
    <s v="Prime Furnishings 883"/>
    <s v="Second Class"/>
    <s v="Second Class"/>
    <n v="4"/>
    <n v="2365.6799999999998"/>
    <n v="0.1"/>
    <n v="0.1"/>
    <s v="Valid"/>
    <n v="8516.4500000000007"/>
    <n v="5903.81"/>
    <n v="2612.64"/>
    <x v="0"/>
    <s v="Include"/>
    <s v=""/>
    <s v="Completed"/>
    <s v="Completed"/>
    <s v="Include"/>
  </r>
  <r>
    <s v="ORD-2025-10694"/>
    <n v="1"/>
    <s v=""/>
    <s v="03-04-2025"/>
    <d v="2025-04-03T00:00:00"/>
    <s v="2025-04-11"/>
    <d v="2025-04-11T00:00:00"/>
    <s v="Valid"/>
    <n v="8"/>
    <s v="Valid"/>
    <s v="CUST-6032"/>
    <s v="Arjun Bose"/>
    <s v="Arjun Bose"/>
    <s v="Consumer"/>
    <s v="Consumer"/>
    <x v="2"/>
    <s v="South"/>
    <s v="Tamil Nadu"/>
    <s v="Chennai"/>
    <s v="Furniture"/>
    <s v="Furniture"/>
    <s v="Bookcases"/>
    <s v="Smart Bookcases 828"/>
    <s v="Second Class"/>
    <s v="Second Class"/>
    <n v="3"/>
    <n v="4149.7700000000004"/>
    <n v="0.05"/>
    <n v="0.05"/>
    <s v="Valid"/>
    <n v="11826.84"/>
    <n v="8035.96"/>
    <n v="3790.88"/>
    <x v="0"/>
    <s v="Include"/>
    <s v=""/>
    <s v="Completed"/>
    <s v="Completed"/>
    <s v="Include"/>
  </r>
  <r>
    <s v="ORD-2025-10695"/>
    <n v="1"/>
    <s v=""/>
    <s v="01-08-2025"/>
    <d v="2025-08-01T00:00:00"/>
    <s v="09-08-2025"/>
    <d v="2025-08-09T00:00:00"/>
    <s v="Valid"/>
    <n v="8"/>
    <s v="Valid"/>
    <s v="CUST-8025"/>
    <s v="Isha Nair"/>
    <s v="Isha Nair"/>
    <s v="Consumer"/>
    <s v="Consumer"/>
    <x v="2"/>
    <s v="South"/>
    <s v="Andhra Pradesh"/>
    <s v="Vijayawada"/>
    <s v="Office Supplies"/>
    <s v="Office Supplies"/>
    <s v="Storage"/>
    <s v="Classic Storage 291"/>
    <s v="First Class"/>
    <s v="First Class"/>
    <n v="5"/>
    <n v="2736.24"/>
    <n v="0.15"/>
    <n v="0.15"/>
    <s v="Valid"/>
    <n v="11629.02"/>
    <n v="9627.2099999999991"/>
    <n v="2001.81"/>
    <x v="0"/>
    <s v="Include"/>
    <s v=""/>
    <s v="Completed"/>
    <s v="Completed"/>
    <s v="Include"/>
  </r>
  <r>
    <s v="ORD-2024-10696"/>
    <n v="1"/>
    <s v=""/>
    <s v="2024-07-01"/>
    <d v="2024-07-01T00:00:00"/>
    <s v="01-07-2024"/>
    <d v="2024-07-01T00:00:00"/>
    <s v="Valid"/>
    <n v="0"/>
    <s v="Valid"/>
    <s v="CUST-6257"/>
    <s v="Aarav Sharma"/>
    <s v="Aarav Sharma"/>
    <s v="Consumer"/>
    <s v="Consumer"/>
    <x v="3"/>
    <s v="West"/>
    <s v="Madhya Pradesh"/>
    <s v="Indore"/>
    <s v="Technology"/>
    <s v="Technology"/>
    <s v="Machines"/>
    <s v="Prime Machines 102"/>
    <s v="Standard Class"/>
    <s v="Standard Class"/>
    <n v="4"/>
    <n v="257.39"/>
    <n v="0"/>
    <n v="0"/>
    <s v="Valid"/>
    <n v="1029.56"/>
    <n v="626.33000000000004"/>
    <n v="403.23"/>
    <x v="0"/>
    <s v="Include"/>
    <s v=""/>
    <s v="Completed"/>
    <s v="Completed"/>
    <s v="Include"/>
  </r>
  <r>
    <s v="ORD-2025-10697"/>
    <n v="1"/>
    <s v=""/>
    <s v="22 Sep 2025"/>
    <d v="2025-09-22T00:00:00"/>
    <s v="25 Sep 2025"/>
    <d v="2025-09-25T00:00:00"/>
    <s v="Valid"/>
    <n v="3"/>
    <s v="Valid"/>
    <s v="CUST-7812"/>
    <s v="Isha Nair"/>
    <s v="Isha Nair"/>
    <s v="Small Business"/>
    <s v="Small Business"/>
    <x v="2"/>
    <s v="South"/>
    <s v="Kerala"/>
    <s v="Kochi"/>
    <s v="Technology"/>
    <s v="Technology"/>
    <s v="Phones"/>
    <s v="Classic Phones 842"/>
    <m/>
    <s v="Unknown"/>
    <n v="4"/>
    <n v="1178.8399999999999"/>
    <n v="0.25"/>
    <n v="0.25"/>
    <s v="Valid"/>
    <n v="3536.52"/>
    <n v="2102.41"/>
    <n v="1363.28"/>
    <x v="0"/>
    <s v="Include"/>
    <s v=""/>
    <s v="Completed"/>
    <s v="Completed"/>
    <s v="Include"/>
  </r>
  <r>
    <s v="ORD-2025-10698"/>
    <n v="1"/>
    <s v=""/>
    <s v="03/01/2025"/>
    <d v="2025-03-01T00:00:00"/>
    <s v="07-03-2025"/>
    <d v="2025-03-07T00:00:00"/>
    <s v="Valid"/>
    <n v="6"/>
    <s v="Valid"/>
    <s v="CUST-6205"/>
    <s v="Arjun Bose"/>
    <s v="Arjun Bose"/>
    <s v="Corporate"/>
    <s v="Corporate"/>
    <x v="2"/>
    <s v="South"/>
    <s v="Andhra Pradesh"/>
    <s v="Vijayawada"/>
    <s v="Office Supplies"/>
    <s v="Office Supplies"/>
    <s v="Labels"/>
    <s v="Max Labels 970"/>
    <s v="First Class"/>
    <s v="First Class"/>
    <n v="7"/>
    <n v="567.15"/>
    <m/>
    <n v="0"/>
    <s v="Valid"/>
    <n v="2977.54"/>
    <n v="1849.3"/>
    <n v="1128.24"/>
    <x v="1"/>
    <s v="Include"/>
    <s v="Refunded Order"/>
    <s v="Returned"/>
    <s v="Returned"/>
    <s v="Include"/>
  </r>
  <r>
    <s v="ORD-2024-10699"/>
    <n v="1"/>
    <s v=""/>
    <s v="14-09-2024"/>
    <d v="2024-09-14T00:00:00"/>
    <s v="2024-09-14"/>
    <d v="2024-09-14T00:00:00"/>
    <s v="Valid"/>
    <n v="0"/>
    <s v="Valid"/>
    <s v="CUST-5357"/>
    <s v="Mira Das"/>
    <s v="Mira Das"/>
    <s v="Corporate"/>
    <s v="Corporate"/>
    <x v="0"/>
    <s v="North"/>
    <s v="Rajasthan"/>
    <s v="Jaipur"/>
    <s v="Technology"/>
    <s v="Technology"/>
    <s v="Machines"/>
    <s v="Classic Machines 648"/>
    <s v="Standard Class"/>
    <s v="Standard Class"/>
    <n v="8"/>
    <n v="4081.66"/>
    <n v="0.15"/>
    <n v="0.15"/>
    <s v="Valid"/>
    <n v="28208.1"/>
    <n v="23751.91"/>
    <n v="4003.38"/>
    <x v="0"/>
    <s v="Include"/>
    <s v=""/>
    <s v="Returned"/>
    <s v="Returned"/>
    <s v="Include"/>
  </r>
  <r>
    <s v="ORD-2024-10700"/>
    <n v="1"/>
    <s v=""/>
    <s v="2024-06-11"/>
    <d v="2024-06-11T00:00:00"/>
    <s v="11 Jun 2024"/>
    <d v="2024-06-11T00:00:00"/>
    <s v="Valid"/>
    <n v="0"/>
    <s v="Valid"/>
    <s v="CUST-9802"/>
    <s v="Arjun Bose"/>
    <s v="Arjun Bose"/>
    <s v="Small Business"/>
    <s v="Small Business"/>
    <x v="2"/>
    <s v="South"/>
    <s v="Karnataka"/>
    <s v="Bengaluru"/>
    <s v="Furniture"/>
    <s v="Furniture"/>
    <s v="Bookcases"/>
    <s v="Max Bookcases 565"/>
    <s v="Standard Class"/>
    <s v="Standard Class"/>
    <n v="9"/>
    <n v="1400.11"/>
    <n v="0.25"/>
    <n v="0.25"/>
    <s v="Valid"/>
    <n v="9450.74"/>
    <n v="7798.56"/>
    <n v="1652.18"/>
    <x v="0"/>
    <s v="Include"/>
    <s v=""/>
    <s v="Completed"/>
    <s v="Completed"/>
    <s v="Include"/>
  </r>
  <r>
    <s v="ORD-2024-10701"/>
    <n v="1"/>
    <s v=""/>
    <s v="18-09-2024"/>
    <d v="2024-09-18T00:00:00"/>
    <s v="09/21/2024"/>
    <d v="2024-09-21T00:00:00"/>
    <s v="Valid"/>
    <n v="3"/>
    <s v="Valid"/>
    <s v="CUST-5646"/>
    <s v="Neha Gupta"/>
    <s v="Neha Gupta"/>
    <s v="Corporate"/>
    <s v="Corporate"/>
    <x v="1"/>
    <s v="East"/>
    <s v="West Bengal"/>
    <s v="Kolkata"/>
    <s v="Technology"/>
    <s v="Technology"/>
    <s v="Machines"/>
    <s v="Basic Machines 220"/>
    <s v="Standard Class"/>
    <s v="Standard Class"/>
    <n v="3"/>
    <n v="3055.9"/>
    <n v="0.15"/>
    <n v="0.15"/>
    <s v="Valid"/>
    <n v="7792.55"/>
    <n v="4691.7299999999996"/>
    <n v="3100.82"/>
    <x v="0"/>
    <s v="Include"/>
    <s v=""/>
    <s v="Completed"/>
    <s v="Completed"/>
    <s v="Include"/>
  </r>
  <r>
    <s v="ORD-2024-10702"/>
    <n v="1"/>
    <s v=""/>
    <s v="30-04-2024"/>
    <d v="2024-04-30T00:00:00"/>
    <s v="04 May 2024"/>
    <d v="2024-05-04T00:00:00"/>
    <s v="Valid"/>
    <n v="4"/>
    <s v="Valid"/>
    <s v="CUST-7171"/>
    <s v="Rohan Mehta"/>
    <s v="Rohan Mehta"/>
    <s v="Small Business"/>
    <s v="Small Business"/>
    <x v="3"/>
    <s v="West"/>
    <s v="Gujarat"/>
    <s v="Ahmedabad"/>
    <s v="Office Supplies"/>
    <s v="Office Supplies"/>
    <s v="Art"/>
    <s v="Pro Art 151"/>
    <s v="Same Day"/>
    <s v="Same Day"/>
    <n v="7"/>
    <n v="1224.94"/>
    <n v="0"/>
    <n v="0"/>
    <s v="Valid"/>
    <n v="8574.58"/>
    <n v="6685.81"/>
    <n v="1888.77"/>
    <x v="0"/>
    <s v="Include"/>
    <s v=""/>
    <s v="Returned"/>
    <s v="Returned"/>
    <s v="Include"/>
  </r>
  <r>
    <s v="ORD-2025-10703"/>
    <n v="1"/>
    <s v=""/>
    <s v="2025-02-02"/>
    <d v="2025-02-02T00:00:00"/>
    <s v="02/06/2025"/>
    <d v="2025-02-06T00:00:00"/>
    <s v="Valid"/>
    <n v="4"/>
    <s v="Valid"/>
    <s v="CUST-5231"/>
    <s v="Karan Malhotra"/>
    <s v="Karan Malhotra"/>
    <s v="Small Business"/>
    <s v="Small Business"/>
    <x v="3"/>
    <s v="West"/>
    <s v="Rajasthan"/>
    <s v="Udaipur"/>
    <s v="Furniture"/>
    <s v="Furniture"/>
    <s v="Tables"/>
    <s v="Pro Tables 980"/>
    <s v="Second Class"/>
    <s v="Second Class"/>
    <n v="3"/>
    <n v="997.34"/>
    <n v="0.1"/>
    <n v="0.1"/>
    <s v="Valid"/>
    <n v="2692.82"/>
    <n v="1820.08"/>
    <n v="872.74"/>
    <x v="0"/>
    <s v="Include"/>
    <s v=""/>
    <s v="Completed"/>
    <s v="Completed"/>
    <s v="Include"/>
  </r>
  <r>
    <s v="ORD-2024-10704"/>
    <n v="1"/>
    <s v=""/>
    <s v="19 Oct 2024"/>
    <d v="2024-10-19T00:00:00"/>
    <s v="2024-10-20"/>
    <d v="2024-10-20T00:00:00"/>
    <s v="Valid"/>
    <n v="1"/>
    <s v="Valid"/>
    <s v="CUST-8734"/>
    <s v="Aditi Sen"/>
    <s v="Aditi Sen"/>
    <s v="Corporate"/>
    <s v="Corporate"/>
    <x v="0"/>
    <s v="North"/>
    <s v="Rajasthan"/>
    <s v="Jaipur"/>
    <s v="Furniture"/>
    <s v="Furniture"/>
    <s v="Tables"/>
    <s v="Classic Tables 997"/>
    <s v="First Class"/>
    <s v="First Class"/>
    <n v="1"/>
    <n v="1150.03"/>
    <n v="0.1"/>
    <n v="0.1"/>
    <s v="Valid"/>
    <n v="1035.03"/>
    <n v="854.35"/>
    <n v="180.68"/>
    <x v="0"/>
    <s v="Include"/>
    <s v=""/>
    <s v="Completed"/>
    <s v="Completed"/>
    <s v="Include"/>
  </r>
  <r>
    <s v="ORD-2024-10705"/>
    <n v="1"/>
    <s v=""/>
    <s v="2024-03-13"/>
    <d v="2024-03-13T00:00:00"/>
    <s v="03/20/2024"/>
    <d v="2024-03-20T00:00:00"/>
    <s v="Valid"/>
    <n v="7"/>
    <s v="Valid"/>
    <s v="CUST-4916"/>
    <s v="Priya Menon"/>
    <s v="Priya Menon"/>
    <s v="Home Office"/>
    <s v="Home Office"/>
    <x v="2"/>
    <s v="South"/>
    <s v="Tamil Nadu"/>
    <s v="Chennai"/>
    <s v="Furniture"/>
    <s v="Furniture"/>
    <s v="Bookcases"/>
    <s v="Max Bookcases 738"/>
    <m/>
    <s v="Unknown"/>
    <n v="1"/>
    <n v="2825.63"/>
    <n v="0.15"/>
    <n v="0.15"/>
    <s v="Valid"/>
    <n v="2401.79"/>
    <n v="1820.34"/>
    <n v="581.45000000000005"/>
    <x v="0"/>
    <s v="Include"/>
    <s v=""/>
    <s v="Completed"/>
    <s v="Completed"/>
    <s v="Include"/>
  </r>
  <r>
    <s v="ORD-2024-10706"/>
    <n v="1"/>
    <s v=""/>
    <s v="08 Sep 2024"/>
    <d v="2024-09-08T00:00:00"/>
    <s v="09/14/2024"/>
    <d v="2024-09-14T00:00:00"/>
    <s v="Valid"/>
    <n v="6"/>
    <s v="Valid"/>
    <s v="CUST-3289"/>
    <s v="Rohan Mehta"/>
    <s v="Rohan Mehta"/>
    <s v="Consumer"/>
    <s v="Consumer"/>
    <x v="0"/>
    <s v="North"/>
    <s v="Rajasthan"/>
    <s v="Jaipur"/>
    <s v="Office Supplies"/>
    <s v="Office Supplies"/>
    <s v="Binders"/>
    <s v="Max Binders 411"/>
    <s v="Standard Class"/>
    <s v="Standard Class"/>
    <n v="5"/>
    <n v="3371.75"/>
    <n v="0.05"/>
    <n v="0.05"/>
    <s v="Valid"/>
    <n v="16015.81"/>
    <n v="11352.38"/>
    <n v="4663.43"/>
    <x v="0"/>
    <s v="Include"/>
    <s v=""/>
    <s v="Completed"/>
    <s v="Completed"/>
    <s v="Include"/>
  </r>
  <r>
    <s v="ORD-2024-10707"/>
    <n v="1"/>
    <s v=""/>
    <s v="24-06-2024"/>
    <d v="2024-06-24T00:00:00"/>
    <s v="28-06-2024"/>
    <d v="2024-06-28T00:00:00"/>
    <s v="Valid"/>
    <n v="4"/>
    <s v="Valid"/>
    <s v="CUST-4928"/>
    <s v="Isha Nair"/>
    <s v="Isha Nair"/>
    <s v="Small Business"/>
    <s v="Small Business"/>
    <x v="1"/>
    <s v="East"/>
    <s v="Odisha"/>
    <s v="Bhubaneswar"/>
    <s v="Office Supplies"/>
    <s v="Office Supplies"/>
    <s v="Paper"/>
    <s v="Max Paper 343"/>
    <s v="Same Day"/>
    <s v="Same Day"/>
    <n v="1"/>
    <n v="2112.75"/>
    <n v="0.1"/>
    <n v="0.1"/>
    <s v="Valid"/>
    <n v="1901.48"/>
    <n v="1354.28"/>
    <n v="547.20000000000005"/>
    <x v="0"/>
    <s v="Include"/>
    <s v=""/>
    <s v="Completed"/>
    <s v="Completed"/>
    <s v="Include"/>
  </r>
  <r>
    <s v="ORD-2025-10708"/>
    <n v="1"/>
    <s v=""/>
    <s v="24-06-2025"/>
    <d v="2025-06-24T00:00:00"/>
    <s v="06/26/2025"/>
    <d v="2025-06-26T00:00:00"/>
    <s v="Valid"/>
    <n v="2"/>
    <s v="Valid"/>
    <s v="CUST-4902"/>
    <s v="Vikram Iyer"/>
    <s v="Vikram Iyer"/>
    <s v="Consumer"/>
    <s v="Consumer"/>
    <x v="0"/>
    <s v="North"/>
    <s v="Rajasthan"/>
    <s v="Jaipur"/>
    <s v="Technology"/>
    <s v="Technology"/>
    <s v="Accessories"/>
    <s v="Pro Accessories 485"/>
    <s v="Same Day"/>
    <s v="Same Day"/>
    <n v="5"/>
    <n v="3722.66"/>
    <n v="0.55000000000000004"/>
    <n v="0.55000000000000004"/>
    <s v="Valid"/>
    <n v="16751.97"/>
    <n v="11678.32"/>
    <n v="5073.6499999999996"/>
    <x v="0"/>
    <s v="Include"/>
    <s v=""/>
    <s v="Completed"/>
    <s v="Completed"/>
    <s v="Include"/>
  </r>
  <r>
    <s v="ORD-2025-10709"/>
    <n v="1"/>
    <s v=""/>
    <s v="03/20/2025"/>
    <d v="2025-03-20T00:00:00"/>
    <s v="2025-03-26"/>
    <d v="2025-03-26T00:00:00"/>
    <s v="Valid"/>
    <n v="6"/>
    <s v="Valid"/>
    <s v="CUST-6504"/>
    <s v="Sneha Kapoor"/>
    <s v="Sneha Kapoor"/>
    <s v="Consumer"/>
    <s v="Consumer"/>
    <x v="1"/>
    <s v="East"/>
    <s v="Assam"/>
    <s v="Guwahati"/>
    <s v="Furniture"/>
    <s v="Furniture"/>
    <s v="Bookcases"/>
    <s v="Elite Bookcases 113"/>
    <s v="First Class"/>
    <s v="First Class"/>
    <n v="4"/>
    <n v="4357.66"/>
    <n v="0.05"/>
    <n v="0.05"/>
    <s v="Valid"/>
    <n v="16559.11"/>
    <n v="13233.79"/>
    <n v="3325.32"/>
    <x v="0"/>
    <s v="Include"/>
    <s v=""/>
    <s v="Completed"/>
    <s v="Completed"/>
    <s v="Include"/>
  </r>
  <r>
    <s v="ORD-2025-10710"/>
    <n v="1"/>
    <s v=""/>
    <s v="19 Jan 2025"/>
    <d v="2025-01-19T00:00:00"/>
    <s v="23 Jan 2025"/>
    <d v="2025-01-23T00:00:00"/>
    <s v="Valid"/>
    <n v="4"/>
    <s v="Valid"/>
    <s v="CUST-8036"/>
    <s v="Kabir Singh"/>
    <s v="Kabir Singh"/>
    <s v="Home Office"/>
    <s v="Home Office"/>
    <x v="0"/>
    <s v="North"/>
    <s v="Punjab"/>
    <s v="Ludhiana"/>
    <s v="Technology"/>
    <s v="Technology"/>
    <s v="Phones"/>
    <s v="Eco Phones 787"/>
    <s v="Same Day"/>
    <s v="Same Day"/>
    <n v="7"/>
    <n v="1363.04"/>
    <n v="0.15"/>
    <n v="0.15"/>
    <s v="Valid"/>
    <n v="8110.09"/>
    <n v="6417.32"/>
    <n v="1692.77"/>
    <x v="0"/>
    <s v="Exclude"/>
    <s v=""/>
    <s v="Cancelled"/>
    <s v="Cancelled"/>
    <s v="Exclude"/>
  </r>
  <r>
    <s v="ORD-2024-10711"/>
    <n v="1"/>
    <s v=""/>
    <s v="07/12/2024"/>
    <d v="2024-07-12T00:00:00"/>
    <s v="07/19/2024"/>
    <d v="2024-07-19T00:00:00"/>
    <s v="Valid"/>
    <n v="7"/>
    <s v="Valid"/>
    <s v="CUST-7199"/>
    <s v="Vikram Iyer"/>
    <s v="Vikram Iyer"/>
    <s v="Corporate"/>
    <s v="Corporate"/>
    <x v="0"/>
    <s v="North"/>
    <s v="Punjab"/>
    <s v="Ludhiana"/>
    <s v="Office Supplies"/>
    <s v="Office Supplies"/>
    <s v="Art"/>
    <s v="Smart Art 279"/>
    <s v="Second Class"/>
    <s v="Second Class"/>
    <n v="5"/>
    <n v="1559.16"/>
    <n v="0.05"/>
    <n v="0.05"/>
    <s v="Valid"/>
    <n v="7406.01"/>
    <n v="5941.74"/>
    <n v="1464.27"/>
    <x v="0"/>
    <s v="Include"/>
    <s v=""/>
    <s v="Completed"/>
    <s v="Completed"/>
    <s v="Include"/>
  </r>
  <r>
    <s v="ORD-2025-10712"/>
    <n v="1"/>
    <s v=""/>
    <s v="02-02-2025"/>
    <d v="2025-02-02T00:00:00"/>
    <s v="2025-02-02"/>
    <d v="2025-02-02T00:00:00"/>
    <s v="Valid"/>
    <n v="0"/>
    <s v="Valid"/>
    <s v="CUST-6176"/>
    <s v="Kabir Singh"/>
    <s v="Kabir Singh"/>
    <s v="Corporate"/>
    <s v="Corporate"/>
    <x v="1"/>
    <s v="East"/>
    <s v="West Bengal"/>
    <s v="Kolkata"/>
    <s v="Technology"/>
    <s v="Technology"/>
    <s v="Machines"/>
    <s v="Basic Machines 172"/>
    <s v="First Class"/>
    <s v="First Class"/>
    <n v="1"/>
    <n v="4326.75"/>
    <n v="0.05"/>
    <n v="0.05"/>
    <s v="Valid"/>
    <n v="4110.41"/>
    <n v="2394.14"/>
    <n v="1716.27"/>
    <x v="2"/>
    <s v="Include"/>
    <s v=""/>
    <s v="Returned"/>
    <s v="Returned"/>
    <s v="Include"/>
  </r>
  <r>
    <s v="ORD-2024-10713"/>
    <n v="1"/>
    <s v=""/>
    <s v="10 Feb 2024"/>
    <d v="2024-02-10T00:00:00"/>
    <s v="18 Feb 2024"/>
    <d v="2024-02-18T00:00:00"/>
    <s v="Valid"/>
    <n v="8"/>
    <s v="Valid"/>
    <s v="CUST-5127"/>
    <s v="Isha Nair"/>
    <s v="Isha Nair"/>
    <s v="Home Office"/>
    <s v="Home Office"/>
    <x v="3"/>
    <s v="West"/>
    <s v="Madhya Pradesh"/>
    <s v="Indore"/>
    <s v="Furniture"/>
    <s v="Furniture"/>
    <s v="Chairs"/>
    <s v="Smart Chairs 259"/>
    <s v="First Class"/>
    <s v="First Class"/>
    <n v="7"/>
    <n v="1382.86"/>
    <n v="0"/>
    <n v="0"/>
    <s v="Valid"/>
    <n v="9680.02"/>
    <n v="6876.66"/>
    <n v="2803.36"/>
    <x v="0"/>
    <s v="Include"/>
    <s v=""/>
    <s v="Completed"/>
    <s v="Completed"/>
    <s v="Include"/>
  </r>
  <r>
    <s v="ORD-2025-10714"/>
    <n v="1"/>
    <s v=""/>
    <s v="06/06/2025"/>
    <d v="2025-06-06T00:00:00"/>
    <s v="06/10/2025"/>
    <d v="2025-06-10T00:00:00"/>
    <s v="Valid"/>
    <n v="4"/>
    <s v="Valid"/>
    <s v="CUST-2548"/>
    <s v="Mira Das"/>
    <s v="Mira Das"/>
    <s v="Consumer"/>
    <s v="Consumer"/>
    <x v="3"/>
    <s v="West"/>
    <s v="Rajasthan"/>
    <s v="Udaipur"/>
    <s v="Technology"/>
    <s v="Technology"/>
    <s v="Machines"/>
    <s v="Pro Machines 987"/>
    <s v="Second Class"/>
    <s v="Second Class"/>
    <n v="1"/>
    <n v="289.97000000000003"/>
    <n v="0.25"/>
    <n v="0.25"/>
    <s v="Valid"/>
    <n v="217.48"/>
    <n v="132.13"/>
    <n v="85.35"/>
    <x v="0"/>
    <s v="Include"/>
    <s v=""/>
    <s v="Completed"/>
    <s v="Completed"/>
    <s v="Include"/>
  </r>
  <r>
    <s v="ORD-2025-10715"/>
    <n v="1"/>
    <s v=""/>
    <s v="22 Mar 2025"/>
    <d v="2025-03-22T00:00:00"/>
    <s v="2025-03-23"/>
    <d v="2025-03-23T00:00:00"/>
    <s v="Valid"/>
    <n v="1"/>
    <s v="Valid"/>
    <s v="CUST-9902"/>
    <s v="Karan Malhotra"/>
    <s v="Karan Malhotra"/>
    <s v="Home Office"/>
    <s v="Home Office"/>
    <x v="0"/>
    <s v="North"/>
    <s v="Delhi"/>
    <s v="New Delhi"/>
    <s v="Technology"/>
    <s v="Technology"/>
    <s v="Copiers"/>
    <s v="Pro Copiers 206"/>
    <s v="Standard Class"/>
    <s v="Standard Class"/>
    <n v="9"/>
    <n v="2075.02"/>
    <n v="0"/>
    <n v="0"/>
    <s v="Valid"/>
    <n v="18675.18"/>
    <n v="13974.7"/>
    <n v="4700.4799999999996"/>
    <x v="0"/>
    <s v="Include"/>
    <s v=""/>
    <s v="Completed"/>
    <s v="Completed"/>
    <s v="Include"/>
  </r>
  <r>
    <s v="ORD-2025-10716"/>
    <n v="1"/>
    <s v=""/>
    <s v="2025-08-22"/>
    <d v="2025-08-22T00:00:00"/>
    <s v="27 Aug 2025"/>
    <d v="2025-08-27T00:00:00"/>
    <s v="Valid"/>
    <n v="5"/>
    <s v="Valid"/>
    <s v="CUST-7446"/>
    <s v="Priya Menon"/>
    <s v="Priya Menon"/>
    <s v="Consumer"/>
    <s v="Consumer"/>
    <x v="0"/>
    <s v="North"/>
    <s v="Haryana"/>
    <s v="Gurugram"/>
    <s v="Furniture"/>
    <s v="Furniture"/>
    <s v="Chairs"/>
    <s v="Max Chairs 372"/>
    <s v="Second Class"/>
    <s v="Second Class"/>
    <n v="7"/>
    <n v="2843.09"/>
    <n v="0"/>
    <n v="0"/>
    <s v="Valid"/>
    <n v="19901.63"/>
    <n v="15492.03"/>
    <n v="4409.6000000000004"/>
    <x v="1"/>
    <s v="Exclude"/>
    <s v="Refunded Order"/>
    <s v="Cancelled"/>
    <s v="Cancelled"/>
    <s v="Exclude"/>
  </r>
  <r>
    <s v="ORD-2025-10717"/>
    <n v="1"/>
    <s v=""/>
    <s v="26 Aug 2025"/>
    <d v="2025-08-26T00:00:00"/>
    <s v="31-08-2025"/>
    <d v="2025-08-31T00:00:00"/>
    <s v="Valid"/>
    <n v="5"/>
    <s v="Valid"/>
    <s v="CUST-7540"/>
    <s v="Diya Patel"/>
    <s v="Diya Patel"/>
    <s v="Small Business"/>
    <s v="Small Business"/>
    <x v="0"/>
    <s v="North"/>
    <s v="Haryana"/>
    <s v="Gurugram"/>
    <s v="Technology"/>
    <s v="Technology"/>
    <s v="Phones"/>
    <s v="Basic Phones 496"/>
    <s v="First Class"/>
    <s v="First Class"/>
    <n v="1"/>
    <n v="3388.02"/>
    <n v="0.15"/>
    <n v="0.15"/>
    <s v="Valid"/>
    <n v="2879.82"/>
    <n v="1824.88"/>
    <n v="1054.94"/>
    <x v="0"/>
    <s v="Include"/>
    <s v=""/>
    <s v="Completed"/>
    <s v="Completed"/>
    <s v="Include"/>
  </r>
  <r>
    <s v="ORD-2025-10718"/>
    <n v="1"/>
    <s v=""/>
    <s v="12-10-2025"/>
    <d v="2025-10-12T00:00:00"/>
    <s v="15 Oct 2025"/>
    <d v="2025-10-15T00:00:00"/>
    <s v="Valid"/>
    <n v="3"/>
    <s v="Valid"/>
    <s v="CUST-8351"/>
    <s v="Kabir Singh"/>
    <s v="Kabir Singh"/>
    <s v="Small Business"/>
    <s v="Small Business"/>
    <x v="0"/>
    <s v="North"/>
    <s v="Haryana"/>
    <s v="Gurugram"/>
    <s v="Technology"/>
    <s v="Technology"/>
    <s v="Machines"/>
    <s v="Prime Machines 612"/>
    <s v="Standard Class"/>
    <s v="Standard Class"/>
    <n v="9"/>
    <n v="2598.92"/>
    <n v="0.2"/>
    <n v="0.2"/>
    <s v="Valid"/>
    <n v="18712.22"/>
    <n v="11852.22"/>
    <n v="6860"/>
    <x v="2"/>
    <s v="Exclude"/>
    <s v=""/>
    <s v="Cancelled"/>
    <s v="Cancelled"/>
    <s v="Exclude"/>
  </r>
  <r>
    <s v="ORD-2024-10719"/>
    <n v="1"/>
    <s v=""/>
    <s v="06 Sep 2024"/>
    <d v="2024-09-06T00:00:00"/>
    <s v="2024-09-09"/>
    <d v="2024-09-09T00:00:00"/>
    <s v="Valid"/>
    <n v="3"/>
    <s v="Valid"/>
    <s v="CUST-3918"/>
    <s v="Mira Das"/>
    <s v="Mira Das"/>
    <s v="Consumer"/>
    <s v="Consumer"/>
    <x v="3"/>
    <s v="West"/>
    <s v="Maharashtra"/>
    <s v="Mumbai"/>
    <s v="Office Supplies"/>
    <s v="Office Supplies"/>
    <s v="Art"/>
    <s v="Smart Art 866"/>
    <s v="Same Day"/>
    <s v="Same Day"/>
    <n v="3"/>
    <n v="1972.27"/>
    <n v="0.2"/>
    <n v="0.2"/>
    <s v="Valid"/>
    <n v="4733.45"/>
    <n v="3672.32"/>
    <n v="1061.1300000000001"/>
    <x v="0"/>
    <s v="Include"/>
    <s v=""/>
    <s v="Completed"/>
    <s v="Completed"/>
    <s v="Include"/>
  </r>
  <r>
    <s v="ORD-2025-10720"/>
    <n v="1"/>
    <s v=""/>
    <s v="08 Sep 2025"/>
    <d v="2025-09-08T00:00:00"/>
    <s v="2025-09-09"/>
    <d v="2025-09-09T00:00:00"/>
    <s v="Valid"/>
    <n v="1"/>
    <s v="Valid"/>
    <s v="CUST-3190"/>
    <s v="Kabir Singh"/>
    <s v="Kabir Singh"/>
    <s v="Corporate"/>
    <s v="Corporate"/>
    <x v="3"/>
    <s v="West"/>
    <s v="Gujarat"/>
    <s v="Ahmedabad"/>
    <s v="Office Supplies"/>
    <s v="Office Supplies"/>
    <s v="Art"/>
    <s v="Pro Art 447"/>
    <s v="Same Day"/>
    <s v="Same Day"/>
    <n v="2"/>
    <n v="2372.41"/>
    <n v="0.2"/>
    <n v="0.2"/>
    <s v="Valid"/>
    <n v="3795.86"/>
    <n v="2264.92"/>
    <n v="1530.94"/>
    <x v="0"/>
    <s v="Include"/>
    <s v=""/>
    <s v="Completed"/>
    <s v="Completed"/>
    <s v="Include"/>
  </r>
  <r>
    <s v="ORD-2024-10721"/>
    <n v="1"/>
    <s v=""/>
    <s v="2024-07-16"/>
    <d v="2024-07-16T00:00:00"/>
    <s v="07/16/2024"/>
    <d v="2024-07-16T00:00:00"/>
    <s v="Valid"/>
    <n v="0"/>
    <s v="Valid"/>
    <s v="CUST-1991"/>
    <s v="Aditi Sen"/>
    <s v="Aditi Sen"/>
    <s v="Home Office"/>
    <s v="Home Office"/>
    <x v="3"/>
    <s v="West"/>
    <s v="Madhya Pradesh"/>
    <s v="Indore"/>
    <s v="Technology"/>
    <s v="Technology"/>
    <s v="Copiers"/>
    <s v="Smart Copiers 196"/>
    <s v="Same Day"/>
    <s v="Same Day"/>
    <n v="4"/>
    <n v="4479.92"/>
    <n v="0.15"/>
    <n v="0.15"/>
    <s v="Valid"/>
    <n v="15231.73"/>
    <n v="12451.46"/>
    <n v="2780.27"/>
    <x v="0"/>
    <s v="Include"/>
    <s v=""/>
    <s v="Completed"/>
    <s v="Completed"/>
    <s v="Include"/>
  </r>
  <r>
    <s v="ORD-2025-10722"/>
    <n v="1"/>
    <s v=""/>
    <s v="19-06-2025"/>
    <d v="2025-06-19T00:00:00"/>
    <s v="23-06-2025"/>
    <d v="2025-06-23T00:00:00"/>
    <s v="Valid"/>
    <n v="4"/>
    <s v="Valid"/>
    <s v="CUST-7606"/>
    <s v="Sneha Kapoor"/>
    <s v="Sneha Kapoor"/>
    <s v="Consumer"/>
    <s v="Consumer"/>
    <x v="2"/>
    <s v="South"/>
    <s v="Karnataka"/>
    <s v="Bengaluru"/>
    <s v="Technology"/>
    <s v="Technology"/>
    <s v="Copiers"/>
    <s v="Pro Copiers 532"/>
    <s v="First Class"/>
    <s v="First Class"/>
    <n v="5"/>
    <n v="2729.95"/>
    <n v="0"/>
    <n v="0"/>
    <s v="Valid"/>
    <n v="13649.75"/>
    <n v="10288.030000000001"/>
    <n v="3361.72"/>
    <x v="0"/>
    <s v="Include"/>
    <s v=""/>
    <s v="Completed"/>
    <s v="Completed"/>
    <s v="Include"/>
  </r>
  <r>
    <s v="ORD-2024-10723"/>
    <n v="1"/>
    <s v=""/>
    <s v="2024-10-07"/>
    <d v="2024-10-07T00:00:00"/>
    <s v="10 Oct 2024"/>
    <d v="2024-10-10T00:00:00"/>
    <s v="Valid"/>
    <n v="3"/>
    <s v="Valid"/>
    <s v="CUST-8844"/>
    <s v="Vikram Iyer"/>
    <s v="Vikram Iyer"/>
    <s v="Consumer"/>
    <s v="Consumer"/>
    <x v="1"/>
    <s v="East"/>
    <s v="West Bengal"/>
    <s v="Kolkata"/>
    <s v="Furniture"/>
    <s v="Furniture"/>
    <s v="Chairs"/>
    <s v="Eco Chairs 442"/>
    <s v="Second Class"/>
    <s v="Second Class"/>
    <n v="9"/>
    <n v="481.51"/>
    <m/>
    <n v="0"/>
    <s v="Valid"/>
    <n v="4333.59"/>
    <n v="2533.59"/>
    <n v="1800"/>
    <x v="1"/>
    <s v="Exclude"/>
    <s v="Refunded Order"/>
    <s v="Cancelled"/>
    <s v="Cancelled"/>
    <s v="Exclude"/>
  </r>
  <r>
    <s v="ORD-2025-10724"/>
    <n v="1"/>
    <s v=""/>
    <s v="10/06/2025"/>
    <d v="2025-10-06T00:00:00"/>
    <s v="2025-10-13"/>
    <d v="2025-10-13T00:00:00"/>
    <s v="Valid"/>
    <n v="7"/>
    <s v="Valid"/>
    <s v="CUST-4335"/>
    <s v="Kabir Singh"/>
    <s v="Kabir Singh"/>
    <s v="Home Office"/>
    <s v="Home Office"/>
    <x v="1"/>
    <s v="East"/>
    <s v="Jharkhand"/>
    <s v="Ranchi"/>
    <s v="Technology"/>
    <s v="Technology"/>
    <s v="Accessories"/>
    <s v="Eco Accessories 364"/>
    <s v="Standard Class"/>
    <s v="Standard Class"/>
    <n v="6"/>
    <n v="2391.9299999999998"/>
    <n v="0.05"/>
    <n v="0.05"/>
    <s v="Valid"/>
    <n v="13634"/>
    <n v="9589.81"/>
    <n v="4044.19"/>
    <x v="3"/>
    <s v="Exclude"/>
    <s v=""/>
    <s v="Returned"/>
    <s v="Returned"/>
    <s v="Include"/>
  </r>
  <r>
    <s v="ORD-2024-10725"/>
    <n v="1"/>
    <s v=""/>
    <s v="02/10/2024"/>
    <d v="2024-02-10T00:00:00"/>
    <s v="16-02-2024"/>
    <d v="2024-02-16T00:00:00"/>
    <s v="Valid"/>
    <n v="6"/>
    <s v="Valid"/>
    <s v="CUST-5891"/>
    <s v="Karan Malhotra"/>
    <s v="Karan Malhotra"/>
    <s v="Consumer"/>
    <s v="Consumer"/>
    <x v="3"/>
    <s v="West"/>
    <s v="Goa"/>
    <s v="Panaji"/>
    <s v="Furniture"/>
    <s v="Furniture"/>
    <s v="Furnishings"/>
    <s v="Elite Furnishings 921"/>
    <s v="Second Class"/>
    <s v="Second Class"/>
    <n v="3"/>
    <n v="253.43"/>
    <n v="0"/>
    <n v="0"/>
    <s v="Valid"/>
    <n v="760.29"/>
    <n v="497.77"/>
    <n v="262.52"/>
    <x v="0"/>
    <s v="Include"/>
    <s v=""/>
    <s v="Completed"/>
    <s v="Completed"/>
    <s v="Include"/>
  </r>
  <r>
    <s v="ORD-2025-10726"/>
    <n v="1"/>
    <s v=""/>
    <s v="10/05/2025"/>
    <d v="2025-10-05T00:00:00"/>
    <s v="2025-10-12"/>
    <d v="2025-10-12T00:00:00"/>
    <s v="Valid"/>
    <n v="7"/>
    <s v="Valid"/>
    <s v="CUST-6371"/>
    <s v="Priya Menon"/>
    <s v="Priya Menon"/>
    <s v="Corporate"/>
    <s v="Corporate"/>
    <x v="2"/>
    <s v="South"/>
    <s v="Karnataka"/>
    <s v="Bengaluru"/>
    <s v="Furniture"/>
    <s v="Furniture"/>
    <s v="Tables"/>
    <s v="Max Tables 309"/>
    <s v="Second Class"/>
    <s v="Second Class"/>
    <n v="7"/>
    <n v="2134.73"/>
    <n v="0"/>
    <n v="0"/>
    <s v="Valid"/>
    <n v="14943.11"/>
    <n v="8521.5"/>
    <n v="6421.61"/>
    <x v="0"/>
    <s v="Include"/>
    <s v=""/>
    <s v="Completed"/>
    <s v="Completed"/>
    <s v="Include"/>
  </r>
  <r>
    <s v="ORD-2024-10727"/>
    <n v="1"/>
    <s v=""/>
    <s v="2024-01-17"/>
    <d v="2024-01-17T00:00:00"/>
    <s v="01/23/2024"/>
    <d v="2024-01-23T00:00:00"/>
    <s v="Valid"/>
    <n v="6"/>
    <s v="Valid"/>
    <s v="CUST-6655"/>
    <s v="Kabir Singh"/>
    <s v="Kabir Singh"/>
    <s v="Home Office"/>
    <s v="Home Office"/>
    <x v="3"/>
    <s v="West"/>
    <s v="Gujarat"/>
    <s v="Ahmedabad"/>
    <s v="Technology"/>
    <s v="Technology"/>
    <s v="Phones"/>
    <s v="Pro Phones 857"/>
    <s v="Standard Class"/>
    <s v="Standard Class"/>
    <n v="5"/>
    <n v="2018"/>
    <n v="0.2"/>
    <n v="0.2"/>
    <s v="Valid"/>
    <n v="8072"/>
    <n v="5379.22"/>
    <n v="2692.78"/>
    <x v="2"/>
    <s v="Include"/>
    <s v=""/>
    <s v="Returned"/>
    <s v="Returned"/>
    <s v="Include"/>
  </r>
  <r>
    <s v="ORD-2024-10728"/>
    <n v="1"/>
    <s v=""/>
    <s v="13 Oct 2024"/>
    <d v="2024-10-13T00:00:00"/>
    <s v="13 Oct 2024"/>
    <d v="2024-10-13T00:00:00"/>
    <s v="Valid"/>
    <n v="0"/>
    <s v="Valid"/>
    <s v="CUST-6492"/>
    <s v="Aarav Sharma"/>
    <s v="Aarav Sharma"/>
    <s v="Small Business"/>
    <s v="Small Business"/>
    <x v="1"/>
    <s v="East"/>
    <s v="Assam"/>
    <s v="Guwahati"/>
    <s v="Technology"/>
    <s v="Technology"/>
    <s v="Accessories"/>
    <s v="Max Accessories 567"/>
    <s v="Second Class"/>
    <s v="Second Class"/>
    <n v="8"/>
    <n v="3730.66"/>
    <n v="0.05"/>
    <n v="0.05"/>
    <s v="Valid"/>
    <n v="28353.02"/>
    <n v="19257.849999999999"/>
    <n v="9095.17"/>
    <x v="0"/>
    <s v="Include"/>
    <s v=""/>
    <s v="Completed"/>
    <s v="Completed"/>
    <s v="Include"/>
  </r>
  <r>
    <s v="ORD-2024-10729"/>
    <n v="1"/>
    <s v=""/>
    <s v="2024-01-04"/>
    <d v="2024-01-04T00:00:00"/>
    <s v="07-01-2024"/>
    <d v="2024-01-07T00:00:00"/>
    <s v="Valid"/>
    <n v="3"/>
    <s v="Valid"/>
    <s v="CUST-1154"/>
    <s v="Sneha Kapoor"/>
    <s v="Sneha Kapoor"/>
    <s v="Small Business"/>
    <s v="Small Business"/>
    <x v="2"/>
    <s v="South"/>
    <s v="Karnataka"/>
    <s v="Bengaluru"/>
    <s v="Technology"/>
    <s v="Technology"/>
    <s v="Machines"/>
    <s v="Max Machines 200"/>
    <s v="First Class"/>
    <s v="First Class"/>
    <n v="1"/>
    <n v="2363.02"/>
    <n v="0.15"/>
    <n v="0.15"/>
    <s v="Valid"/>
    <n v="2008.57"/>
    <n v="1194.83"/>
    <n v="813.74"/>
    <x v="0"/>
    <s v="Include"/>
    <s v=""/>
    <s v="Completed"/>
    <s v="Completed"/>
    <s v="Include"/>
  </r>
  <r>
    <s v="ORD-2025-10730"/>
    <n v="1"/>
    <s v=""/>
    <s v="17-05-2025"/>
    <d v="2025-05-17T00:00:00"/>
    <s v="25 May 2025"/>
    <d v="2025-05-25T00:00:00"/>
    <s v="Valid"/>
    <n v="8"/>
    <s v="Valid"/>
    <s v="CUST-8713"/>
    <s v="Ananya Rao"/>
    <s v="Ananya Rao"/>
    <s v="Corporate"/>
    <s v="Corporate"/>
    <x v="2"/>
    <s v="South"/>
    <s v="Tamil Nadu"/>
    <s v="Chennai"/>
    <s v="Technology"/>
    <s v="Technology"/>
    <s v="Machines"/>
    <s v="Pro Machines 563"/>
    <s v="Same Day"/>
    <s v="Same Day"/>
    <n v="6"/>
    <n v="1810.63"/>
    <n v="0.15"/>
    <n v="0.15"/>
    <s v="Valid"/>
    <n v="9234.2099999999991"/>
    <n v="5516.52"/>
    <n v="3717.69"/>
    <x v="0"/>
    <s v="Include"/>
    <s v=""/>
    <s v="Completed"/>
    <s v="Completed"/>
    <s v="Include"/>
  </r>
  <r>
    <s v="ORD-2025-10731"/>
    <n v="1"/>
    <s v=""/>
    <s v="06/19/2025"/>
    <d v="2025-06-19T00:00:00"/>
    <s v="24-06-2025"/>
    <d v="2025-06-24T00:00:00"/>
    <s v="Valid"/>
    <n v="5"/>
    <s v="Valid"/>
    <s v="CUST-6765"/>
    <s v="Arjun Bose"/>
    <s v="Arjun Bose"/>
    <s v="Consumer"/>
    <s v="Consumer"/>
    <x v="1"/>
    <s v="East"/>
    <s v="West Bengal"/>
    <s v="Kolkata"/>
    <s v="Office Supplies"/>
    <s v="Office Supplies"/>
    <s v="Art"/>
    <s v="Elite Art 696"/>
    <s v="Second Class"/>
    <s v="Second Class"/>
    <n v="4"/>
    <n v="782.01"/>
    <n v="0.15"/>
    <n v="0.15"/>
    <s v="Valid"/>
    <n v="2658.83"/>
    <n v="2226.9699999999998"/>
    <n v="431.86"/>
    <x v="1"/>
    <s v="Include"/>
    <s v="Refunded Order"/>
    <s v="Returned"/>
    <s v="Returned"/>
    <s v="Include"/>
  </r>
  <r>
    <s v="ORD-2024-10732"/>
    <n v="1"/>
    <s v=""/>
    <s v="2024-03-17"/>
    <d v="2024-03-17T00:00:00"/>
    <s v="19 Mar 2024"/>
    <d v="2024-03-19T00:00:00"/>
    <s v="Valid"/>
    <n v="2"/>
    <s v="Valid"/>
    <s v="CUST-6849"/>
    <s v="Ananya Rao"/>
    <s v="Ananya Rao"/>
    <s v="Corporate"/>
    <s v="Corporate"/>
    <x v="1"/>
    <s v="East"/>
    <s v="Odisha"/>
    <s v="Bhubaneswar"/>
    <s v="Office Supplies"/>
    <s v="Office Supplies"/>
    <s v="Binders"/>
    <s v="Eco Binders 178"/>
    <s v="First Class"/>
    <s v="First Class"/>
    <n v="4"/>
    <n v="4376.68"/>
    <n v="0.1"/>
    <n v="0.1"/>
    <s v="Valid"/>
    <n v="15756.05"/>
    <n v="10245.44"/>
    <n v="5510.61"/>
    <x v="0"/>
    <s v="Include"/>
    <s v=""/>
    <s v="Completed"/>
    <s v="Completed"/>
    <s v="Include"/>
  </r>
  <r>
    <s v="ORD-2024-10733"/>
    <n v="1"/>
    <s v=""/>
    <s v="2024-11-28"/>
    <d v="2024-11-28T00:00:00"/>
    <s v="06 Dec 2024"/>
    <d v="2024-12-06T00:00:00"/>
    <s v="Valid"/>
    <n v="8"/>
    <s v="Valid"/>
    <s v="CUST-4973"/>
    <s v="Arjun Bose"/>
    <s v="Arjun Bose"/>
    <s v="Small Business"/>
    <s v="Small Business"/>
    <x v="0"/>
    <s v="North"/>
    <s v="Punjab"/>
    <s v="Ludhiana"/>
    <s v="Technology"/>
    <s v="Technology"/>
    <s v="Phones"/>
    <s v="Max Phones 678"/>
    <s v="Standard Class"/>
    <s v="Standard Class"/>
    <n v="6"/>
    <n v="2464.63"/>
    <n v="0"/>
    <n v="0"/>
    <s v="Valid"/>
    <n v="14787.78"/>
    <n v="8596.65"/>
    <n v="6191.13"/>
    <x v="0"/>
    <s v="Include"/>
    <s v=""/>
    <s v="Completed"/>
    <s v="Completed"/>
    <s v="Include"/>
  </r>
  <r>
    <s v="ORD-2024-10734"/>
    <n v="1"/>
    <s v=""/>
    <s v="21-06-2024"/>
    <d v="2024-06-21T00:00:00"/>
    <s v="28 Jun 2024"/>
    <d v="2024-06-28T00:00:00"/>
    <s v="Valid"/>
    <n v="7"/>
    <s v="Valid"/>
    <s v="CUST-2394"/>
    <s v="Aarav Sharma"/>
    <s v="Aarav Sharma"/>
    <s v="Home Office"/>
    <s v="Home Office"/>
    <x v="0"/>
    <s v="North"/>
    <s v="Rajasthan"/>
    <s v="Jaipur"/>
    <s v="Furniture"/>
    <s v="Furniture"/>
    <s v="Furnishings"/>
    <s v="Classic Furnishings 582"/>
    <s v="First Class"/>
    <s v="First Class"/>
    <n v="9"/>
    <n v="2797.96"/>
    <n v="0"/>
    <n v="0"/>
    <s v="Valid"/>
    <n v="25181.64"/>
    <n v="15337.9"/>
    <n v="9843.74"/>
    <x v="0"/>
    <s v="Include"/>
    <s v=""/>
    <s v="Completed"/>
    <s v="Completed"/>
    <s v="Include"/>
  </r>
  <r>
    <s v="ORD-2024-10735"/>
    <n v="1"/>
    <s v=""/>
    <s v="24-08-2024"/>
    <d v="2024-08-24T00:00:00"/>
    <s v="24-08-2024"/>
    <d v="2024-08-24T00:00:00"/>
    <s v="Valid"/>
    <n v="0"/>
    <s v="Valid"/>
    <s v="CUST-5406"/>
    <s v="Ananya Rao"/>
    <s v="Ananya Rao"/>
    <s v="Small Business"/>
    <s v="Small Business"/>
    <x v="0"/>
    <s v="North"/>
    <s v="Rajasthan"/>
    <s v="Jaipur"/>
    <s v="Technology"/>
    <s v="Technology"/>
    <s v="Accessories"/>
    <s v="Classic Accessories 981"/>
    <s v="First Class"/>
    <s v="First Class"/>
    <n v="4"/>
    <n v="2761.86"/>
    <n v="0.2"/>
    <n v="0.2"/>
    <s v="Valid"/>
    <n v="8837.9500000000007"/>
    <n v="6157.27"/>
    <n v="2680.68"/>
    <x v="0"/>
    <s v="Include"/>
    <s v=""/>
    <s v="Completed"/>
    <s v="Completed"/>
    <s v="Include"/>
  </r>
  <r>
    <s v="ORD-2024-10736"/>
    <n v="1"/>
    <s v=""/>
    <s v="2024-08-11"/>
    <d v="2024-08-11T00:00:00"/>
    <s v="19-08-2024"/>
    <d v="2024-08-19T00:00:00"/>
    <s v="Valid"/>
    <n v="8"/>
    <s v="Valid"/>
    <s v="CUST-1963"/>
    <s v="Mira Das"/>
    <s v="Mira Das"/>
    <s v="Consumer"/>
    <s v="Consumer"/>
    <x v="3"/>
    <s v="West"/>
    <s v="Maharashtra"/>
    <s v="Mumbai"/>
    <s v="Furniture"/>
    <s v="Furniture"/>
    <s v="Tables"/>
    <s v="Classic Tables 534"/>
    <s v="Standard Class"/>
    <s v="Standard Class"/>
    <n v="6"/>
    <n v="1515.79"/>
    <n v="0.2"/>
    <n v="0.2"/>
    <s v="Valid"/>
    <n v="7275.79"/>
    <n v="6152.87"/>
    <n v="1122.92"/>
    <x v="0"/>
    <s v="Include"/>
    <s v=""/>
    <s v="Completed"/>
    <s v="Completed"/>
    <s v="Include"/>
  </r>
  <r>
    <s v="ORD-2024-10737"/>
    <n v="1"/>
    <s v=""/>
    <s v="06 Dec 2024"/>
    <d v="2024-12-06T00:00:00"/>
    <s v="09-12-2024"/>
    <d v="2024-12-09T00:00:00"/>
    <s v="Valid"/>
    <n v="3"/>
    <s v="Valid"/>
    <s v="CUST-9017"/>
    <s v="Aditi Sen"/>
    <s v="Aditi Sen"/>
    <s v="Consumer"/>
    <s v="Consumer"/>
    <x v="3"/>
    <s v="West"/>
    <s v="Maharashtra"/>
    <s v="Mumbai"/>
    <s v="Furniture"/>
    <s v="Furniture"/>
    <s v="Chairs"/>
    <s v="Pro Chairs 383"/>
    <s v="Second Class"/>
    <s v="Second Class"/>
    <n v="9"/>
    <n v="290.75"/>
    <n v="0.1"/>
    <n v="0.1"/>
    <s v="Valid"/>
    <n v="2355.08"/>
    <n v="1350.03"/>
    <n v="1005.05"/>
    <x v="0"/>
    <s v="Include"/>
    <s v=""/>
    <s v="Completed"/>
    <s v="Completed"/>
    <s v="Include"/>
  </r>
  <r>
    <s v="ORD-2024-10738"/>
    <n v="1"/>
    <s v=""/>
    <s v="2024-02-10"/>
    <d v="2024-02-10T00:00:00"/>
    <s v="10 Feb 2024"/>
    <d v="2024-02-10T00:00:00"/>
    <s v="Valid"/>
    <n v="0"/>
    <s v="Valid"/>
    <s v="CUST-7967"/>
    <s v="Isha Nair"/>
    <s v="Isha Nair"/>
    <s v="Home Office"/>
    <s v="Home Office"/>
    <x v="3"/>
    <s v="West"/>
    <s v="Maharashtra"/>
    <s v="Mumbai"/>
    <s v="Furniture"/>
    <s v="Furniture"/>
    <s v="Chairs"/>
    <s v="Max Chairs 845"/>
    <s v="Same Day"/>
    <s v="Same Day"/>
    <n v="6"/>
    <n v="601.52"/>
    <n v="0"/>
    <n v="0"/>
    <s v="Valid"/>
    <n v="3609.12"/>
    <n v="2645.5"/>
    <n v="963.62"/>
    <x v="0"/>
    <s v="Include"/>
    <s v=""/>
    <s v="Completed"/>
    <s v="Completed"/>
    <s v="Include"/>
  </r>
  <r>
    <s v="ORD-2025-10739"/>
    <n v="1"/>
    <s v=""/>
    <s v="20 Feb 2025"/>
    <d v="2025-02-20T00:00:00"/>
    <s v="02/22/2025"/>
    <d v="2025-02-22T00:00:00"/>
    <s v="Valid"/>
    <n v="2"/>
    <s v="Valid"/>
    <s v="CUST-5334"/>
    <s v="Priya Menon"/>
    <s v="Priya Menon"/>
    <s v="Corporate"/>
    <s v="Corporate"/>
    <x v="2"/>
    <s v="South"/>
    <s v="Kerala"/>
    <s v="Kochi"/>
    <s v="Office Supplies"/>
    <s v="Office Supplies"/>
    <s v="Paper"/>
    <s v="Prime Paper 307"/>
    <s v="First Class"/>
    <s v="First Class"/>
    <n v="1"/>
    <n v="2188.19"/>
    <n v="0"/>
    <n v="0"/>
    <s v="Valid"/>
    <n v="2188.19"/>
    <n v="1298.8399999999999"/>
    <n v="889.35"/>
    <x v="0"/>
    <s v="Include"/>
    <s v=""/>
    <s v="Completed"/>
    <s v="Completed"/>
    <s v="Include"/>
  </r>
  <r>
    <s v="ORD-2024-10740"/>
    <n v="1"/>
    <s v=""/>
    <s v="03 Dec 2024"/>
    <d v="2024-12-03T00:00:00"/>
    <s v="12/10/2024"/>
    <d v="2024-12-10T00:00:00"/>
    <s v="Valid"/>
    <n v="7"/>
    <s v="Valid"/>
    <s v="CUST-5846"/>
    <s v="Neha Gupta"/>
    <s v="Neha Gupta"/>
    <s v="Corporate"/>
    <s v="Corporate"/>
    <x v="0"/>
    <s v="North"/>
    <s v="Rajasthan"/>
    <s v="Jaipur"/>
    <s v="Technology"/>
    <s v="Technology"/>
    <s v="Phones"/>
    <s v="Basic Phones 859"/>
    <s v="Standard Class"/>
    <s v="Standard Class"/>
    <n v="5"/>
    <n v="2393.86"/>
    <n v="0.05"/>
    <n v="0.05"/>
    <s v="Valid"/>
    <n v="11370.84"/>
    <n v="7469.58"/>
    <n v="3901.26"/>
    <x v="0"/>
    <s v="Include"/>
    <s v=""/>
    <s v="Completed"/>
    <s v="Completed"/>
    <s v="Include"/>
  </r>
  <r>
    <s v="ORD-2024-10741"/>
    <n v="1"/>
    <s v=""/>
    <s v="02 Apr 2024"/>
    <d v="2024-04-02T00:00:00"/>
    <s v="04/02/2024"/>
    <d v="2024-04-02T00:00:00"/>
    <s v="Valid"/>
    <n v="0"/>
    <s v="Valid"/>
    <s v="CUST-7932"/>
    <s v="Sneha Kapoor"/>
    <s v="Sneha Kapoor"/>
    <s v="Small Business"/>
    <s v="Small Business"/>
    <x v="3"/>
    <s v="West"/>
    <s v="Maharashtra"/>
    <s v="Mumbai"/>
    <s v="Furniture"/>
    <s v="Furniture"/>
    <s v="Chairs"/>
    <s v="Eco Chairs 883"/>
    <s v="First Class"/>
    <s v="First Class"/>
    <n v="4"/>
    <n v="2583"/>
    <n v="0.1"/>
    <n v="0.1"/>
    <s v="Valid"/>
    <n v="9298.7999999999993"/>
    <n v="6548.5"/>
    <n v="2750.3"/>
    <x v="0"/>
    <s v="Include"/>
    <s v=""/>
    <s v="Completed"/>
    <s v="Completed"/>
    <s v="Include"/>
  </r>
  <r>
    <s v="ORD-2025-10742"/>
    <n v="1"/>
    <s v=""/>
    <s v="04/23/2025"/>
    <d v="2025-04-23T00:00:00"/>
    <s v="2025-04-25"/>
    <d v="2025-04-25T00:00:00"/>
    <s v="Valid"/>
    <n v="2"/>
    <s v="Valid"/>
    <s v="CUST-3285"/>
    <s v="Isha Nair"/>
    <s v="Isha Nair"/>
    <s v="Home Office"/>
    <s v="Home Office"/>
    <x v="2"/>
    <s v="South"/>
    <s v="Tamil Nadu"/>
    <s v="Chennai"/>
    <s v="Furniture"/>
    <s v="Furniture"/>
    <s v="Chairs"/>
    <s v="Max Chairs 706"/>
    <s v="Second Class"/>
    <s v="Second Class"/>
    <n v="3"/>
    <n v="2951.12"/>
    <m/>
    <n v="0"/>
    <s v="Valid"/>
    <n v="7082.69"/>
    <n v="5596.34"/>
    <n v="1486.35"/>
    <x v="0"/>
    <s v="Exclude"/>
    <s v=""/>
    <s v="Cancelled"/>
    <s v="Cancelled"/>
    <s v="Exclude"/>
  </r>
  <r>
    <s v="ORD-2024-10743"/>
    <n v="1"/>
    <s v=""/>
    <s v="10/15/2024"/>
    <d v="2024-10-15T00:00:00"/>
    <s v="22 Oct 2024"/>
    <d v="2024-10-22T00:00:00"/>
    <s v="Valid"/>
    <n v="7"/>
    <s v="Valid"/>
    <s v="CUST-6368"/>
    <s v="Karan Malhotra"/>
    <s v="Karan Malhotra"/>
    <s v="Corporate"/>
    <s v="Corporate"/>
    <x v="1"/>
    <s v="East"/>
    <s v="Odisha"/>
    <s v="Bhubaneswar"/>
    <s v="Office Supplies"/>
    <s v="Office Supplies"/>
    <s v="Paper"/>
    <s v="Prime Paper 768"/>
    <s v="Standard Class"/>
    <s v="Standard Class"/>
    <n v="4"/>
    <n v="2260.9499999999998"/>
    <n v="0"/>
    <n v="0"/>
    <s v="Valid"/>
    <n v="9043.7999999999993"/>
    <n v="5913.38"/>
    <n v="3130.42"/>
    <x v="0"/>
    <s v="Include"/>
    <s v=""/>
    <s v="Completed"/>
    <s v="Completed"/>
    <s v="Include"/>
  </r>
  <r>
    <s v="ORD-2025-10744"/>
    <n v="1"/>
    <s v=""/>
    <s v="02/12/2025"/>
    <d v="2025-02-12T00:00:00"/>
    <s v="14 Feb 2025"/>
    <d v="2025-02-14T00:00:00"/>
    <s v="Valid"/>
    <n v="2"/>
    <s v="Valid"/>
    <s v="CUST-6231"/>
    <s v="Sneha Kapoor"/>
    <s v="Sneha Kapoor"/>
    <s v="Consumer"/>
    <s v="Consumer"/>
    <x v="0"/>
    <s v="North"/>
    <s v="Uttar Pradesh"/>
    <s v="Noida"/>
    <s v="Office Supplies"/>
    <s v="Office Supplies"/>
    <s v="Art"/>
    <s v="Basic Art 764"/>
    <s v="Standard Class"/>
    <s v="Standard Class"/>
    <n v="6"/>
    <n v="491.4"/>
    <n v="0.25"/>
    <n v="0.25"/>
    <s v="Valid"/>
    <n v="2211.3000000000002"/>
    <n v="1735.64"/>
    <n v="475.66"/>
    <x v="0"/>
    <s v="Include"/>
    <s v=""/>
    <s v="Completed"/>
    <s v="Completed"/>
    <s v="Include"/>
  </r>
  <r>
    <s v="ORD-2025-10745"/>
    <n v="1"/>
    <s v=""/>
    <s v="2025-08-17"/>
    <d v="2025-08-17T00:00:00"/>
    <s v="2025-08-20"/>
    <d v="2025-08-20T00:00:00"/>
    <s v="Valid"/>
    <n v="3"/>
    <s v="Valid"/>
    <s v="CUST-2021"/>
    <s v="Mira Das"/>
    <s v="Mira Das"/>
    <s v="Home Office"/>
    <s v="Home Office"/>
    <x v="0"/>
    <s v="North"/>
    <s v="Punjab"/>
    <s v="Ludhiana"/>
    <s v="Office Supplies"/>
    <s v="Office Supplies"/>
    <s v="Binders"/>
    <s v="Prime Binders 181"/>
    <s v="First Class"/>
    <s v="First Class"/>
    <n v="5"/>
    <n v="2701.89"/>
    <n v="0.1"/>
    <n v="0.1"/>
    <s v="Valid"/>
    <n v="12158.5"/>
    <n v="10260.07"/>
    <n v="1898.43"/>
    <x v="0"/>
    <s v="Exclude"/>
    <s v=""/>
    <s v="Cancelled"/>
    <s v="Cancelled"/>
    <s v="Exclude"/>
  </r>
  <r>
    <s v="ORD-2024-10746"/>
    <n v="1"/>
    <s v=""/>
    <s v="24 Oct 2024"/>
    <d v="2024-10-24T00:00:00"/>
    <s v="28-10-2024"/>
    <d v="2024-10-28T00:00:00"/>
    <s v="Valid"/>
    <n v="4"/>
    <s v="Valid"/>
    <s v="CUST-1493"/>
    <s v="Mira Das"/>
    <s v="Mira Das"/>
    <s v="Small Business"/>
    <s v="Small Business"/>
    <x v="1"/>
    <s v="East"/>
    <s v="Assam"/>
    <s v="Guwahati"/>
    <s v="Technology"/>
    <s v="Technology"/>
    <s v="Copiers"/>
    <s v="Max Copiers 866"/>
    <s v="Standard Class"/>
    <s v="Standard Class"/>
    <n v="3"/>
    <n v="723.59"/>
    <n v="0.2"/>
    <n v="0.2"/>
    <s v="Valid"/>
    <n v="1736.62"/>
    <n v="1059.52"/>
    <n v="677.1"/>
    <x v="0"/>
    <s v="Include"/>
    <s v=""/>
    <s v="Completed"/>
    <s v="Completed"/>
    <s v="Include"/>
  </r>
  <r>
    <s v="ORD-2025-10747"/>
    <n v="1"/>
    <s v=""/>
    <s v="2025-01-04"/>
    <d v="2025-01-04T00:00:00"/>
    <s v="10-01-2025"/>
    <d v="2025-01-10T00:00:00"/>
    <s v="Valid"/>
    <n v="6"/>
    <s v="Valid"/>
    <s v="CUST-2314"/>
    <s v="Aarav Sharma"/>
    <s v="Aarav Sharma"/>
    <s v="Home Office"/>
    <s v="Home Office"/>
    <x v="1"/>
    <s v="East"/>
    <s v="West Bengal"/>
    <s v="Kolkata"/>
    <s v="Office Supplies"/>
    <s v="Office Supplies"/>
    <s v="Paper"/>
    <s v="Pro Paper 662"/>
    <s v="Standard Class"/>
    <s v="Standard Class"/>
    <n v="4"/>
    <n v="2583.19"/>
    <n v="0.2"/>
    <n v="0.2"/>
    <s v="Valid"/>
    <n v="8266.2099999999991"/>
    <n v="6236.32"/>
    <n v="2029.89"/>
    <x v="0"/>
    <s v="Include"/>
    <s v=""/>
    <s v="Completed"/>
    <s v="Completed"/>
    <s v="Include"/>
  </r>
  <r>
    <s v="ORD-2024-10748"/>
    <n v="1"/>
    <s v=""/>
    <s v="2024-05-01"/>
    <d v="2024-05-01T00:00:00"/>
    <s v="07 May 2024"/>
    <d v="2024-05-07T00:00:00"/>
    <s v="Valid"/>
    <n v="6"/>
    <s v="Valid"/>
    <s v="CUST-8416"/>
    <s v="Isha Nair"/>
    <s v="Isha Nair"/>
    <s v="Home Office"/>
    <s v="Home Office"/>
    <x v="1"/>
    <s v="East"/>
    <s v="Odisha"/>
    <s v="Bhubaneswar"/>
    <s v="Office Supplies"/>
    <s v="Office Supplies"/>
    <s v="Paper"/>
    <s v="Classic Paper 388"/>
    <s v="Same Day"/>
    <s v="Same Day"/>
    <n v="8"/>
    <n v="1473.83"/>
    <n v="0.15"/>
    <n v="0.15"/>
    <s v="Valid"/>
    <n v="10022.040000000001"/>
    <n v="5576.98"/>
    <n v="4445.0600000000004"/>
    <x v="0"/>
    <s v="Include"/>
    <s v=""/>
    <s v="Completed"/>
    <s v="Completed"/>
    <s v="Include"/>
  </r>
  <r>
    <s v="ORD-2024-10749"/>
    <n v="1"/>
    <s v=""/>
    <s v="30-05-2024"/>
    <d v="2024-05-30T00:00:00"/>
    <s v="05/30/2024"/>
    <d v="2024-05-30T00:00:00"/>
    <s v="Valid"/>
    <n v="0"/>
    <s v="Valid"/>
    <s v="CUST-3103"/>
    <s v="Diya Patel"/>
    <s v="Diya Patel"/>
    <s v="Home Office"/>
    <s v="Home Office"/>
    <x v="0"/>
    <s v="North"/>
    <s v="Haryana"/>
    <s v="Gurugram"/>
    <s v="Technology"/>
    <s v="Technology"/>
    <s v="Phones"/>
    <s v="Pro Phones 765"/>
    <s v="Second Class"/>
    <s v="Second Class"/>
    <n v="1"/>
    <n v="3848.04"/>
    <n v="0.25"/>
    <n v="0.25"/>
    <s v="Valid"/>
    <n v="2886.03"/>
    <n v="2064.83"/>
    <n v="821.2"/>
    <x v="0"/>
    <s v="Include"/>
    <s v=""/>
    <s v="Completed"/>
    <s v="Completed"/>
    <s v="Include"/>
  </r>
  <r>
    <s v="ORD-2024-10750"/>
    <n v="1"/>
    <s v=""/>
    <s v="21 Mar 2024"/>
    <d v="2024-03-21T00:00:00"/>
    <s v="2024-03-25"/>
    <d v="2024-03-25T00:00:00"/>
    <s v="Valid"/>
    <n v="4"/>
    <s v="Valid"/>
    <s v="CUST-4457"/>
    <s v="Aditi Sen"/>
    <s v="Aditi Sen"/>
    <s v="Home Office"/>
    <s v="Home Office"/>
    <x v="1"/>
    <s v="East"/>
    <s v="Assam"/>
    <s v="Guwahati"/>
    <s v="Technology"/>
    <s v="Technology"/>
    <s v="Machines"/>
    <s v="Classic Machines 543"/>
    <s v="Standard Class"/>
    <s v="Standard Class"/>
    <n v="1"/>
    <n v="1716.7"/>
    <n v="0.15"/>
    <n v="0.15"/>
    <s v="Valid"/>
    <n v="1459.19"/>
    <n v="1055.79"/>
    <n v="403.4"/>
    <x v="0"/>
    <s v="Include"/>
    <s v=""/>
    <s v="Completed"/>
    <s v="Completed"/>
    <s v="Include"/>
  </r>
  <r>
    <s v="ORD-2025-10751"/>
    <n v="1"/>
    <s v=""/>
    <s v="06/02/2025"/>
    <d v="2025-06-02T00:00:00"/>
    <s v="2025-06-02"/>
    <d v="2025-06-02T00:00:00"/>
    <s v="Valid"/>
    <n v="0"/>
    <s v="Valid"/>
    <s v="CUST-7036"/>
    <s v="Aarav Sharma"/>
    <s v="Aarav Sharma"/>
    <s v="Home Office"/>
    <s v="Home Office"/>
    <x v="2"/>
    <s v="South"/>
    <s v="Telangana"/>
    <s v="Hyderabad"/>
    <s v="Technology"/>
    <s v="Technology"/>
    <s v="Accessories"/>
    <s v="Max Accessories 291"/>
    <s v="First Class"/>
    <s v="First Class"/>
    <n v="8"/>
    <n v="3925.93"/>
    <n v="0.15"/>
    <n v="0.15"/>
    <s v="Valid"/>
    <n v="26696.32"/>
    <n v="22724.52"/>
    <n v="3971.8"/>
    <x v="0"/>
    <s v="Include"/>
    <s v=""/>
    <s v="Completed"/>
    <s v="Completed"/>
    <s v="Include"/>
  </r>
  <r>
    <s v="ORD-2025-10752"/>
    <n v="1"/>
    <s v=""/>
    <s v="18-07-2025"/>
    <d v="2025-07-18T00:00:00"/>
    <s v="19-07-2025"/>
    <d v="2025-07-19T00:00:00"/>
    <s v="Valid"/>
    <n v="1"/>
    <s v="Valid"/>
    <s v="CUST-8512"/>
    <s v="Priya Menon"/>
    <s v="Priya Menon"/>
    <s v="Home Office"/>
    <s v="Home Office"/>
    <x v="4"/>
    <s v="Unknown"/>
    <s v="Uttar Pradesh"/>
    <s v="Noida"/>
    <s v="Technology"/>
    <s v="Technology"/>
    <s v="Machines"/>
    <s v="Eco Machines 414"/>
    <m/>
    <s v="Unknown"/>
    <n v="3"/>
    <n v="2963.25"/>
    <n v="0.05"/>
    <n v="0.05"/>
    <s v="Valid"/>
    <n v="8445.26"/>
    <n v="6937.6"/>
    <n v="1507.66"/>
    <x v="0"/>
    <s v="Include"/>
    <s v=""/>
    <s v="Completed"/>
    <s v="Completed"/>
    <s v="Include"/>
  </r>
  <r>
    <s v="ORD-2024-10753"/>
    <n v="1"/>
    <s v=""/>
    <s v="24-03-2024"/>
    <d v="2024-03-24T00:00:00"/>
    <s v="27-03-2024"/>
    <d v="2024-03-27T00:00:00"/>
    <s v="Valid"/>
    <n v="3"/>
    <s v="Valid"/>
    <s v="CUST-6345"/>
    <s v="Aditi Sen"/>
    <s v="Aditi Sen"/>
    <s v="Corporate"/>
    <s v="Corporate"/>
    <x v="3"/>
    <s v="West"/>
    <s v="Gujarat"/>
    <s v="Ahmedabad"/>
    <s v="Office Supplies"/>
    <s v="Office Supplies"/>
    <s v="Storage"/>
    <s v="Basic Storage 273"/>
    <s v="First Class"/>
    <s v="First Class"/>
    <n v="5"/>
    <n v="2465.2199999999998"/>
    <n v="0.05"/>
    <n v="0.05"/>
    <s v="Valid"/>
    <n v="11709.79"/>
    <n v="8372.2900000000009"/>
    <n v="3337.5"/>
    <x v="0"/>
    <s v="Include"/>
    <s v=""/>
    <s v="Completed"/>
    <s v="Completed"/>
    <s v="Include"/>
  </r>
  <r>
    <s v="ORD-2024-10754"/>
    <n v="1"/>
    <s v=""/>
    <s v="11 Aug 2024"/>
    <d v="2024-08-11T00:00:00"/>
    <s v="10-08-2024"/>
    <d v="2024-08-10T00:00:00"/>
    <s v="Invalid Shipping Record"/>
    <n v="-1"/>
    <s v="Invalid Shipping Record"/>
    <s v="CUST-4505"/>
    <s v="Aditi Sen"/>
    <s v="Aditi Sen"/>
    <s v="Corporate"/>
    <s v="Corporate"/>
    <x v="0"/>
    <s v="North"/>
    <s v="Delhi"/>
    <s v="New Delhi"/>
    <s v="Furniture"/>
    <s v="Furniture"/>
    <s v="Furnishings"/>
    <s v="Elite Furnishings 588"/>
    <s v="Second Class"/>
    <s v="Second Class"/>
    <n v="3"/>
    <n v="1017.22"/>
    <n v="0.15"/>
    <n v="0.15"/>
    <s v="Valid"/>
    <n v="2593.91"/>
    <n v="1848.48"/>
    <n v="745.43"/>
    <x v="3"/>
    <s v="Exclude"/>
    <s v=""/>
    <s v="Returned"/>
    <s v="Returned"/>
    <s v="Include"/>
  </r>
  <r>
    <s v="ORD-2025-10755"/>
    <n v="1"/>
    <s v=""/>
    <s v="06/04/2025"/>
    <d v="2025-06-04T00:00:00"/>
    <s v="06/04/2025"/>
    <d v="2025-06-04T00:00:00"/>
    <s v="Valid"/>
    <n v="0"/>
    <s v="Valid"/>
    <s v="CUST-7960"/>
    <s v="Neha Gupta"/>
    <s v="Neha Gupta"/>
    <s v="Corporate"/>
    <s v="Corporate"/>
    <x v="2"/>
    <s v="South"/>
    <s v="Kerala"/>
    <s v="Kochi"/>
    <s v="Office Supplies"/>
    <s v="Office Supplies"/>
    <s v="Storage"/>
    <s v="Elite Storage 857"/>
    <s v="Standard Class"/>
    <s v="Standard Class"/>
    <n v="4"/>
    <n v="891.34"/>
    <n v="0.25"/>
    <n v="0.25"/>
    <s v="Valid"/>
    <n v="2674.02"/>
    <n v="2207.5700000000002"/>
    <n v="466.45"/>
    <x v="0"/>
    <s v="Include"/>
    <s v=""/>
    <s v="Completed"/>
    <s v="Completed"/>
    <s v="Include"/>
  </r>
  <r>
    <s v="ORD-2025-10756"/>
    <n v="1"/>
    <s v=""/>
    <s v="20-07-2025"/>
    <d v="2025-07-20T00:00:00"/>
    <s v="24-07-2025"/>
    <d v="2025-07-24T00:00:00"/>
    <s v="Valid"/>
    <n v="4"/>
    <s v="Valid"/>
    <s v="CUST-3365"/>
    <s v="Priya Menon"/>
    <s v="Priya Menon"/>
    <s v="Home Office"/>
    <s v="Home Office"/>
    <x v="3"/>
    <s v="West"/>
    <s v="Madhya Pradesh"/>
    <s v="Indore"/>
    <s v="Office Supplies"/>
    <s v="Office Supplies"/>
    <s v="Storage"/>
    <s v="Prime Storage 183"/>
    <s v="Second Class"/>
    <s v="Second Class"/>
    <n v="5"/>
    <n v="2481.7399999999998"/>
    <n v="0.2"/>
    <n v="0.2"/>
    <s v="Valid"/>
    <n v="9926.9599999999991"/>
    <n v="7994.98"/>
    <n v="1931.98"/>
    <x v="0"/>
    <s v="Include"/>
    <s v=""/>
    <s v="Completed"/>
    <s v="Completed"/>
    <s v="Include"/>
  </r>
  <r>
    <s v="ORD-2024-10757"/>
    <n v="1"/>
    <s v=""/>
    <s v="10/27/2024"/>
    <d v="2024-10-27T00:00:00"/>
    <s v="11/01/2024"/>
    <d v="2024-11-01T00:00:00"/>
    <s v="Valid"/>
    <n v="5"/>
    <s v="Valid"/>
    <s v="CUST-1557"/>
    <s v="Rohan Mehta"/>
    <s v="Rohan Mehta"/>
    <s v="Consumer"/>
    <s v="Consumer"/>
    <x v="0"/>
    <s v="North"/>
    <s v="Rajasthan"/>
    <s v="Jaipur"/>
    <s v="Technology"/>
    <s v="Technology"/>
    <s v="Accessories"/>
    <s v="Smart Accessories 362"/>
    <s v="Same Day"/>
    <s v="Same Day"/>
    <n v="7"/>
    <n v="2177.1"/>
    <n v="0.2"/>
    <n v="0.2"/>
    <s v="Valid"/>
    <n v="12191.76"/>
    <n v="10457.49"/>
    <n v="1734.27"/>
    <x v="0"/>
    <s v="Include"/>
    <s v=""/>
    <s v="Returned"/>
    <s v="Returned"/>
    <s v="Include"/>
  </r>
  <r>
    <s v="ORD-2025-10758"/>
    <n v="1"/>
    <s v=""/>
    <s v="01 Aug 2025"/>
    <d v="2025-08-01T00:00:00"/>
    <s v="2025-08-03"/>
    <d v="2025-08-03T00:00:00"/>
    <s v="Valid"/>
    <n v="2"/>
    <s v="Valid"/>
    <s v="CUST-3058"/>
    <s v="Aditi Sen"/>
    <s v="Aditi Sen"/>
    <s v="Small Business"/>
    <s v="Small Business"/>
    <x v="2"/>
    <s v="South"/>
    <s v="Kerala"/>
    <s v="Kochi"/>
    <s v="Furniture"/>
    <s v="Furniture"/>
    <s v="Bookcases"/>
    <s v="Classic Bookcases 310"/>
    <s v="Standard Class"/>
    <s v="Standard Class"/>
    <n v="3"/>
    <n v="1904.78"/>
    <n v="0.25"/>
    <n v="0.25"/>
    <s v="Valid"/>
    <n v="4285.76"/>
    <n v="2386.33"/>
    <n v="1899.43"/>
    <x v="3"/>
    <s v="Exclude"/>
    <s v=""/>
    <s v="Cancelled"/>
    <s v="Cancelled"/>
    <s v="Exclude"/>
  </r>
  <r>
    <s v="ORD-2024-10759"/>
    <n v="1"/>
    <s v=""/>
    <s v="02 May 2024"/>
    <d v="2024-05-02T00:00:00"/>
    <s v="10 May 2024"/>
    <d v="2024-05-10T00:00:00"/>
    <s v="Valid"/>
    <n v="8"/>
    <s v="Valid"/>
    <s v="CUST-6076"/>
    <s v="Aarav Sharma"/>
    <s v="Aarav Sharma"/>
    <s v="Small Business"/>
    <s v="Small Business"/>
    <x v="2"/>
    <s v="South"/>
    <s v="Karnataka"/>
    <s v="Bengaluru"/>
    <s v="Furniture"/>
    <s v="Furniture"/>
    <s v="Chairs"/>
    <s v="Prime Chairs 721"/>
    <s v="Standard Class"/>
    <s v="Standard Class"/>
    <n v="1"/>
    <n v="4166.91"/>
    <n v="0"/>
    <n v="0"/>
    <s v="Valid"/>
    <n v="4166.91"/>
    <n v="3412.63"/>
    <n v="754.28"/>
    <x v="0"/>
    <s v="Include"/>
    <s v=""/>
    <s v="Completed"/>
    <s v="Completed"/>
    <s v="Include"/>
  </r>
  <r>
    <s v="ORD-2024-10760"/>
    <n v="1"/>
    <s v=""/>
    <s v="2024-07-19"/>
    <d v="2024-07-19T00:00:00"/>
    <s v="26-07-2024"/>
    <d v="2024-07-26T00:00:00"/>
    <s v="Valid"/>
    <n v="7"/>
    <s v="Valid"/>
    <s v="CUST-2098"/>
    <s v="Arjun Bose"/>
    <s v="Arjun Bose"/>
    <s v="Home Office"/>
    <s v="Home Office"/>
    <x v="2"/>
    <s v="South"/>
    <s v="Karnataka"/>
    <s v="Bengaluru"/>
    <s v="Furniture"/>
    <s v="Furniture"/>
    <s v="Tables"/>
    <s v="Prime Tables 797"/>
    <s v="Second Class"/>
    <s v="Second Class"/>
    <n v="5"/>
    <n v="3986.01"/>
    <n v="0.25"/>
    <n v="0.25"/>
    <s v="Valid"/>
    <n v="14947.54"/>
    <n v="9438.4599999999991"/>
    <n v="5509.08"/>
    <x v="0"/>
    <s v="Include"/>
    <s v=""/>
    <s v="Completed"/>
    <s v="Completed"/>
    <s v="Include"/>
  </r>
  <r>
    <s v="ORD-2024-10761"/>
    <n v="1"/>
    <s v=""/>
    <s v="28-08-2024"/>
    <d v="2024-08-28T00:00:00"/>
    <s v="02 Sep 2024"/>
    <d v="2024-09-02T00:00:00"/>
    <s v="Valid"/>
    <n v="5"/>
    <s v="Valid"/>
    <s v="CUST-7193"/>
    <s v="Aditi Sen"/>
    <s v="Aditi Sen"/>
    <s v="Home Office"/>
    <s v="Home Office"/>
    <x v="1"/>
    <s v="East"/>
    <s v="Assam"/>
    <s v="Guwahati"/>
    <s v="Office Supplies"/>
    <s v="Office Supplies"/>
    <s v="Art"/>
    <s v="Max Art 926"/>
    <s v="Second Class"/>
    <s v="Second Class"/>
    <n v="4"/>
    <n v="3365.53"/>
    <n v="0"/>
    <n v="0"/>
    <s v="Valid"/>
    <n v="13462.12"/>
    <n v="7600.63"/>
    <n v="5861.49"/>
    <x v="2"/>
    <s v="Include"/>
    <s v=""/>
    <s v="Returned"/>
    <s v="Returned"/>
    <s v="Include"/>
  </r>
  <r>
    <s v="ORD-2025-10762"/>
    <n v="1"/>
    <s v=""/>
    <s v="27 Aug 2025"/>
    <d v="2025-08-27T00:00:00"/>
    <s v="08/31/2025"/>
    <d v="2025-08-31T00:00:00"/>
    <s v="Valid"/>
    <n v="4"/>
    <s v="Valid"/>
    <s v="CUST-8948"/>
    <s v="Isha Nair"/>
    <s v="Isha Nair"/>
    <s v="Consumer"/>
    <s v="Consumer"/>
    <x v="2"/>
    <s v="South"/>
    <s v="Karnataka"/>
    <s v="Bengaluru"/>
    <s v="Technology"/>
    <s v="Technology"/>
    <s v="Machines"/>
    <s v="Max Machines 364"/>
    <s v="First Class"/>
    <s v="First Class"/>
    <n v="3"/>
    <n v="2489.12"/>
    <n v="0"/>
    <n v="0"/>
    <s v="Valid"/>
    <n v="7467.36"/>
    <n v="5010.6099999999997"/>
    <n v="2456.75"/>
    <x v="0"/>
    <s v="Include"/>
    <s v=""/>
    <s v="Completed"/>
    <s v="Completed"/>
    <s v="Include"/>
  </r>
  <r>
    <s v="ORD-2024-10763"/>
    <n v="1"/>
    <s v=""/>
    <s v="01/01/2024"/>
    <d v="2024-01-01T00:00:00"/>
    <s v="05 Jan 2024"/>
    <d v="2024-01-05T00:00:00"/>
    <s v="Valid"/>
    <n v="4"/>
    <s v="Valid"/>
    <s v="CUST-6921"/>
    <s v="Diya Patel"/>
    <s v="Diya Patel"/>
    <s v="Corporate"/>
    <s v="Corporate"/>
    <x v="3"/>
    <s v="West"/>
    <s v="Madhya Pradesh"/>
    <s v="Indore"/>
    <s v="Technology"/>
    <s v="Technology"/>
    <s v="Machines"/>
    <s v="Classic Machines 122"/>
    <s v="Second Class"/>
    <s v="Second Class"/>
    <n v="2"/>
    <n v="3694.12"/>
    <n v="0.2"/>
    <n v="0.2"/>
    <s v="Valid"/>
    <n v="5910.59"/>
    <n v="4775.4399999999996"/>
    <n v="1135.1500000000001"/>
    <x v="1"/>
    <s v="Include"/>
    <s v="Refunded Order"/>
    <s v="Returned"/>
    <s v="Returned"/>
    <s v="Include"/>
  </r>
  <r>
    <s v="ORD-2025-10764"/>
    <n v="1"/>
    <s v=""/>
    <s v="23 Aug 2025"/>
    <d v="2025-08-23T00:00:00"/>
    <s v="2025-08-25"/>
    <d v="2025-08-25T00:00:00"/>
    <s v="Valid"/>
    <n v="2"/>
    <s v="Valid"/>
    <s v="CUST-4086"/>
    <s v="Diya Patel"/>
    <s v="Diya Patel"/>
    <s v="Consumer"/>
    <s v="Consumer"/>
    <x v="0"/>
    <s v="North"/>
    <s v="Rajasthan"/>
    <s v="Jaipur"/>
    <s v="Furniture"/>
    <s v="Furniture"/>
    <s v="Furnishings"/>
    <s v="Elite Furnishings 169"/>
    <s v="Same Day"/>
    <s v="Same Day"/>
    <n v="6"/>
    <n v="2742.48"/>
    <n v="0"/>
    <n v="0"/>
    <s v="Valid"/>
    <n v="16454.88"/>
    <n v="12081.54"/>
    <n v="4373.34"/>
    <x v="0"/>
    <s v="Include"/>
    <s v=""/>
    <s v="Completed"/>
    <s v="Completed"/>
    <s v="Include"/>
  </r>
  <r>
    <s v="ORD-2025-10765"/>
    <n v="1"/>
    <s v=""/>
    <s v="2025-04-13"/>
    <d v="2025-04-13T00:00:00"/>
    <s v="13-04-2025"/>
    <d v="2025-04-13T00:00:00"/>
    <s v="Valid"/>
    <n v="0"/>
    <s v="Valid"/>
    <s v="CUST-5174"/>
    <s v="Priya Menon"/>
    <s v="Priya Menon"/>
    <s v="Corporate"/>
    <s v="Corporate"/>
    <x v="2"/>
    <s v="South"/>
    <s v="Kerala"/>
    <s v="Kochi"/>
    <s v="Furniture"/>
    <s v="Furniture"/>
    <s v="Bookcases"/>
    <s v="Pro Bookcases 615"/>
    <s v="First Class"/>
    <s v="First Class"/>
    <n v="6"/>
    <n v="4414"/>
    <n v="0.05"/>
    <n v="0.05"/>
    <s v="Valid"/>
    <n v="25159.8"/>
    <n v="21606.83"/>
    <n v="3552.97"/>
    <x v="0"/>
    <s v="Include"/>
    <s v=""/>
    <s v="Completed"/>
    <s v="Completed"/>
    <s v="Include"/>
  </r>
  <r>
    <s v="ORD-2025-10766"/>
    <n v="1"/>
    <s v=""/>
    <s v="29-06-2025"/>
    <d v="2025-06-29T00:00:00"/>
    <s v="2025-07-03"/>
    <d v="2025-07-03T00:00:00"/>
    <s v="Valid"/>
    <n v="4"/>
    <s v="Valid"/>
    <s v="CUST-8747"/>
    <s v="Vikram Iyer"/>
    <s v="Vikram Iyer"/>
    <s v="Corporate"/>
    <s v="Corporate"/>
    <x v="1"/>
    <s v="East"/>
    <s v="Jharkhand"/>
    <s v="Ranchi"/>
    <s v="Office Supplies"/>
    <s v="Office Supplies"/>
    <s v="Labels"/>
    <s v="Max Labels 136"/>
    <s v="First Class"/>
    <s v="First Class"/>
    <n v="3"/>
    <n v="608.14"/>
    <n v="0"/>
    <n v="0"/>
    <s v="Valid"/>
    <n v="1824.42"/>
    <n v="1214.8699999999999"/>
    <n v="609.54999999999995"/>
    <x v="0"/>
    <s v="Include"/>
    <s v=""/>
    <s v="Completed"/>
    <s v="Completed"/>
    <s v="Include"/>
  </r>
  <r>
    <s v="ORD-2024-10767"/>
    <n v="1"/>
    <s v=""/>
    <s v="17 Sep 2024"/>
    <d v="2024-09-17T00:00:00"/>
    <s v="24 Sep 2024"/>
    <d v="2024-09-24T00:00:00"/>
    <s v="Valid"/>
    <n v="7"/>
    <s v="Valid"/>
    <s v="CUST-3156"/>
    <s v="Mira Das"/>
    <s v="Mira Das"/>
    <s v="Corporate"/>
    <s v="Corporate"/>
    <x v="3"/>
    <s v="West"/>
    <s v="Gujarat"/>
    <s v="Ahmedabad"/>
    <s v="Office Supplies"/>
    <s v="Office Supplies"/>
    <s v="Art"/>
    <s v="Prime Art 380"/>
    <s v="Second Class"/>
    <s v="Second Class"/>
    <n v="9"/>
    <n v="2307.96"/>
    <n v="0.2"/>
    <n v="0.2"/>
    <s v="Valid"/>
    <n v="16617.310000000001"/>
    <n v="9195.73"/>
    <n v="7421.58"/>
    <x v="0"/>
    <s v="Exclude"/>
    <s v=""/>
    <s v="Cancelled"/>
    <s v="Cancelled"/>
    <s v="Exclude"/>
  </r>
  <r>
    <s v="ORD-2024-10768"/>
    <n v="1"/>
    <s v=""/>
    <s v="03 May 2024"/>
    <d v="2024-05-03T00:00:00"/>
    <s v="05/06/2024"/>
    <d v="2024-05-06T00:00:00"/>
    <s v="Valid"/>
    <n v="3"/>
    <s v="Valid"/>
    <s v="CUST-2043"/>
    <s v="Ananya Rao"/>
    <s v="Ananya Rao"/>
    <s v="Home Office"/>
    <s v="Home Office"/>
    <x v="0"/>
    <s v="North"/>
    <s v="Uttar Pradesh"/>
    <s v="Noida"/>
    <s v="Office Supplies"/>
    <s v="Office Supplies"/>
    <s v="Binders"/>
    <s v="Classic Binders 234"/>
    <s v="Standard Class"/>
    <s v="Standard Class"/>
    <n v="1"/>
    <n v="1244.58"/>
    <n v="0.25"/>
    <n v="0.25"/>
    <s v="Valid"/>
    <n v="933.43"/>
    <n v="583.09"/>
    <n v="350.34"/>
    <x v="0"/>
    <s v="Include"/>
    <s v=""/>
    <s v="Completed"/>
    <s v="Completed"/>
    <s v="Include"/>
  </r>
  <r>
    <s v="ORD-2025-10769"/>
    <n v="1"/>
    <s v=""/>
    <s v="2025-04-02"/>
    <d v="2025-04-02T00:00:00"/>
    <s v="2025-04-04"/>
    <d v="2025-04-04T00:00:00"/>
    <s v="Valid"/>
    <n v="2"/>
    <s v="Valid"/>
    <s v="CUST-8808"/>
    <s v="Sneha Kapoor"/>
    <s v="Sneha Kapoor"/>
    <s v="Home Office"/>
    <s v="Home Office"/>
    <x v="1"/>
    <s v="East"/>
    <s v="Jharkhand"/>
    <s v="Ranchi"/>
    <s v="Office Supplies"/>
    <s v="Office Supplies"/>
    <s v="Paper"/>
    <s v="Classic Paper 280"/>
    <s v="Same Day"/>
    <s v="Same Day"/>
    <n v="5"/>
    <n v="3234.24"/>
    <n v="0.1"/>
    <n v="0.1"/>
    <s v="Valid"/>
    <n v="14554.08"/>
    <n v="11166.84"/>
    <n v="3387.24"/>
    <x v="0"/>
    <s v="Include"/>
    <s v=""/>
    <s v="Completed"/>
    <s v="Completed"/>
    <s v="Include"/>
  </r>
  <r>
    <s v="ORD-2024-10770"/>
    <n v="1"/>
    <s v=""/>
    <s v="05/11/2024"/>
    <d v="2024-05-11T00:00:00"/>
    <s v="13 May 2024"/>
    <d v="2024-05-13T00:00:00"/>
    <s v="Valid"/>
    <n v="2"/>
    <s v="Valid"/>
    <s v="CUST-1293"/>
    <s v="Priya Menon"/>
    <s v="Priya Menon"/>
    <s v="Home Office"/>
    <s v="Home Office"/>
    <x v="3"/>
    <s v="West"/>
    <s v="Goa"/>
    <s v="Panaji"/>
    <s v="Furniture"/>
    <s v="Furniture"/>
    <s v="Bookcases"/>
    <s v="Classic Bookcases 922"/>
    <s v="Same Day"/>
    <s v="Same Day"/>
    <n v="3"/>
    <n v="3612.75"/>
    <n v="0.25"/>
    <n v="0.25"/>
    <s v="Valid"/>
    <n v="8128.69"/>
    <n v="5071.66"/>
    <n v="3057.03"/>
    <x v="0"/>
    <s v="Include"/>
    <s v=""/>
    <s v="Completed"/>
    <s v="Completed"/>
    <s v="Include"/>
  </r>
  <r>
    <s v="ORD-2024-10771"/>
    <n v="1"/>
    <s v=""/>
    <s v="02/15/2024"/>
    <d v="2024-02-15T00:00:00"/>
    <s v="17-02-2024"/>
    <d v="2024-02-17T00:00:00"/>
    <s v="Valid"/>
    <n v="2"/>
    <s v="Valid"/>
    <s v="CUST-8384"/>
    <s v="Neha Gupta"/>
    <s v="Neha Gupta"/>
    <s v="Consumer"/>
    <s v="Consumer"/>
    <x v="0"/>
    <s v="North"/>
    <s v="Uttar Pradesh"/>
    <s v="Noida"/>
    <s v="Technology"/>
    <s v="Technology"/>
    <s v="Copiers"/>
    <s v="Eco Copiers 396"/>
    <s v="First Class"/>
    <s v="First Class"/>
    <n v="4"/>
    <n v="863"/>
    <m/>
    <n v="0"/>
    <s v="Valid"/>
    <n v="3106.8"/>
    <n v="2376.62"/>
    <n v="730.18"/>
    <x v="0"/>
    <s v="Include"/>
    <s v=""/>
    <s v="Completed"/>
    <s v="Completed"/>
    <s v="Include"/>
  </r>
  <r>
    <s v="ORD-2024-10772"/>
    <n v="1"/>
    <s v=""/>
    <s v="2024-07-12"/>
    <d v="2024-07-12T00:00:00"/>
    <s v="2024-07-14"/>
    <d v="2024-07-14T00:00:00"/>
    <s v="Valid"/>
    <n v="2"/>
    <s v="Valid"/>
    <s v="CUST-7861"/>
    <s v="Ananya Rao"/>
    <s v="Ananya Rao"/>
    <s v="Consumer"/>
    <s v="Consumer"/>
    <x v="0"/>
    <s v="North"/>
    <s v="Haryana"/>
    <s v="Gurugram"/>
    <s v="Technology"/>
    <s v="Technology"/>
    <s v="Machines"/>
    <s v="Basic Machines 401"/>
    <s v="Second Class"/>
    <s v="Second Class"/>
    <n v="4"/>
    <n v="2131.41"/>
    <m/>
    <n v="0"/>
    <s v="Valid"/>
    <n v="6394.23"/>
    <n v="3520.69"/>
    <n v="2873.54"/>
    <x v="0"/>
    <s v="Include"/>
    <s v=""/>
    <s v="Completed"/>
    <s v="Completed"/>
    <s v="Include"/>
  </r>
  <r>
    <s v="ORD-2025-10773"/>
    <n v="1"/>
    <s v=""/>
    <s v="07/15/2025"/>
    <d v="2025-07-15T00:00:00"/>
    <s v="19 Jul 2025"/>
    <d v="2025-07-19T00:00:00"/>
    <s v="Valid"/>
    <n v="4"/>
    <s v="Valid"/>
    <s v="CUST-8422"/>
    <s v="Diya Patel"/>
    <s v="Diya Patel"/>
    <s v="Consumer"/>
    <s v="Consumer"/>
    <x v="2"/>
    <s v="South"/>
    <s v="Tamil Nadu"/>
    <s v="Chennai"/>
    <s v="Furniture"/>
    <s v="Furniture"/>
    <s v="Chairs"/>
    <s v="Basic Chairs 279"/>
    <s v="Same Day"/>
    <s v="Same Day"/>
    <n v="1"/>
    <n v="3903.22"/>
    <n v="0.05"/>
    <n v="0.05"/>
    <s v="Valid"/>
    <n v="3708.06"/>
    <n v="2760.29"/>
    <n v="947.77"/>
    <x v="2"/>
    <s v="Exclude"/>
    <s v=""/>
    <s v="Cancelled"/>
    <s v="Cancelled"/>
    <s v="Exclude"/>
  </r>
  <r>
    <s v="ORD-2025-10774"/>
    <n v="1"/>
    <s v=""/>
    <s v="2025-02-21"/>
    <d v="2025-02-21T00:00:00"/>
    <s v="21 Feb 2025"/>
    <d v="2025-02-21T00:00:00"/>
    <s v="Valid"/>
    <n v="0"/>
    <s v="Valid"/>
    <s v="CUST-4766"/>
    <s v="Karan Malhotra"/>
    <s v="Karan Malhotra"/>
    <s v="Home Office"/>
    <s v="Home Office"/>
    <x v="3"/>
    <s v="West"/>
    <s v="Gujarat"/>
    <s v="Ahmedabad"/>
    <s v="Technology"/>
    <s v="Technology"/>
    <s v="Phones"/>
    <s v="Basic Phones 753"/>
    <m/>
    <s v="Unknown"/>
    <n v="4"/>
    <n v="2945.07"/>
    <n v="0.2"/>
    <n v="0.2"/>
    <s v="Valid"/>
    <n v="9424.2199999999993"/>
    <n v="6178.92"/>
    <n v="3245.3"/>
    <x v="0"/>
    <s v="Include"/>
    <s v=""/>
    <s v="Completed"/>
    <s v="Completed"/>
    <s v="Include"/>
  </r>
  <r>
    <s v="ORD-2025-10775"/>
    <n v="1"/>
    <s v=""/>
    <s v="07-08-2025"/>
    <d v="2025-08-07T00:00:00"/>
    <s v="2025-08-07"/>
    <d v="2025-08-07T00:00:00"/>
    <s v="Valid"/>
    <n v="0"/>
    <s v="Valid"/>
    <s v="CUST-1182"/>
    <s v="Kabir Singh"/>
    <s v="Kabir Singh"/>
    <s v="Consumer"/>
    <s v="Consumer"/>
    <x v="3"/>
    <s v="West"/>
    <s v="Rajasthan"/>
    <s v="Udaipur"/>
    <s v="Technology"/>
    <s v="Technology"/>
    <s v="Machines"/>
    <s v="Smart Machines 789"/>
    <m/>
    <s v="Unknown"/>
    <n v="9"/>
    <n v="1076.75"/>
    <n v="0.2"/>
    <n v="0.2"/>
    <s v="Valid"/>
    <n v="7752.6"/>
    <n v="4689.3"/>
    <n v="3063.3"/>
    <x v="0"/>
    <s v="Include"/>
    <s v=""/>
    <s v="Completed"/>
    <s v="Completed"/>
    <s v="Include"/>
  </r>
  <r>
    <s v="ORD-2024-10776"/>
    <n v="1"/>
    <s v=""/>
    <s v="14 Apr 2024"/>
    <d v="2024-04-14T00:00:00"/>
    <s v="22-04-2024"/>
    <d v="2024-04-22T00:00:00"/>
    <s v="Valid"/>
    <n v="8"/>
    <s v="Valid"/>
    <s v="CUST-4461"/>
    <s v="Arjun Bose"/>
    <s v="Arjun Bose"/>
    <s v="Consumer"/>
    <s v="Consumer"/>
    <x v="0"/>
    <s v="North"/>
    <s v="Haryana"/>
    <s v="Gurugram"/>
    <s v="Technology"/>
    <s v="Technology"/>
    <s v="Accessories"/>
    <s v="Elite Accessories 312"/>
    <s v="Standard Class"/>
    <s v="Standard Class"/>
    <n v="8"/>
    <n v="3956.12"/>
    <n v="0.25"/>
    <n v="0.25"/>
    <s v="Valid"/>
    <n v="23736.720000000001"/>
    <n v="13890.9"/>
    <n v="9845.82"/>
    <x v="0"/>
    <s v="Include"/>
    <s v=""/>
    <s v="Completed"/>
    <s v="Completed"/>
    <s v="Include"/>
  </r>
  <r>
    <s v="ORD-2025-10777"/>
    <n v="1"/>
    <s v=""/>
    <s v="08-06-2025"/>
    <d v="2025-06-08T00:00:00"/>
    <s v="06/13/2025"/>
    <d v="2025-06-13T00:00:00"/>
    <s v="Valid"/>
    <n v="5"/>
    <s v="Valid"/>
    <s v="CUST-9690"/>
    <s v="Aditi Sen"/>
    <s v="Aditi Sen"/>
    <s v="Small Business"/>
    <s v="Small Business"/>
    <x v="0"/>
    <s v="North"/>
    <s v="Rajasthan"/>
    <s v="Jaipur"/>
    <s v="Technology"/>
    <s v="Technology"/>
    <s v="Copiers"/>
    <s v="Eco Copiers 528"/>
    <s v="Second Class"/>
    <s v="Second Class"/>
    <n v="7"/>
    <n v="3857.13"/>
    <n v="0"/>
    <n v="0"/>
    <s v="Valid"/>
    <n v="26999.91"/>
    <n v="17815.98"/>
    <n v="9183.93"/>
    <x v="0"/>
    <s v="Include"/>
    <s v=""/>
    <s v="Completed"/>
    <s v="Completed"/>
    <s v="Include"/>
  </r>
  <r>
    <s v="ORD-2024-10778"/>
    <n v="1"/>
    <s v=""/>
    <s v="04-02-2024"/>
    <d v="2024-02-04T00:00:00"/>
    <s v="2024-02-06"/>
    <d v="2024-02-06T00:00:00"/>
    <s v="Valid"/>
    <n v="2"/>
    <s v="Valid"/>
    <s v="CUST-6879"/>
    <s v="Kabir Singh"/>
    <s v="Kabir Singh"/>
    <s v="Small Business"/>
    <s v="Small Business"/>
    <x v="3"/>
    <s v="West"/>
    <s v="Madhya Pradesh"/>
    <s v="Indore"/>
    <s v="Technology"/>
    <s v="Technology"/>
    <s v="Accessories"/>
    <s v="Elite Accessories 226"/>
    <s v="Second Class"/>
    <s v="Second Class"/>
    <n v="4"/>
    <n v="1489.74"/>
    <n v="0.15"/>
    <n v="0.15"/>
    <s v="Valid"/>
    <n v="5065.12"/>
    <n v="3530.12"/>
    <n v="1535"/>
    <x v="3"/>
    <s v="Exclude"/>
    <s v=""/>
    <s v="Cancelled"/>
    <s v="Cancelled"/>
    <s v="Exclude"/>
  </r>
  <r>
    <s v="ORD-2024-10779"/>
    <n v="1"/>
    <s v=""/>
    <s v="07/24/2024"/>
    <d v="2024-07-24T00:00:00"/>
    <s v="24-07-2024"/>
    <d v="2024-07-24T00:00:00"/>
    <s v="Valid"/>
    <n v="0"/>
    <s v="Valid"/>
    <s v="CUST-4714"/>
    <s v="Karan Malhotra"/>
    <s v="Karan Malhotra"/>
    <s v="Small Business"/>
    <s v="Small Business"/>
    <x v="0"/>
    <s v="North"/>
    <s v="Haryana"/>
    <s v="Gurugram"/>
    <s v="Technology"/>
    <s v="Technology"/>
    <s v="Copiers"/>
    <s v="Pro Copiers 298"/>
    <s v="Second Class"/>
    <s v="Second Class"/>
    <n v="4"/>
    <n v="1676.88"/>
    <n v="0"/>
    <n v="0"/>
    <s v="Valid"/>
    <n v="6707.52"/>
    <n v="5672.57"/>
    <n v="1034.95"/>
    <x v="0"/>
    <s v="Include"/>
    <s v=""/>
    <s v="Completed"/>
    <s v="Completed"/>
    <s v="Include"/>
  </r>
  <r>
    <s v="ORD-2024-10780"/>
    <n v="1"/>
    <s v=""/>
    <s v="01/15/2024"/>
    <d v="2024-01-15T00:00:00"/>
    <s v="20-01-2024"/>
    <d v="2024-01-20T00:00:00"/>
    <s v="Valid"/>
    <n v="5"/>
    <s v="Valid"/>
    <s v="CUST-7547"/>
    <s v="Priya Menon"/>
    <s v="Priya Menon"/>
    <s v="Small Business"/>
    <s v="Small Business"/>
    <x v="2"/>
    <s v="South"/>
    <s v="Andhra Pradesh"/>
    <s v="Vijayawada"/>
    <s v="Furniture"/>
    <s v="Furniture"/>
    <s v="Chairs"/>
    <s v="Prime Chairs 331"/>
    <s v="Standard Class"/>
    <s v="Standard Class"/>
    <n v="4"/>
    <n v="3153.54"/>
    <n v="0.05"/>
    <n v="0.05"/>
    <s v="Valid"/>
    <n v="11983.45"/>
    <n v="8572.9"/>
    <n v="3410.55"/>
    <x v="0"/>
    <s v="Include"/>
    <s v=""/>
    <s v="Completed"/>
    <s v="Completed"/>
    <s v="Include"/>
  </r>
  <r>
    <s v="ORD-2024-10781"/>
    <n v="1"/>
    <s v=""/>
    <s v="04 Aug 2024"/>
    <d v="2024-08-04T00:00:00"/>
    <s v="08/10/2024"/>
    <d v="2024-08-10T00:00:00"/>
    <s v="Valid"/>
    <n v="6"/>
    <s v="Valid"/>
    <s v="CUST-3288"/>
    <s v="Diya Patel"/>
    <s v="Diya Patel"/>
    <s v="Small Business"/>
    <s v="Small Business"/>
    <x v="3"/>
    <s v="West"/>
    <s v="Rajasthan"/>
    <s v="Udaipur"/>
    <s v="Furniture"/>
    <s v="Furniture"/>
    <s v="Chairs"/>
    <s v="Classic Chairs 798"/>
    <s v="Same Day"/>
    <s v="Same Day"/>
    <n v="4"/>
    <n v="426.43"/>
    <n v="0.2"/>
    <n v="0.2"/>
    <s v="Valid"/>
    <n v="1364.58"/>
    <n v="978.16"/>
    <n v="386.42"/>
    <x v="0"/>
    <s v="Include"/>
    <s v=""/>
    <s v="Completed"/>
    <s v="Completed"/>
    <s v="Include"/>
  </r>
  <r>
    <s v="ORD-2024-10782"/>
    <n v="1"/>
    <s v=""/>
    <s v="2024-02-02"/>
    <d v="2024-02-02T00:00:00"/>
    <s v="10 Feb 2024"/>
    <d v="2024-02-10T00:00:00"/>
    <s v="Valid"/>
    <n v="8"/>
    <s v="Valid"/>
    <s v="CUST-8597"/>
    <s v="Karan Malhotra"/>
    <s v="Karan Malhotra"/>
    <s v="Home Office"/>
    <s v="Home Office"/>
    <x v="3"/>
    <s v="West"/>
    <s v="Rajasthan"/>
    <s v="Udaipur"/>
    <s v="Office Supplies"/>
    <s v="Office Supplies"/>
    <s v="Labels"/>
    <s v="Classic Labels 204"/>
    <s v="First Class"/>
    <s v="First Class"/>
    <n v="3"/>
    <n v="383.4"/>
    <n v="0.25"/>
    <n v="0.25"/>
    <s v="Valid"/>
    <n v="862.65"/>
    <n v="603.73"/>
    <n v="258.92"/>
    <x v="2"/>
    <s v="Include"/>
    <s v=""/>
    <s v="Returned"/>
    <s v="Returned"/>
    <s v="Include"/>
  </r>
  <r>
    <s v="ORD-2025-10783"/>
    <n v="1"/>
    <s v=""/>
    <s v="2025-03-14"/>
    <d v="2025-03-14T00:00:00"/>
    <s v="03/22/2025"/>
    <d v="2025-03-22T00:00:00"/>
    <s v="Valid"/>
    <n v="8"/>
    <s v="Valid"/>
    <s v="CUST-9085"/>
    <s v="Mira Das"/>
    <s v="Mira Das"/>
    <s v="Corporate"/>
    <s v="Corporate"/>
    <x v="1"/>
    <s v="East"/>
    <s v="West Bengal"/>
    <s v="Kolkata"/>
    <s v="Technology"/>
    <s v="Technology"/>
    <s v="Copiers"/>
    <s v="Basic Copiers 254"/>
    <s v="Standard Class"/>
    <s v="Standard Class"/>
    <n v="2"/>
    <n v="669.63"/>
    <n v="0.15"/>
    <n v="0.15"/>
    <s v="Valid"/>
    <n v="1138.3699999999999"/>
    <n v="797.34"/>
    <n v="341.03"/>
    <x v="0"/>
    <s v="Include"/>
    <s v=""/>
    <s v="Completed"/>
    <s v="Completed"/>
    <s v="Include"/>
  </r>
  <r>
    <s v="ORD-2024-10784"/>
    <n v="1"/>
    <s v=""/>
    <s v="07 Jun 2024"/>
    <d v="2024-06-07T00:00:00"/>
    <s v="2024-06-07"/>
    <d v="2024-06-07T00:00:00"/>
    <s v="Valid"/>
    <n v="0"/>
    <s v="Valid"/>
    <s v="CUST-7746"/>
    <s v="Aarav Sharma"/>
    <s v="Aarav Sharma"/>
    <s v="Small Business"/>
    <s v="Small Business"/>
    <x v="1"/>
    <s v="East"/>
    <s v="Bihar"/>
    <s v="Patna"/>
    <s v="Office Supplies"/>
    <s v="Office Supplies"/>
    <s v="Art"/>
    <s v="Basic Art 709"/>
    <s v="Second Class"/>
    <s v="Second Class"/>
    <n v="1"/>
    <n v="2581.9299999999998"/>
    <n v="0.05"/>
    <n v="0.05"/>
    <s v="Valid"/>
    <n v="2452.83"/>
    <n v="1906.7"/>
    <n v="546.13"/>
    <x v="0"/>
    <s v="Include"/>
    <s v=""/>
    <s v="Completed"/>
    <s v="Completed"/>
    <s v="Include"/>
  </r>
  <r>
    <s v="ORD-2025-10785"/>
    <n v="1"/>
    <s v=""/>
    <s v="10/04/2025"/>
    <d v="2025-10-04T00:00:00"/>
    <s v="2025-10-05"/>
    <d v="2025-10-05T00:00:00"/>
    <s v="Valid"/>
    <n v="1"/>
    <s v="Valid"/>
    <s v="CUST-3119"/>
    <s v="Priya Menon"/>
    <s v="Priya Menon"/>
    <s v="Corporate"/>
    <s v="Corporate"/>
    <x v="0"/>
    <s v="North"/>
    <s v="Punjab"/>
    <s v="Ludhiana"/>
    <s v="Technology"/>
    <s v="Technology"/>
    <s v="Copiers"/>
    <s v="Max Copiers 551"/>
    <s v="First Class"/>
    <s v="First Class"/>
    <n v="4"/>
    <n v="418.18"/>
    <n v="0.05"/>
    <n v="0.05"/>
    <s v="Valid"/>
    <n v="1589.08"/>
    <n v="1084.6600000000001"/>
    <n v="504.42"/>
    <x v="0"/>
    <s v="Include"/>
    <s v=""/>
    <s v="Completed"/>
    <s v="Completed"/>
    <s v="Include"/>
  </r>
  <r>
    <s v="ORD-2024-10786"/>
    <n v="1"/>
    <s v=""/>
    <s v="23-05-2024"/>
    <d v="2024-05-23T00:00:00"/>
    <s v="29-05-2024"/>
    <d v="2024-05-29T00:00:00"/>
    <s v="Valid"/>
    <n v="6"/>
    <s v="Valid"/>
    <s v="CUST-7518"/>
    <s v="Diya Patel"/>
    <s v="Diya Patel"/>
    <s v="Small Business"/>
    <s v="Small Business"/>
    <x v="0"/>
    <s v="North"/>
    <s v="Haryana"/>
    <s v="Gurugram"/>
    <s v="Office Supplies"/>
    <s v="Office Supplies"/>
    <s v="Storage"/>
    <s v="Eco Storage 183"/>
    <s v="Same Day"/>
    <s v="Same Day"/>
    <n v="2"/>
    <n v="3012.94"/>
    <n v="0.25"/>
    <n v="0.25"/>
    <s v="Valid"/>
    <n v="4519.41"/>
    <n v="3504.16"/>
    <n v="1275.55"/>
    <x v="3"/>
    <s v="Exclude"/>
    <s v=""/>
    <s v="Cancelled"/>
    <s v="Cancelled"/>
    <s v="Exclude"/>
  </r>
  <r>
    <s v="ORD-2025-10787"/>
    <n v="1"/>
    <s v=""/>
    <s v="07/06/2025"/>
    <d v="2025-07-06T00:00:00"/>
    <s v="08 Jul 2025"/>
    <d v="2025-07-08T00:00:00"/>
    <s v="Valid"/>
    <n v="2"/>
    <s v="Valid"/>
    <s v="CUST-1343"/>
    <s v="Ananya Rao"/>
    <s v="Ananya Rao"/>
    <s v="Corporate"/>
    <s v="Corporate"/>
    <x v="0"/>
    <s v="North"/>
    <s v="Rajasthan"/>
    <s v="Jaipur"/>
    <s v="Furniture"/>
    <s v="Furniture"/>
    <s v="Furnishings"/>
    <s v="Pro Furnishings 233"/>
    <m/>
    <s v="Unknown"/>
    <n v="4"/>
    <n v="715.45"/>
    <n v="0.05"/>
    <n v="0.05"/>
    <s v="Valid"/>
    <n v="2718.71"/>
    <n v="2065.0500000000002"/>
    <n v="653.66"/>
    <x v="1"/>
    <s v="Include"/>
    <s v="Refunded Order"/>
    <s v="Returned"/>
    <s v="Returned"/>
    <s v="Include"/>
  </r>
  <r>
    <s v="ORD-2024-10788"/>
    <n v="1"/>
    <s v=""/>
    <s v="2024-09-12"/>
    <d v="2024-09-12T00:00:00"/>
    <s v="2024-09-18"/>
    <d v="2024-09-18T00:00:00"/>
    <s v="Valid"/>
    <n v="6"/>
    <s v="Valid"/>
    <s v="CUST-7548"/>
    <s v="Ananya Rao"/>
    <s v="Ananya Rao"/>
    <s v="Home Office"/>
    <s v="Home Office"/>
    <x v="1"/>
    <s v="East"/>
    <s v="Bihar"/>
    <s v="Patna"/>
    <s v="Office Supplies"/>
    <s v="Office Supplies"/>
    <s v="Paper"/>
    <s v="Prime Paper 878"/>
    <s v="Second Class"/>
    <s v="Second Class"/>
    <n v="2"/>
    <n v="3718.77"/>
    <n v="0.05"/>
    <n v="0.05"/>
    <s v="Valid"/>
    <n v="7065.66"/>
    <n v="4915.2700000000004"/>
    <n v="2150.39"/>
    <x v="0"/>
    <s v="Include"/>
    <s v=""/>
    <s v="Completed"/>
    <s v="Completed"/>
    <s v="Include"/>
  </r>
  <r>
    <s v="ORD-2024-10789"/>
    <n v="1"/>
    <s v=""/>
    <s v="01 Aug 2024"/>
    <d v="2024-08-01T00:00:00"/>
    <s v="02-08-2024"/>
    <d v="2024-08-02T00:00:00"/>
    <s v="Valid"/>
    <n v="1"/>
    <s v="Valid"/>
    <s v="CUST-3631"/>
    <s v="Isha Nair"/>
    <s v="Isha Nair"/>
    <s v="Corporate"/>
    <s v="Corporate"/>
    <x v="0"/>
    <s v="North"/>
    <s v="Uttar Pradesh"/>
    <s v="Noida"/>
    <s v="Furniture"/>
    <s v="Furniture"/>
    <s v="Chairs"/>
    <s v="Smart Chairs 353"/>
    <s v="Standard Class"/>
    <s v="Standard Class"/>
    <n v="8"/>
    <n v="2487.64"/>
    <n v="0.1"/>
    <n v="0.1"/>
    <s v="Valid"/>
    <n v="17911.009999999998"/>
    <n v="11546.05"/>
    <n v="6364.96"/>
    <x v="3"/>
    <s v="Exclude"/>
    <s v=""/>
    <s v="Returned"/>
    <s v="Returned"/>
    <s v="Include"/>
  </r>
  <r>
    <s v="ORD-2025-10790"/>
    <n v="1"/>
    <s v=""/>
    <s v="07 Mar 2025"/>
    <d v="2025-03-07T00:00:00"/>
    <s v="08 Mar 2025"/>
    <d v="2025-03-08T00:00:00"/>
    <s v="Valid"/>
    <n v="1"/>
    <s v="Valid"/>
    <s v="CUST-1453"/>
    <s v="Priya Menon"/>
    <s v="Priya Menon"/>
    <s v="Home Office"/>
    <s v="Home Office"/>
    <x v="4"/>
    <s v="Unknown"/>
    <s v="Rajasthan"/>
    <s v="Udaipur"/>
    <s v="Technology"/>
    <s v="Technology"/>
    <s v="Copiers"/>
    <s v="Smart Copiers 408"/>
    <s v="Same Day"/>
    <s v="Same Day"/>
    <n v="4"/>
    <n v="3537.48"/>
    <n v="0"/>
    <n v="0"/>
    <s v="Valid"/>
    <n v="14149.92"/>
    <n v="9466.51"/>
    <n v="4683.41"/>
    <x v="0"/>
    <s v="Include"/>
    <s v=""/>
    <s v="Completed"/>
    <s v="Completed"/>
    <s v="Include"/>
  </r>
  <r>
    <s v="ORD-2024-10791"/>
    <n v="1"/>
    <s v=""/>
    <s v="31 May 2024"/>
    <d v="2024-05-31T00:00:00"/>
    <s v="2024-06-02"/>
    <d v="2024-06-02T00:00:00"/>
    <s v="Valid"/>
    <n v="2"/>
    <s v="Valid"/>
    <s v="CUST-1951"/>
    <s v="Rahul Verma"/>
    <s v="Rahul Verma"/>
    <s v="Corporate"/>
    <s v="Corporate"/>
    <x v="2"/>
    <s v="South"/>
    <s v="Andhra Pradesh"/>
    <s v="Vijayawada"/>
    <s v="Office Supplies"/>
    <s v="Office Supplies"/>
    <s v="Art"/>
    <s v="Classic Art 781"/>
    <s v="Standard Class"/>
    <s v="Standard Class"/>
    <n v="8"/>
    <n v="667.59"/>
    <n v="0.2"/>
    <n v="0.2"/>
    <s v="Valid"/>
    <n v="4272.58"/>
    <n v="3328.92"/>
    <n v="943.66"/>
    <x v="0"/>
    <s v="Include"/>
    <s v=""/>
    <s v="Completed"/>
    <s v="Completed"/>
    <s v="Include"/>
  </r>
  <r>
    <s v="ORD-2024-10792"/>
    <n v="1"/>
    <s v=""/>
    <s v="02 Oct 2024"/>
    <d v="2024-10-02T00:00:00"/>
    <s v="2024-10-06"/>
    <d v="2024-10-06T00:00:00"/>
    <s v="Valid"/>
    <n v="4"/>
    <s v="Valid"/>
    <s v="CUST-6300"/>
    <s v="Rahul Verma"/>
    <s v="Rahul Verma"/>
    <s v="Home Office"/>
    <s v="Home Office"/>
    <x v="2"/>
    <s v="South"/>
    <s v="Karnataka"/>
    <s v="Bengaluru"/>
    <s v="Furniture"/>
    <s v="Furniture"/>
    <s v="Bookcases"/>
    <s v="Eco Bookcases 144"/>
    <s v="Same Day"/>
    <s v="Same Day"/>
    <n v="8"/>
    <n v="1558.77"/>
    <n v="0.25"/>
    <n v="0.25"/>
    <s v="Valid"/>
    <n v="9352.6200000000008"/>
    <n v="5269.41"/>
    <n v="4083.21"/>
    <x v="0"/>
    <s v="Include"/>
    <s v=""/>
    <s v="Completed"/>
    <s v="Completed"/>
    <s v="Include"/>
  </r>
  <r>
    <s v="ORD-2025-10793"/>
    <n v="1"/>
    <s v=""/>
    <s v="2025-06-04"/>
    <d v="2025-06-04T00:00:00"/>
    <s v="08 Jun 2025"/>
    <d v="2025-06-08T00:00:00"/>
    <s v="Valid"/>
    <n v="4"/>
    <s v="Valid"/>
    <s v="CUST-1417"/>
    <s v="Arjun Bose"/>
    <s v="Arjun Bose"/>
    <s v="Small Business"/>
    <s v="Small Business"/>
    <x v="1"/>
    <s v="East"/>
    <s v="Assam"/>
    <s v="Guwahati"/>
    <s v="Furniture"/>
    <s v="Furniture"/>
    <s v="Furnishings"/>
    <s v="Elite Furnishings 852"/>
    <s v="Second Class"/>
    <s v="Second Class"/>
    <n v="1"/>
    <n v="3501.12"/>
    <n v="0.2"/>
    <n v="0.2"/>
    <s v="Valid"/>
    <n v="2800.9"/>
    <n v="1735.98"/>
    <n v="1064.92"/>
    <x v="0"/>
    <s v="Include"/>
    <s v=""/>
    <s v="Returned"/>
    <s v="Returned"/>
    <s v="Include"/>
  </r>
  <r>
    <s v="ORD-2024-10794"/>
    <n v="1"/>
    <s v=""/>
    <s v="28-05-2024"/>
    <d v="2024-05-28T00:00:00"/>
    <s v="03 Jun 2024"/>
    <d v="2024-06-03T00:00:00"/>
    <s v="Valid"/>
    <n v="6"/>
    <s v="Valid"/>
    <s v="CUST-5421"/>
    <s v="Vikram Iyer"/>
    <s v="Vikram Iyer"/>
    <s v="Corporate"/>
    <s v="Corporate"/>
    <x v="0"/>
    <s v="North"/>
    <s v="Rajasthan"/>
    <s v="Jaipur"/>
    <s v="Technology"/>
    <s v="Technology"/>
    <s v="Copiers"/>
    <s v="Basic Copiers 238"/>
    <s v="Second Class"/>
    <s v="Second Class"/>
    <n v="5"/>
    <n v="4302.32"/>
    <n v="0"/>
    <n v="0"/>
    <s v="Valid"/>
    <n v="21511.599999999999"/>
    <n v="15408.47"/>
    <n v="6103.13"/>
    <x v="0"/>
    <s v="Include"/>
    <s v=""/>
    <s v="Completed"/>
    <s v="Completed"/>
    <s v="Include"/>
  </r>
  <r>
    <s v="ORD-2025-10795"/>
    <n v="1"/>
    <s v=""/>
    <s v="2025-06-22"/>
    <d v="2025-06-22T00:00:00"/>
    <s v="2025-06-24"/>
    <d v="2025-06-24T00:00:00"/>
    <s v="Valid"/>
    <n v="2"/>
    <s v="Valid"/>
    <s v="CUST-2829"/>
    <s v="Sneha Kapoor"/>
    <s v="Sneha Kapoor"/>
    <s v="Corporate"/>
    <s v="Corporate"/>
    <x v="1"/>
    <s v="East"/>
    <s v="Assam"/>
    <s v="Guwahati"/>
    <s v="Office Supplies"/>
    <s v="Office Supplies"/>
    <s v="Paper"/>
    <s v="Elite Paper 847"/>
    <s v="Standard Class"/>
    <s v="Standard Class"/>
    <n v="9"/>
    <n v="951.55"/>
    <n v="0.15"/>
    <n v="0.15"/>
    <s v="Valid"/>
    <n v="7279.36"/>
    <n v="4870.3900000000003"/>
    <n v="2408.9699999999998"/>
    <x v="0"/>
    <s v="Include"/>
    <s v=""/>
    <s v="Completed"/>
    <s v="Completed"/>
    <s v="Include"/>
  </r>
  <r>
    <s v="ORD-2024-10796"/>
    <n v="1"/>
    <s v=""/>
    <s v="30-07-2024"/>
    <d v="2024-07-30T00:00:00"/>
    <s v="2024-07-30"/>
    <d v="2024-07-30T00:00:00"/>
    <s v="Valid"/>
    <n v="0"/>
    <s v="Valid"/>
    <s v="CUST-6529"/>
    <s v="Diya Patel"/>
    <s v="Diya Patel"/>
    <s v="Home Office"/>
    <s v="Home Office"/>
    <x v="1"/>
    <s v="East"/>
    <s v="Odisha"/>
    <s v="Bhubaneswar"/>
    <s v="Technology"/>
    <s v="Technology"/>
    <s v="Copiers"/>
    <s v="Pro Copiers 653"/>
    <s v="Same Day"/>
    <s v="Same Day"/>
    <n v="9"/>
    <n v="2894.66"/>
    <n v="0"/>
    <n v="0"/>
    <s v="Valid"/>
    <n v="26051.94"/>
    <n v="16883.59"/>
    <n v="9168.35"/>
    <x v="1"/>
    <s v="Exclude"/>
    <s v="Refunded Order"/>
    <s v="Cancelled"/>
    <s v="Cancelled"/>
    <s v="Exclude"/>
  </r>
  <r>
    <s v="ORD-2024-10797"/>
    <n v="1"/>
    <s v=""/>
    <s v="03/23/2024"/>
    <d v="2024-03-23T00:00:00"/>
    <s v="30-03-2024"/>
    <d v="2024-03-30T00:00:00"/>
    <s v="Valid"/>
    <n v="7"/>
    <s v="Valid"/>
    <s v="CUST-3126"/>
    <s v="Rohan Mehta"/>
    <s v="Rohan Mehta"/>
    <s v="Small Business"/>
    <s v="Small Business"/>
    <x v="2"/>
    <s v="South"/>
    <s v="Andhra Pradesh"/>
    <s v="Vijayawada"/>
    <s v="Technology"/>
    <s v="Technology"/>
    <s v="Machines"/>
    <s v="Elite Machines 459"/>
    <s v="First Class"/>
    <s v="First Class"/>
    <n v="6"/>
    <n v="1894.44"/>
    <n v="0.15"/>
    <n v="0.15"/>
    <s v="Valid"/>
    <n v="9661.64"/>
    <n v="6303.77"/>
    <n v="3357.87"/>
    <x v="0"/>
    <s v="Include"/>
    <s v=""/>
    <s v="Completed"/>
    <s v="Completed"/>
    <s v="Include"/>
  </r>
  <r>
    <s v="ORD-2024-10798"/>
    <n v="1"/>
    <s v=""/>
    <s v="18 Apr 2024"/>
    <d v="2024-04-18T00:00:00"/>
    <s v="22-04-2024"/>
    <d v="2024-04-22T00:00:00"/>
    <s v="Valid"/>
    <n v="4"/>
    <s v="Valid"/>
    <s v="CUST-3991"/>
    <s v="Aarav Sharma"/>
    <s v="Aarav Sharma"/>
    <s v="Consumer"/>
    <s v="Consumer"/>
    <x v="1"/>
    <s v="East"/>
    <s v="Odisha"/>
    <s v="Bhubaneswar"/>
    <s v="Office Supplies"/>
    <s v="Office Supplies"/>
    <s v="Binders"/>
    <s v="Elite Binders 764"/>
    <s v="First Class"/>
    <s v="First Class"/>
    <n v="8"/>
    <n v="1714.37"/>
    <n v="0"/>
    <n v="0"/>
    <s v="Valid"/>
    <n v="13714.96"/>
    <n v="10550.47"/>
    <n v="3164.49"/>
    <x v="3"/>
    <s v="Exclude"/>
    <s v=""/>
    <s v="Cancelled"/>
    <s v="Cancelled"/>
    <s v="Exclude"/>
  </r>
  <r>
    <s v="ORD-2025-10799"/>
    <n v="1"/>
    <s v=""/>
    <s v="2025-07-11"/>
    <d v="2025-07-11T00:00:00"/>
    <s v="09-07-2025"/>
    <d v="2025-07-09T00:00:00"/>
    <s v="Invalid Shipping Record"/>
    <n v="-2"/>
    <s v="Invalid Shipping Record"/>
    <s v="CUST-7553"/>
    <s v="Aditi Sen"/>
    <s v="Aditi Sen"/>
    <s v="Corporate"/>
    <s v="Corporate"/>
    <x v="0"/>
    <s v="North"/>
    <s v="Delhi"/>
    <s v="New Delhi"/>
    <s v="Furniture"/>
    <s v="Furniture"/>
    <s v="Furnishings"/>
    <s v="Classic Furnishings 348"/>
    <s v="Standard Class"/>
    <s v="Standard Class"/>
    <n v="9"/>
    <n v="1706.05"/>
    <n v="0"/>
    <n v="0"/>
    <s v="Valid"/>
    <n v="15354.45"/>
    <n v="9656.5"/>
    <n v="5697.95"/>
    <x v="0"/>
    <s v="Include"/>
    <s v=""/>
    <s v="Completed"/>
    <s v="Completed"/>
    <s v="Include"/>
  </r>
  <r>
    <s v="ORD-2024-10800"/>
    <n v="1"/>
    <s v=""/>
    <s v="10 Oct 2024"/>
    <d v="2024-10-10T00:00:00"/>
    <s v="2024-10-17"/>
    <d v="2024-10-17T00:00:00"/>
    <s v="Valid"/>
    <n v="7"/>
    <s v="Valid"/>
    <s v="CUST-8527"/>
    <s v="Isha Nair"/>
    <s v="Isha Nair"/>
    <s v="Home Office"/>
    <s v="Home Office"/>
    <x v="0"/>
    <s v="North"/>
    <s v="Haryana"/>
    <s v="Gurugram"/>
    <s v="Technology"/>
    <s v="Technology"/>
    <s v="Accessories"/>
    <s v="Smart Accessories 487"/>
    <m/>
    <s v="Unknown"/>
    <n v="5"/>
    <n v="967.41"/>
    <n v="0.05"/>
    <n v="0.05"/>
    <s v="Valid"/>
    <n v="4595.2"/>
    <n v="3887.41"/>
    <n v="707.79"/>
    <x v="0"/>
    <s v="Include"/>
    <s v=""/>
    <s v="Returned"/>
    <s v="Returned"/>
    <s v="Include"/>
  </r>
  <r>
    <s v="ORD-2024-10801"/>
    <n v="1"/>
    <s v=""/>
    <s v="01 Mar 2024"/>
    <d v="2024-03-01T00:00:00"/>
    <s v="2024-03-07"/>
    <d v="2024-03-07T00:00:00"/>
    <s v="Valid"/>
    <n v="6"/>
    <s v="Valid"/>
    <s v="CUST-5015"/>
    <s v="Vikram Iyer"/>
    <s v="Vikram Iyer"/>
    <s v="Small Business"/>
    <s v="Small Business"/>
    <x v="3"/>
    <s v="West"/>
    <s v="Maharashtra"/>
    <s v="Mumbai"/>
    <s v="Office Supplies"/>
    <s v="Office Supplies"/>
    <s v="Storage"/>
    <s v="Elite Storage 825"/>
    <s v="Second Class"/>
    <s v="Second Class"/>
    <n v="6"/>
    <n v="4163.72"/>
    <n v="0.15"/>
    <n v="0.15"/>
    <s v="Valid"/>
    <n v="21234.97"/>
    <n v="16736.09"/>
    <n v="4498.88"/>
    <x v="0"/>
    <s v="Include"/>
    <s v=""/>
    <s v="Completed"/>
    <s v="Completed"/>
    <s v="Include"/>
  </r>
  <r>
    <s v="ORD-2025-10802"/>
    <n v="1"/>
    <s v=""/>
    <s v="2025-10-08"/>
    <d v="2025-10-08T00:00:00"/>
    <s v="15 Oct 2025"/>
    <d v="2025-10-15T00:00:00"/>
    <s v="Valid"/>
    <n v="7"/>
    <s v="Valid"/>
    <s v="CUST-3344"/>
    <s v="Aarav Sharma"/>
    <s v="Aarav Sharma"/>
    <s v="Home Office"/>
    <s v="Home Office"/>
    <x v="1"/>
    <s v="East"/>
    <s v="Odisha"/>
    <s v="Bhubaneswar"/>
    <s v="Technology"/>
    <s v="Technology"/>
    <s v="Accessories"/>
    <s v="Pro Accessories 500"/>
    <s v="Second Class"/>
    <s v="Second Class"/>
    <n v="3"/>
    <n v="3372.21"/>
    <n v="0.2"/>
    <n v="0.2"/>
    <s v="Valid"/>
    <n v="8093.3"/>
    <n v="6052.43"/>
    <n v="2040.87"/>
    <x v="2"/>
    <s v="Exclude"/>
    <s v=""/>
    <s v="Cancelled"/>
    <s v="Cancelled"/>
    <s v="Exclude"/>
  </r>
  <r>
    <s v="ORD-2025-10803"/>
    <n v="1"/>
    <s v=""/>
    <s v="16 Feb 2025"/>
    <d v="2025-02-16T00:00:00"/>
    <s v="2025-02-16"/>
    <d v="2025-02-16T00:00:00"/>
    <s v="Valid"/>
    <n v="0"/>
    <s v="Valid"/>
    <s v="CUST-5866"/>
    <s v="Rohan Mehta"/>
    <s v="Rohan Mehta"/>
    <s v="Small Business"/>
    <s v="Small Business"/>
    <x v="1"/>
    <s v="East"/>
    <s v="Assam"/>
    <s v="Guwahati"/>
    <s v="Furniture"/>
    <s v="Furniture"/>
    <s v="Furnishings"/>
    <s v="Pro Furnishings 909"/>
    <s v="Second Class"/>
    <s v="Second Class"/>
    <n v="6"/>
    <n v="1441.91"/>
    <n v="0"/>
    <n v="0"/>
    <s v="Valid"/>
    <n v="8651.4599999999991"/>
    <n v="5254.62"/>
    <n v="3396.84"/>
    <x v="3"/>
    <s v="Exclude"/>
    <s v=""/>
    <s v="Returned"/>
    <s v="Returned"/>
    <s v="Include"/>
  </r>
  <r>
    <s v="ORD-2024-10804"/>
    <n v="1"/>
    <s v=""/>
    <s v="09 Dec 2024"/>
    <d v="2024-12-09T00:00:00"/>
    <s v="13 Dec 2024"/>
    <d v="2024-12-13T00:00:00"/>
    <s v="Valid"/>
    <n v="4"/>
    <s v="Valid"/>
    <s v="CUST-7180"/>
    <s v="Rohan Mehta"/>
    <s v="Rohan Mehta"/>
    <s v="Consumer"/>
    <s v="Consumer"/>
    <x v="4"/>
    <s v="Unknown"/>
    <s v="Jharkhand"/>
    <s v="Ranchi"/>
    <s v="Office Supplies"/>
    <s v="Office Supplies"/>
    <s v="Labels"/>
    <s v="Basic Labels 359"/>
    <s v="First Class"/>
    <s v="First Class"/>
    <n v="1"/>
    <n v="4306.6499999999996"/>
    <n v="0"/>
    <n v="0"/>
    <s v="Valid"/>
    <n v="4306.6499999999996"/>
    <n v="2568.8200000000002"/>
    <n v="1737.83"/>
    <x v="0"/>
    <s v="Include"/>
    <s v=""/>
    <s v="Completed"/>
    <s v="Completed"/>
    <s v="Include"/>
  </r>
  <r>
    <s v="ORD-2025-10805"/>
    <n v="1"/>
    <s v=""/>
    <s v="10-09-2025"/>
    <d v="2025-09-10T00:00:00"/>
    <s v="18-09-2025"/>
    <d v="2025-09-18T00:00:00"/>
    <s v="Valid"/>
    <n v="8"/>
    <s v="Valid"/>
    <s v="CUST-8745"/>
    <s v="Rahul Verma"/>
    <s v="Rahul Verma"/>
    <s v="Home Office"/>
    <s v="Home Office"/>
    <x v="2"/>
    <s v="South"/>
    <s v="Telangana"/>
    <s v="Hyderabad"/>
    <s v="Furniture"/>
    <s v="Furniture"/>
    <s v="Furnishings"/>
    <s v="Eco Furnishings 541"/>
    <s v="Standard Class"/>
    <s v="Standard Class"/>
    <n v="1"/>
    <n v="2050.62"/>
    <n v="0.05"/>
    <n v="0.05"/>
    <s v="Valid"/>
    <n v="1948.09"/>
    <n v="1507.08"/>
    <n v="441.01"/>
    <x v="0"/>
    <s v="Include"/>
    <s v=""/>
    <s v="Completed"/>
    <s v="Completed"/>
    <s v="Include"/>
  </r>
  <r>
    <s v="ORD-2025-10806"/>
    <n v="1"/>
    <s v=""/>
    <s v="2025-04-06"/>
    <d v="2025-04-06T00:00:00"/>
    <s v="07-04-2025"/>
    <d v="2025-04-07T00:00:00"/>
    <s v="Valid"/>
    <n v="1"/>
    <s v="Valid"/>
    <s v="CUST-2098"/>
    <s v="Priya Menon"/>
    <s v="Priya Menon"/>
    <s v="Home Office"/>
    <s v="Home Office"/>
    <x v="1"/>
    <s v="East"/>
    <s v="Assam"/>
    <s v="Guwahati"/>
    <s v="Office Supplies"/>
    <s v="Office Supplies"/>
    <s v="Binders"/>
    <s v="Classic Binders 103"/>
    <s v="Second Class"/>
    <s v="Second Class"/>
    <n v="2"/>
    <n v="2030.06"/>
    <n v="0.25"/>
    <n v="0.25"/>
    <s v="Valid"/>
    <n v="3045.09"/>
    <n v="2601.09"/>
    <n v="444"/>
    <x v="0"/>
    <s v="Include"/>
    <s v=""/>
    <s v="Completed"/>
    <s v="Completed"/>
    <s v="Include"/>
  </r>
  <r>
    <s v="ORD-2024-10807"/>
    <n v="1"/>
    <s v=""/>
    <s v="09-11-2024"/>
    <d v="2024-11-09T00:00:00"/>
    <s v="15 Nov 2024"/>
    <d v="2024-11-15T00:00:00"/>
    <s v="Valid"/>
    <n v="6"/>
    <s v="Valid"/>
    <s v="CUST-3704"/>
    <s v="Isha Nair"/>
    <s v="Isha Nair"/>
    <s v="Home Office"/>
    <s v="Home Office"/>
    <x v="0"/>
    <s v="North"/>
    <s v="Rajasthan"/>
    <s v="Jaipur"/>
    <s v="Technology"/>
    <s v="Technology"/>
    <s v="Copiers"/>
    <s v="Max Copiers 560"/>
    <s v="Standard Class"/>
    <s v="Standard Class"/>
    <n v="1"/>
    <n v="3665.97"/>
    <n v="0.2"/>
    <n v="0.2"/>
    <s v="Valid"/>
    <n v="2932.78"/>
    <n v="1900.35"/>
    <n v="1032.43"/>
    <x v="3"/>
    <s v="Exclude"/>
    <s v=""/>
    <s v="Cancelled"/>
    <s v="Cancelled"/>
    <s v="Exclude"/>
  </r>
  <r>
    <s v="ORD-2025-10808"/>
    <n v="1"/>
    <s v=""/>
    <s v="07 Feb 2025"/>
    <d v="2025-02-07T00:00:00"/>
    <s v="2025-02-08"/>
    <d v="2025-02-08T00:00:00"/>
    <s v="Valid"/>
    <n v="1"/>
    <s v="Valid"/>
    <s v="CUST-5884"/>
    <s v="Karan Malhotra"/>
    <s v="Karan Malhotra"/>
    <s v="Small Business"/>
    <s v="Small Business"/>
    <x v="2"/>
    <s v="South"/>
    <s v="Telangana"/>
    <s v="Hyderabad"/>
    <s v="Office Supplies"/>
    <s v="Office Supplies"/>
    <s v="Labels"/>
    <s v="Smart Labels 436"/>
    <s v="Standard Class"/>
    <s v="Standard Class"/>
    <n v="2"/>
    <n v="2432.98"/>
    <n v="0.1"/>
    <n v="0.1"/>
    <s v="Valid"/>
    <n v="4379.3599999999997"/>
    <n v="3723.93"/>
    <n v="655.43"/>
    <x v="0"/>
    <s v="Include"/>
    <s v=""/>
    <s v="Completed"/>
    <s v="Completed"/>
    <s v="Include"/>
  </r>
  <r>
    <s v="ORD-2025-10809"/>
    <n v="1"/>
    <s v=""/>
    <s v="2025-08-31"/>
    <d v="2025-08-31T00:00:00"/>
    <s v="2025-08-28"/>
    <d v="2025-08-28T00:00:00"/>
    <s v="Invalid Shipping Record"/>
    <n v="-3"/>
    <s v="Invalid Shipping Record"/>
    <s v="CUST-7503"/>
    <s v="Aarav Sharma"/>
    <s v="Aarav Sharma"/>
    <s v="Small Business"/>
    <s v="Small Business"/>
    <x v="2"/>
    <s v="South"/>
    <s v="Tamil Nadu"/>
    <s v="Chennai"/>
    <s v="Furniture"/>
    <s v="Furniture"/>
    <s v="Furnishings"/>
    <s v="Pro Furnishings 386"/>
    <s v="First Class"/>
    <s v="First Class"/>
    <n v="7"/>
    <n v="977.28"/>
    <n v="0.2"/>
    <n v="0.2"/>
    <s v="Valid"/>
    <n v="5472.77"/>
    <n v="4477.33"/>
    <n v="995.44"/>
    <x v="0"/>
    <s v="Include"/>
    <s v=""/>
    <s v="Completed"/>
    <s v="Completed"/>
    <s v="Include"/>
  </r>
  <r>
    <s v="ORD-2025-10810"/>
    <n v="1"/>
    <s v=""/>
    <s v="25 Jun 2025"/>
    <d v="2025-06-25T00:00:00"/>
    <s v="25 Jun 2025"/>
    <d v="2025-06-25T00:00:00"/>
    <s v="Valid"/>
    <n v="0"/>
    <s v="Valid"/>
    <s v="CUST-6973"/>
    <s v="Arjun Bose"/>
    <s v="Arjun Bose"/>
    <s v="Small Business"/>
    <s v="Small Business"/>
    <x v="4"/>
    <s v="Unknown"/>
    <s v="Punjab"/>
    <s v="Ludhiana"/>
    <s v="Office Supplies"/>
    <s v="Office Supplies"/>
    <s v="Binders"/>
    <s v="Eco Binders 601"/>
    <s v="Second Class"/>
    <s v="Second Class"/>
    <n v="6"/>
    <n v="1366.13"/>
    <n v="0.1"/>
    <n v="0.1"/>
    <s v="Valid"/>
    <n v="7377.1"/>
    <n v="5085.21"/>
    <n v="2291.89"/>
    <x v="0"/>
    <s v="Include"/>
    <s v=""/>
    <s v="Completed"/>
    <s v="Completed"/>
    <s v="Include"/>
  </r>
  <r>
    <s v="ORD-2024-10811"/>
    <n v="1"/>
    <s v=""/>
    <s v="04/03/2024"/>
    <d v="2024-04-03T00:00:00"/>
    <s v="08-04-2024"/>
    <d v="2024-04-08T00:00:00"/>
    <s v="Valid"/>
    <n v="5"/>
    <s v="Valid"/>
    <s v="CUST-4653"/>
    <s v="Kabir Singh"/>
    <s v="Kabir Singh"/>
    <s v="Home Office"/>
    <s v="Home Office"/>
    <x v="3"/>
    <s v="West"/>
    <s v="Gujarat"/>
    <s v="Ahmedabad"/>
    <s v="Technology"/>
    <s v="Technology"/>
    <s v="Copiers"/>
    <s v="Pro Copiers 867"/>
    <s v="First Class"/>
    <s v="First Class"/>
    <n v="1"/>
    <n v="3151.85"/>
    <n v="0.25"/>
    <n v="0.25"/>
    <s v="Valid"/>
    <n v="2363.89"/>
    <n v="1471.51"/>
    <n v="892.38"/>
    <x v="0"/>
    <s v="Include"/>
    <s v=""/>
    <s v="Completed"/>
    <s v="Completed"/>
    <s v="Include"/>
  </r>
  <r>
    <s v="ORD-2024-10812"/>
    <n v="1"/>
    <s v=""/>
    <s v="12 Dec 2024"/>
    <d v="2024-12-12T00:00:00"/>
    <s v="19 Dec 2024"/>
    <d v="2024-12-19T00:00:00"/>
    <s v="Valid"/>
    <n v="7"/>
    <s v="Valid"/>
    <s v="CUST-3303"/>
    <s v="Rohan Mehta"/>
    <s v="Rohan Mehta"/>
    <s v="Home Office"/>
    <s v="Home Office"/>
    <x v="0"/>
    <s v="North"/>
    <s v="Haryana"/>
    <s v="Gurugram"/>
    <s v="Technology"/>
    <s v="Technology"/>
    <s v="Accessories"/>
    <s v="Eco Accessories 122"/>
    <s v="First Class"/>
    <s v="First Class"/>
    <n v="2"/>
    <n v="1610.75"/>
    <n v="0.2"/>
    <n v="0.2"/>
    <s v="Valid"/>
    <n v="2577.1999999999998"/>
    <n v="1475.87"/>
    <n v="1101.33"/>
    <x v="0"/>
    <s v="Include"/>
    <s v=""/>
    <s v="Completed"/>
    <s v="Completed"/>
    <s v="Include"/>
  </r>
  <r>
    <s v="ORD-2024-10813"/>
    <n v="1"/>
    <s v=""/>
    <s v="2024-06-15"/>
    <d v="2024-06-15T00:00:00"/>
    <s v="20-06-2024"/>
    <d v="2024-06-20T00:00:00"/>
    <s v="Valid"/>
    <n v="5"/>
    <s v="Valid"/>
    <s v="CUST-5754"/>
    <s v="Sneha Kapoor"/>
    <s v="Sneha Kapoor"/>
    <s v="Small Business"/>
    <s v="Small Business"/>
    <x v="1"/>
    <s v="East"/>
    <s v="Jharkhand"/>
    <s v="Ranchi"/>
    <s v="Furniture"/>
    <s v="Furniture"/>
    <s v="Tables"/>
    <s v="Basic Tables 127"/>
    <s v="First Class"/>
    <s v="First Class"/>
    <n v="8"/>
    <n v="2228.4699999999998"/>
    <n v="0"/>
    <n v="0"/>
    <s v="Valid"/>
    <n v="17827.759999999998"/>
    <n v="14122.13"/>
    <n v="3705.63"/>
    <x v="0"/>
    <s v="Include"/>
    <s v=""/>
    <s v="Completed"/>
    <s v="Completed"/>
    <s v="Include"/>
  </r>
  <r>
    <s v="ORD-2025-10814"/>
    <n v="1"/>
    <s v=""/>
    <s v="04/06/2025"/>
    <d v="2025-04-06T00:00:00"/>
    <s v="10 Apr 2025"/>
    <d v="2025-04-10T00:00:00"/>
    <s v="Valid"/>
    <n v="4"/>
    <s v="Valid"/>
    <s v="CUST-7848"/>
    <s v="Rohan Mehta"/>
    <s v="Rohan Mehta"/>
    <s v="Consumer"/>
    <s v="Consumer"/>
    <x v="1"/>
    <s v="East"/>
    <s v="Odisha"/>
    <s v="Bhubaneswar"/>
    <s v="Furniture"/>
    <s v="Furniture"/>
    <s v="Bookcases"/>
    <s v="Elite Bookcases 988"/>
    <s v="Standard Class"/>
    <s v="Standard Class"/>
    <n v="2"/>
    <n v="1337.67"/>
    <n v="0"/>
    <n v="0"/>
    <s v="Valid"/>
    <n v="2675.34"/>
    <n v="1595.87"/>
    <n v="1079.47"/>
    <x v="0"/>
    <s v="Include"/>
    <s v=""/>
    <s v="Completed"/>
    <s v="Completed"/>
    <s v="Include"/>
  </r>
  <r>
    <s v="ORD-2025-10815"/>
    <n v="1"/>
    <s v=""/>
    <s v="06 Aug 2025"/>
    <d v="2025-08-06T00:00:00"/>
    <s v="2025-08-11"/>
    <d v="2025-08-11T00:00:00"/>
    <s v="Valid"/>
    <n v="5"/>
    <s v="Valid"/>
    <s v="CUST-9048"/>
    <s v="Arjun Bose"/>
    <s v="Arjun Bose"/>
    <s v="Consumer"/>
    <s v="Consumer"/>
    <x v="3"/>
    <s v="West"/>
    <s v="Madhya Pradesh"/>
    <s v="Indore"/>
    <s v="Office Supplies"/>
    <s v="Office Supplies"/>
    <s v="Labels"/>
    <s v="Smart Labels 126"/>
    <s v="First Class"/>
    <s v="First Class"/>
    <n v="2"/>
    <n v="2375.94"/>
    <n v="0.25"/>
    <n v="0.25"/>
    <s v="Valid"/>
    <n v="3563.91"/>
    <n v="2639.7"/>
    <n v="924.21"/>
    <x v="0"/>
    <s v="Include"/>
    <s v=""/>
    <s v="Completed"/>
    <s v="Completed"/>
    <s v="Include"/>
  </r>
  <r>
    <s v="ORD-2024-10816"/>
    <n v="1"/>
    <s v=""/>
    <s v="04/01/2024"/>
    <d v="2024-04-01T00:00:00"/>
    <s v="2024-04-08"/>
    <d v="2024-04-08T00:00:00"/>
    <s v="Valid"/>
    <n v="7"/>
    <s v="Valid"/>
    <s v="CUST-2951"/>
    <s v="Diya Patel"/>
    <s v="Diya Patel"/>
    <s v="Consumer"/>
    <s v="Consumer"/>
    <x v="1"/>
    <s v="East"/>
    <s v="Odisha"/>
    <s v="Bhubaneswar"/>
    <s v="Technology"/>
    <s v="Technology"/>
    <s v="Machines"/>
    <s v="Max Machines 569"/>
    <s v="Standard Class"/>
    <s v="Standard Class"/>
    <n v="7"/>
    <n v="715.81"/>
    <n v="0.15"/>
    <n v="0.15"/>
    <s v="Valid"/>
    <n v="4259.07"/>
    <n v="3130.32"/>
    <n v="1128.75"/>
    <x v="2"/>
    <s v="Exclude"/>
    <s v=""/>
    <s v="Cancelled"/>
    <s v="Cancelled"/>
    <s v="Exclude"/>
  </r>
  <r>
    <s v="ORD-2024-10817"/>
    <n v="1"/>
    <s v=""/>
    <s v="11/27/2024"/>
    <d v="2024-11-27T00:00:00"/>
    <s v="2024-11-30"/>
    <d v="2024-11-30T00:00:00"/>
    <s v="Valid"/>
    <n v="3"/>
    <s v="Valid"/>
    <s v="CUST-3072"/>
    <s v="Rahul Verma"/>
    <s v="Rahul Verma"/>
    <s v="Small Business"/>
    <s v="Small Business"/>
    <x v="1"/>
    <s v="East"/>
    <s v="Jharkhand"/>
    <s v="Ranchi"/>
    <s v="Furniture"/>
    <s v="Furniture"/>
    <s v="Furnishings"/>
    <s v="Basic Furnishings 306"/>
    <s v="First Class"/>
    <s v="First Class"/>
    <n v="1"/>
    <n v="874.3"/>
    <n v="0.1"/>
    <n v="0.1"/>
    <s v="Valid"/>
    <n v="786.87"/>
    <n v="498.5"/>
    <n v="288.37"/>
    <x v="0"/>
    <s v="Include"/>
    <s v=""/>
    <s v="Completed"/>
    <s v="Completed"/>
    <s v="Include"/>
  </r>
  <r>
    <s v="ORD-2025-10818"/>
    <n v="1"/>
    <s v=""/>
    <s v="05 Apr 2025"/>
    <d v="2025-04-05T00:00:00"/>
    <s v="04/05/2025"/>
    <d v="2025-04-05T00:00:00"/>
    <s v="Valid"/>
    <n v="0"/>
    <s v="Valid"/>
    <s v="CUST-2221"/>
    <s v="Sneha Kapoor"/>
    <s v="Sneha Kapoor"/>
    <s v="Consumer"/>
    <s v="Consumer"/>
    <x v="1"/>
    <s v="East"/>
    <s v="Bihar"/>
    <s v="Patna"/>
    <s v="Office Supplies"/>
    <s v="Office Supplies"/>
    <s v="Binders"/>
    <s v="Classic Binders 873"/>
    <s v="Standard Class"/>
    <s v="Standard Class"/>
    <n v="6"/>
    <n v="1829.69"/>
    <n v="0.25"/>
    <n v="0.25"/>
    <s v="Valid"/>
    <n v="8233.6"/>
    <n v="4713.79"/>
    <n v="3519.81"/>
    <x v="0"/>
    <s v="Include"/>
    <s v=""/>
    <s v="Completed"/>
    <s v="Completed"/>
    <s v="Include"/>
  </r>
  <r>
    <s v="ORD-2024-10819"/>
    <n v="1"/>
    <s v=""/>
    <s v="29 Sep 2024"/>
    <d v="2024-09-29T00:00:00"/>
    <s v="05-10-2024"/>
    <d v="2024-10-05T00:00:00"/>
    <s v="Valid"/>
    <n v="6"/>
    <s v="Valid"/>
    <s v="CUST-3943"/>
    <s v="Priya Menon"/>
    <s v="Priya Menon"/>
    <s v="Small Business"/>
    <s v="Small Business"/>
    <x v="3"/>
    <s v="West"/>
    <s v="Maharashtra"/>
    <s v="Mumbai"/>
    <s v="Office Supplies"/>
    <s v="Office Supplies"/>
    <s v="Labels"/>
    <s v="Pro Labels 611"/>
    <s v="First Class"/>
    <s v="First Class"/>
    <n v="8"/>
    <n v="1981.04"/>
    <n v="-0.14000000000000001"/>
    <n v="-0.14000000000000001"/>
    <s v="Invalid Discount"/>
    <n v="12678.66"/>
    <n v="10088.65"/>
    <n v="2590.0100000000002"/>
    <x v="0"/>
    <s v="Include"/>
    <s v=""/>
    <s v="Completed"/>
    <s v="Completed"/>
    <s v="Include"/>
  </r>
  <r>
    <s v="ORD-2024-10820"/>
    <n v="1"/>
    <s v=""/>
    <s v="07/31/2024"/>
    <d v="2024-07-31T00:00:00"/>
    <s v="31-07-2024"/>
    <d v="2024-07-31T00:00:00"/>
    <s v="Valid"/>
    <n v="0"/>
    <s v="Valid"/>
    <s v="CUST-7510"/>
    <s v="Karan Malhotra"/>
    <s v="Karan Malhotra"/>
    <s v="Home Office"/>
    <s v="Home Office"/>
    <x v="2"/>
    <s v="South"/>
    <s v="Kerala"/>
    <s v="Kochi"/>
    <s v="Technology"/>
    <s v="Technology"/>
    <s v="Machines"/>
    <s v="Prime Machines 524"/>
    <s v="Standard Class"/>
    <s v="Standard Class"/>
    <n v="8"/>
    <n v="4246.01"/>
    <n v="0"/>
    <n v="0"/>
    <s v="Valid"/>
    <n v="33968.080000000002"/>
    <n v="26902.44"/>
    <n v="7065.64"/>
    <x v="3"/>
    <s v="Exclude"/>
    <s v=""/>
    <s v="Cancelled"/>
    <s v="Cancelled"/>
    <s v="Exclude"/>
  </r>
  <r>
    <s v="ORD-2025-10821"/>
    <n v="1"/>
    <s v=""/>
    <s v="06-02-2025"/>
    <d v="2025-02-06T00:00:00"/>
    <s v="10-02-2025"/>
    <d v="2025-02-10T00:00:00"/>
    <s v="Valid"/>
    <n v="4"/>
    <s v="Valid"/>
    <s v="CUST-2041"/>
    <s v="Ananya Rao"/>
    <s v="Ananya Rao"/>
    <s v="Home Office"/>
    <s v="Home Office"/>
    <x v="0"/>
    <s v="North"/>
    <s v="Uttar Pradesh"/>
    <s v="Noida"/>
    <s v="Furniture"/>
    <s v="Furniture"/>
    <s v="Bookcases"/>
    <s v="Classic Bookcases 882"/>
    <s v="Standard Class"/>
    <s v="Standard Class"/>
    <n v="2"/>
    <n v="319.57"/>
    <n v="0.2"/>
    <n v="0.2"/>
    <s v="Valid"/>
    <n v="511.31"/>
    <n v="436.43"/>
    <n v="74.88"/>
    <x v="0"/>
    <s v="Include"/>
    <s v=""/>
    <s v="Completed"/>
    <s v="Completed"/>
    <s v="Include"/>
  </r>
  <r>
    <s v="ORD-2024-10822"/>
    <n v="1"/>
    <s v=""/>
    <s v="2024-07-03"/>
    <d v="2024-07-03T00:00:00"/>
    <s v="06-07-2024"/>
    <d v="2024-07-06T00:00:00"/>
    <s v="Valid"/>
    <n v="3"/>
    <s v="Valid"/>
    <s v="CUST-4466"/>
    <s v="Aarav Sharma"/>
    <s v="Aarav Sharma"/>
    <s v="Corporate"/>
    <s v="Corporate"/>
    <x v="2"/>
    <s v="South"/>
    <s v="Karnataka"/>
    <s v="Bengaluru"/>
    <s v="Technology"/>
    <s v="Technology"/>
    <s v="Accessories"/>
    <s v="Classic Accessories 471"/>
    <s v="First Class"/>
    <s v="First Class"/>
    <n v="7"/>
    <n v="1942.49"/>
    <n v="0.2"/>
    <n v="0.2"/>
    <s v="Valid"/>
    <n v="10877.94"/>
    <n v="9110.14"/>
    <n v="1767.8"/>
    <x v="0"/>
    <s v="Include"/>
    <s v=""/>
    <s v="Completed"/>
    <s v="Completed"/>
    <s v="Include"/>
  </r>
  <r>
    <s v="ORD-2024-10823"/>
    <n v="1"/>
    <s v=""/>
    <s v="10/12/2024"/>
    <d v="2024-10-12T00:00:00"/>
    <s v="08 Oct 2024"/>
    <d v="2024-10-08T00:00:00"/>
    <s v="Invalid Shipping Record"/>
    <n v="-4"/>
    <s v="Invalid Shipping Record"/>
    <s v="CUST-3188"/>
    <s v="Mira Das"/>
    <s v="Mira Das"/>
    <s v="Corporate"/>
    <s v="Corporate"/>
    <x v="1"/>
    <s v="East"/>
    <s v="Assam"/>
    <s v="Guwahati"/>
    <s v="Furniture"/>
    <s v="Furniture"/>
    <s v="Furnishings"/>
    <s v="Smart Furnishings 175"/>
    <s v="Second Class"/>
    <s v="Second Class"/>
    <n v="4"/>
    <n v="3202.04"/>
    <n v="0.2"/>
    <n v="0.2"/>
    <s v="Valid"/>
    <n v="10246.530000000001"/>
    <n v="8634.42"/>
    <n v="1612.11"/>
    <x v="2"/>
    <s v="Include"/>
    <s v=""/>
    <s v="Returned"/>
    <s v="Returned"/>
    <s v="Include"/>
  </r>
  <r>
    <s v="ORD-2025-10824"/>
    <n v="1"/>
    <s v=""/>
    <s v="2025-01-06"/>
    <d v="2025-01-06T00:00:00"/>
    <s v="12 Jan 2025"/>
    <d v="2025-01-12T00:00:00"/>
    <s v="Valid"/>
    <n v="6"/>
    <s v="Valid"/>
    <s v="CUST-6638"/>
    <s v="Mira Das"/>
    <s v="Mira Das"/>
    <s v="Home Office"/>
    <s v="Home Office"/>
    <x v="3"/>
    <s v="West"/>
    <s v="Goa"/>
    <s v="Panaji"/>
    <s v="Office Supplies"/>
    <s v="Office Supplies"/>
    <s v="Paper"/>
    <s v="Basic Paper 899"/>
    <s v="Same Day"/>
    <s v="Same Day"/>
    <n v="3"/>
    <n v="668.33"/>
    <n v="0.15"/>
    <n v="0.15"/>
    <s v="Valid"/>
    <n v="1704.24"/>
    <n v="957.55"/>
    <n v="746.69"/>
    <x v="0"/>
    <s v="Include"/>
    <s v=""/>
    <s v="Completed"/>
    <s v="Completed"/>
    <s v="Include"/>
  </r>
  <r>
    <s v="ORD-2025-10825"/>
    <n v="1"/>
    <s v=""/>
    <s v="21-03-2025"/>
    <d v="2025-03-21T00:00:00"/>
    <s v="22 Mar 2025"/>
    <d v="2025-03-22T00:00:00"/>
    <s v="Valid"/>
    <n v="1"/>
    <s v="Valid"/>
    <s v="CUST-3540"/>
    <s v="Priya Menon"/>
    <s v="Priya Menon"/>
    <s v="Consumer"/>
    <s v="Consumer"/>
    <x v="3"/>
    <s v="West"/>
    <s v="Goa"/>
    <s v="Panaji"/>
    <s v="Office Supplies"/>
    <s v="Office Supplies"/>
    <s v="Paper"/>
    <s v="Pro Paper 267"/>
    <s v="First Class"/>
    <s v="First Class"/>
    <n v="8"/>
    <n v="4436.74"/>
    <n v="0.05"/>
    <n v="0.05"/>
    <s v="Valid"/>
    <n v="33719.22"/>
    <n v="28924.43"/>
    <n v="4794.79"/>
    <x v="0"/>
    <s v="Include"/>
    <s v=""/>
    <s v="Completed"/>
    <s v="Completed"/>
    <s v="Include"/>
  </r>
  <r>
    <s v="ORD-2025-10826"/>
    <n v="1"/>
    <s v=""/>
    <s v="16 Apr 2025"/>
    <d v="2025-04-16T00:00:00"/>
    <s v="17-04-2025"/>
    <d v="2025-04-17T00:00:00"/>
    <s v="Valid"/>
    <n v="1"/>
    <s v="Valid"/>
    <s v="CUST-3351"/>
    <s v="Vikram Iyer"/>
    <s v="Vikram Iyer"/>
    <s v="Small Business"/>
    <s v="Small Business"/>
    <x v="0"/>
    <s v="North"/>
    <s v="Uttar Pradesh"/>
    <s v="Noida"/>
    <s v="Technology"/>
    <s v="Technology"/>
    <s v="Machines"/>
    <s v="Basic Machines 832"/>
    <s v="First Class"/>
    <s v="First Class"/>
    <n v="1"/>
    <n v="2720.17"/>
    <n v="0"/>
    <n v="0"/>
    <s v="Valid"/>
    <n v="2720.17"/>
    <n v="1834.23"/>
    <n v="885.94"/>
    <x v="0"/>
    <s v="Include"/>
    <s v=""/>
    <s v="Completed"/>
    <s v="Completed"/>
    <s v="Include"/>
  </r>
  <r>
    <s v="ORD-2025-10827"/>
    <n v="1"/>
    <s v=""/>
    <s v="2025-08-10"/>
    <d v="2025-08-10T00:00:00"/>
    <s v="14 Aug 2025"/>
    <d v="2025-08-14T00:00:00"/>
    <s v="Valid"/>
    <n v="4"/>
    <s v="Valid"/>
    <s v="CUST-4375"/>
    <s v="Aditi Sen"/>
    <s v="Aditi Sen"/>
    <s v="Consumer"/>
    <s v="Consumer"/>
    <x v="3"/>
    <s v="West"/>
    <s v="Rajasthan"/>
    <s v="Udaipur"/>
    <s v="Technology"/>
    <s v="Technology"/>
    <s v="Accessories"/>
    <s v="Elite Accessories 790"/>
    <s v="Standard Class"/>
    <s v="Standard Class"/>
    <n v="5"/>
    <n v="2190.14"/>
    <n v="0.25"/>
    <n v="0.25"/>
    <s v="Valid"/>
    <n v="8213.02"/>
    <n v="5569.3"/>
    <n v="2643.72"/>
    <x v="0"/>
    <s v="Include"/>
    <s v=""/>
    <s v="Completed"/>
    <s v="Completed"/>
    <s v="Include"/>
  </r>
  <r>
    <s v="ORD-2024-10828"/>
    <n v="1"/>
    <s v=""/>
    <s v="24 Nov 2024"/>
    <d v="2024-11-24T00:00:00"/>
    <s v="01-12-2024"/>
    <d v="2024-12-01T00:00:00"/>
    <s v="Valid"/>
    <n v="7"/>
    <s v="Valid"/>
    <s v="CUST-5125"/>
    <s v="Priya Menon"/>
    <s v="Priya Menon"/>
    <s v="Home Office"/>
    <s v="Home Office"/>
    <x v="2"/>
    <s v="South"/>
    <s v="Tamil Nadu"/>
    <s v="Chennai"/>
    <s v="Office Supplies"/>
    <s v="Office Supplies"/>
    <s v="Paper"/>
    <s v="Basic Paper 707"/>
    <s v="Same Day"/>
    <s v="Same Day"/>
    <n v="1"/>
    <n v="844.89"/>
    <n v="0.25"/>
    <n v="0.25"/>
    <s v="Valid"/>
    <n v="633.66999999999996"/>
    <n v="520.47"/>
    <n v="113.2"/>
    <x v="0"/>
    <s v="Exclude"/>
    <s v=""/>
    <s v="Cancelled"/>
    <s v="Cancelled"/>
    <s v="Exclude"/>
  </r>
  <r>
    <s v="ORD-2025-10829"/>
    <n v="1"/>
    <s v=""/>
    <s v="10/10/2025"/>
    <d v="2025-10-10T00:00:00"/>
    <s v="11-10-2025"/>
    <d v="2025-10-11T00:00:00"/>
    <s v="Valid"/>
    <n v="1"/>
    <s v="Valid"/>
    <s v="CUST-6010"/>
    <s v="Karan Malhotra"/>
    <s v="Karan Malhotra"/>
    <s v="Corporate"/>
    <s v="Corporate"/>
    <x v="1"/>
    <s v="East"/>
    <s v="Odisha"/>
    <s v="Bhubaneswar"/>
    <s v="Furniture"/>
    <s v="Furniture"/>
    <s v="Chairs"/>
    <s v="Elite Chairs 979"/>
    <s v="Second Class"/>
    <s v="Second Class"/>
    <n v="7"/>
    <n v="3791.96"/>
    <n v="0.05"/>
    <n v="0.05"/>
    <s v="Valid"/>
    <n v="25216.53"/>
    <n v="14216.94"/>
    <n v="10999.59"/>
    <x v="3"/>
    <s v="Exclude"/>
    <s v=""/>
    <s v="Cancelled"/>
    <s v="Cancelled"/>
    <s v="Exclude"/>
  </r>
  <r>
    <s v="ORD-2024-10830"/>
    <n v="1"/>
    <s v=""/>
    <s v="02/26/2024"/>
    <d v="2024-02-26T00:00:00"/>
    <s v="28-02-2024"/>
    <d v="2024-02-28T00:00:00"/>
    <s v="Valid"/>
    <n v="2"/>
    <s v="Valid"/>
    <s v="CUST-9036"/>
    <s v="Aditi Sen"/>
    <s v="Aditi Sen"/>
    <s v="Small Business"/>
    <s v="Small Business"/>
    <x v="3"/>
    <s v="West"/>
    <s v="Goa"/>
    <s v="Panaji"/>
    <s v="Furniture"/>
    <s v="Furniture"/>
    <s v="Furnishings"/>
    <s v="Pro Furnishings 192"/>
    <s v="Second Class"/>
    <s v="Second Class"/>
    <n v="7"/>
    <n v="1035.1400000000001"/>
    <n v="0.1"/>
    <n v="0.1"/>
    <s v="Valid"/>
    <n v="6521.38"/>
    <n v="4511.1000000000004"/>
    <n v="2010.28"/>
    <x v="0"/>
    <s v="Include"/>
    <s v=""/>
    <s v="Completed"/>
    <s v="Completed"/>
    <s v="Include"/>
  </r>
  <r>
    <s v="ORD-2025-10831"/>
    <n v="1"/>
    <s v=""/>
    <s v="15 Jul 2025"/>
    <d v="2025-07-15T00:00:00"/>
    <s v="18-07-2025"/>
    <d v="2025-07-18T00:00:00"/>
    <s v="Valid"/>
    <n v="3"/>
    <s v="Valid"/>
    <s v="CUST-7929"/>
    <s v="Aditi Sen"/>
    <s v="Aditi Sen"/>
    <s v="Small Business"/>
    <s v="Small Business"/>
    <x v="4"/>
    <s v="Unknown"/>
    <s v="Tamil Nadu"/>
    <s v="Chennai"/>
    <s v="Technology"/>
    <s v="Technology"/>
    <s v="Machines"/>
    <s v="Smart Machines 951"/>
    <s v="First Class"/>
    <s v="First Class"/>
    <n v="6"/>
    <n v="2382.88"/>
    <n v="0.1"/>
    <n v="0.1"/>
    <s v="Valid"/>
    <n v="12867.55"/>
    <n v="10068.94"/>
    <n v="2798.61"/>
    <x v="0"/>
    <s v="Include"/>
    <s v=""/>
    <s v="Completed"/>
    <s v="Completed"/>
    <s v="Include"/>
  </r>
  <r>
    <s v="ORD-2025-10832"/>
    <n v="1"/>
    <s v=""/>
    <s v="04/03/2025"/>
    <d v="2025-04-03T00:00:00"/>
    <s v="03-04-2025"/>
    <d v="2025-04-03T00:00:00"/>
    <s v="Valid"/>
    <n v="0"/>
    <s v="Valid"/>
    <s v="CUST-1106"/>
    <s v="Diya Patel"/>
    <s v="Diya Patel"/>
    <s v="Home Office"/>
    <s v="Home Office"/>
    <x v="4"/>
    <s v="Unknown"/>
    <s v="Haryana"/>
    <s v="Gurugram"/>
    <s v="Furniture"/>
    <s v="Furniture"/>
    <s v="Chairs"/>
    <s v="Smart Chairs 794"/>
    <s v="First Class"/>
    <s v="First Class"/>
    <n v="9"/>
    <n v="3462.7"/>
    <n v="0.15"/>
    <n v="0.15"/>
    <s v="Valid"/>
    <n v="26489.65"/>
    <n v="15818.46"/>
    <n v="10671.19"/>
    <x v="3"/>
    <s v="Exclude"/>
    <s v=""/>
    <s v="Returned"/>
    <s v="Returned"/>
    <s v="Include"/>
  </r>
  <r>
    <s v="ORD-2025-10833"/>
    <n v="1"/>
    <s v=""/>
    <s v="26 May 2025"/>
    <d v="2025-05-26T00:00:00"/>
    <s v="28-05-2025"/>
    <d v="2025-05-28T00:00:00"/>
    <s v="Valid"/>
    <n v="2"/>
    <s v="Valid"/>
    <s v="CUST-9557"/>
    <s v="Kabir Singh"/>
    <s v="Kabir Singh"/>
    <s v="Small Business"/>
    <s v="Small Business"/>
    <x v="2"/>
    <s v="South"/>
    <s v="Andhra Pradesh"/>
    <s v="Vijayawada"/>
    <s v="Technology"/>
    <s v="Technology"/>
    <s v="Phones"/>
    <s v="Max Phones 919"/>
    <s v="Second Class"/>
    <s v="Second Class"/>
    <n v="9"/>
    <n v="4302.0200000000004"/>
    <n v="0.05"/>
    <n v="0.05"/>
    <s v="Valid"/>
    <n v="36782.269999999997"/>
    <n v="25902.81"/>
    <n v="10879.46"/>
    <x v="0"/>
    <s v="Include"/>
    <s v=""/>
    <s v="Completed"/>
    <s v="Completed"/>
    <s v="Include"/>
  </r>
  <r>
    <s v="ORD-2024-10834"/>
    <n v="1"/>
    <s v=""/>
    <s v="2024-06-04"/>
    <d v="2024-06-04T00:00:00"/>
    <s v="06/04/2024"/>
    <d v="2024-06-04T00:00:00"/>
    <s v="Valid"/>
    <n v="0"/>
    <s v="Valid"/>
    <s v="CUST-2689"/>
    <s v="Rahul Verma"/>
    <s v="Rahul Verma"/>
    <s v="Home Office"/>
    <s v="Home Office"/>
    <x v="1"/>
    <s v="East"/>
    <s v="West Bengal"/>
    <s v="Kolkata"/>
    <s v="Furniture"/>
    <s v="Furniture"/>
    <s v="Bookcases"/>
    <s v="Basic Bookcases 499"/>
    <s v="First Class"/>
    <s v="First Class"/>
    <n v="6"/>
    <n v="3949.4"/>
    <n v="0"/>
    <n v="0"/>
    <s v="Valid"/>
    <n v="23696.400000000001"/>
    <n v="18109.77"/>
    <n v="5586.63"/>
    <x v="0"/>
    <s v="Include"/>
    <s v=""/>
    <s v="Completed"/>
    <s v="Completed"/>
    <s v="Include"/>
  </r>
  <r>
    <s v="ORD-2024-10835"/>
    <n v="1"/>
    <s v=""/>
    <s v="18-10-2024"/>
    <d v="2024-10-18T00:00:00"/>
    <s v="2024-10-22"/>
    <d v="2024-10-22T00:00:00"/>
    <s v="Valid"/>
    <n v="4"/>
    <s v="Valid"/>
    <s v="CUST-2879"/>
    <s v="Aarav Sharma"/>
    <s v="Aarav Sharma"/>
    <s v="Home Office"/>
    <s v="Home Office"/>
    <x v="2"/>
    <s v="South"/>
    <s v="Telangana"/>
    <s v="Hyderabad"/>
    <s v="Office Supplies"/>
    <s v="Office Supplies"/>
    <s v="Art"/>
    <s v="Basic Art 143"/>
    <s v="First Class"/>
    <s v="First Class"/>
    <n v="6"/>
    <n v="674.61"/>
    <n v="0"/>
    <n v="0"/>
    <s v="Valid"/>
    <n v="4047.66"/>
    <n v="3078.93"/>
    <n v="1279.79"/>
    <x v="0"/>
    <s v="Include"/>
    <s v=""/>
    <s v="Completed"/>
    <s v="Completed"/>
    <s v="Include"/>
  </r>
  <r>
    <s v="ORD-2025-10836"/>
    <n v="1"/>
    <s v=""/>
    <s v="09/26/2025"/>
    <d v="2025-09-26T00:00:00"/>
    <s v="04-10-2025"/>
    <d v="2025-10-04T00:00:00"/>
    <s v="Valid"/>
    <n v="8"/>
    <s v="Valid"/>
    <s v="CUST-5150"/>
    <s v="Priya Menon"/>
    <s v="Priya Menon"/>
    <s v="Small Business"/>
    <s v="Small Business"/>
    <x v="1"/>
    <s v="East"/>
    <s v="Assam"/>
    <s v="Guwahati"/>
    <s v="Technology"/>
    <s v="Technology"/>
    <s v="Phones"/>
    <s v="Prime Phones 338"/>
    <s v="Second Class"/>
    <s v="Second Class"/>
    <n v="7"/>
    <n v="1509.59"/>
    <n v="0.05"/>
    <n v="0.05"/>
    <s v="Valid"/>
    <n v="10038.77"/>
    <n v="5673.1"/>
    <n v="4365.67"/>
    <x v="0"/>
    <s v="Include"/>
    <s v=""/>
    <s v="Completed"/>
    <s v="Completed"/>
    <s v="Include"/>
  </r>
  <r>
    <s v="ORD-2024-10837"/>
    <n v="1"/>
    <s v=""/>
    <s v="2024-12-15"/>
    <d v="2024-12-15T00:00:00"/>
    <s v="2024-12-18"/>
    <d v="2024-12-18T00:00:00"/>
    <s v="Valid"/>
    <n v="3"/>
    <s v="Valid"/>
    <s v="CUST-9776"/>
    <s v="Isha Nair"/>
    <s v="Isha Nair"/>
    <s v="Small Business"/>
    <s v="Small Business"/>
    <x v="0"/>
    <s v="North"/>
    <s v="Rajasthan"/>
    <s v="Jaipur"/>
    <s v="Office Supplies"/>
    <s v="Office Supplies"/>
    <s v="Labels"/>
    <s v="Smart Labels 814"/>
    <s v="Second Class"/>
    <s v="Second Class"/>
    <n v="2"/>
    <n v="537.11"/>
    <n v="0"/>
    <n v="0"/>
    <s v="Valid"/>
    <n v="1074.22"/>
    <n v="850.86"/>
    <n v="223.36"/>
    <x v="0"/>
    <s v="Include"/>
    <s v=""/>
    <s v="Completed"/>
    <s v="Completed"/>
    <s v="Include"/>
  </r>
  <r>
    <s v="ORD-2025-10838"/>
    <n v="1"/>
    <s v=""/>
    <s v="2025-09-27"/>
    <d v="2025-09-27T00:00:00"/>
    <s v="09/28/2025"/>
    <d v="2025-09-28T00:00:00"/>
    <s v="Valid"/>
    <n v="1"/>
    <s v="Valid"/>
    <s v="CUST-2551"/>
    <s v="Karan Malhotra"/>
    <s v="Karan Malhotra"/>
    <s v="Home Office"/>
    <s v="Home Office"/>
    <x v="3"/>
    <s v="West"/>
    <s v="Maharashtra"/>
    <s v="Mumbai"/>
    <s v="Office Supplies"/>
    <s v="Office Supplies"/>
    <s v="Paper"/>
    <s v="Prime Paper 812"/>
    <s v="First Class"/>
    <s v="First Class"/>
    <n v="3"/>
    <n v="4177.63"/>
    <n v="0.25"/>
    <n v="0.25"/>
    <s v="Valid"/>
    <n v="9399.67"/>
    <n v="6540.37"/>
    <n v="2859.3"/>
    <x v="0"/>
    <s v="Include"/>
    <s v=""/>
    <s v="Completed"/>
    <s v="Completed"/>
    <s v="Include"/>
  </r>
  <r>
    <s v="ORD-2025-10839"/>
    <n v="1"/>
    <s v=""/>
    <s v="04/03/2025"/>
    <d v="2025-04-03T00:00:00"/>
    <s v="07 Apr 2025"/>
    <d v="2025-04-07T00:00:00"/>
    <s v="Valid"/>
    <n v="4"/>
    <s v="Valid"/>
    <s v="CUST-4708"/>
    <s v="Ananya Rao"/>
    <s v="Ananya Rao"/>
    <s v="Small Business"/>
    <s v="Small Business"/>
    <x v="3"/>
    <s v="West"/>
    <s v="Goa"/>
    <s v="Panaji"/>
    <s v="Office Supplies"/>
    <s v="Office Supplies"/>
    <s v="Paper"/>
    <s v="Pro Paper 355"/>
    <s v="Same Day"/>
    <s v="Same Day"/>
    <n v="1"/>
    <n v="1470.57"/>
    <n v="0"/>
    <n v="0"/>
    <s v="Valid"/>
    <n v="1470.57"/>
    <n v="834.02"/>
    <n v="636.54999999999995"/>
    <x v="0"/>
    <s v="Include"/>
    <s v=""/>
    <s v="Returned"/>
    <s v="Returned"/>
    <s v="Include"/>
  </r>
  <r>
    <s v="ORD-2024-10840"/>
    <n v="1"/>
    <s v=""/>
    <s v="09/20/2024"/>
    <d v="2024-09-20T00:00:00"/>
    <s v="22-09-2024"/>
    <d v="2024-09-22T00:00:00"/>
    <s v="Valid"/>
    <n v="2"/>
    <s v="Valid"/>
    <s v="CUST-8206"/>
    <s v="Rohan Mehta"/>
    <s v="Rohan Mehta"/>
    <s v="Home Office"/>
    <s v="Home Office"/>
    <x v="1"/>
    <s v="East"/>
    <s v="Odisha"/>
    <s v="Bhubaneswar"/>
    <s v="Technology"/>
    <s v="Technology"/>
    <s v="Phones"/>
    <s v="Basic Phones 398"/>
    <s v="Standard Class"/>
    <s v="Standard Class"/>
    <n v="8"/>
    <n v="531.42999999999995"/>
    <n v="0.1"/>
    <n v="0.1"/>
    <s v="Valid"/>
    <n v="3826.3"/>
    <n v="2194.12"/>
    <n v="1632.18"/>
    <x v="0"/>
    <s v="Include"/>
    <s v=""/>
    <s v="Completed"/>
    <s v="Completed"/>
    <s v="Include"/>
  </r>
  <r>
    <s v="ORD-2025-10841"/>
    <n v="1"/>
    <s v=""/>
    <s v="2025-09-19"/>
    <d v="2025-09-19T00:00:00"/>
    <s v="19-09-2025"/>
    <d v="2025-09-19T00:00:00"/>
    <s v="Valid"/>
    <n v="0"/>
    <s v="Valid"/>
    <s v="CUST-1297"/>
    <s v="Neha Gupta"/>
    <s v="Neha Gupta"/>
    <s v="Home Office"/>
    <s v="Home Office"/>
    <x v="0"/>
    <s v="North"/>
    <s v="Delhi"/>
    <s v="New Delhi"/>
    <s v="Furniture"/>
    <s v="Furniture"/>
    <s v="Chairs"/>
    <s v="Classic Chairs 204"/>
    <s v="Same Day"/>
    <s v="Same Day"/>
    <n v="4"/>
    <n v="1584.11"/>
    <n v="0"/>
    <n v="0"/>
    <s v="Valid"/>
    <n v="6336.44"/>
    <n v="4680.68"/>
    <n v="1655.76"/>
    <x v="0"/>
    <s v="Include"/>
    <s v=""/>
    <s v="Completed"/>
    <s v="Completed"/>
    <s v="Include"/>
  </r>
  <r>
    <s v="ORD-2025-10842"/>
    <n v="1"/>
    <s v=""/>
    <s v="2025-02-06"/>
    <d v="2025-02-06T00:00:00"/>
    <s v="12 Feb 2025"/>
    <d v="2025-02-12T00:00:00"/>
    <s v="Valid"/>
    <n v="6"/>
    <s v="Valid"/>
    <s v="CUST-7558"/>
    <s v="Ananya Rao"/>
    <s v="Ananya Rao"/>
    <s v="Small Business"/>
    <s v="Small Business"/>
    <x v="1"/>
    <s v="East"/>
    <s v="Bihar"/>
    <s v="Patna"/>
    <s v="Office Supplies"/>
    <s v="Office Supplies"/>
    <s v="Art"/>
    <s v="Max Art 339"/>
    <s v="Standard Class"/>
    <s v="Standard Class"/>
    <n v="9"/>
    <n v="3237.16"/>
    <n v="0.25"/>
    <n v="0.25"/>
    <s v="Valid"/>
    <n v="21850.83"/>
    <n v="16600.13"/>
    <n v="5250.7"/>
    <x v="0"/>
    <s v="Include"/>
    <s v=""/>
    <s v="Completed"/>
    <s v="Completed"/>
    <s v="Include"/>
  </r>
  <r>
    <s v="ORD-2024-10843"/>
    <n v="1"/>
    <s v=""/>
    <s v="31-03-2024"/>
    <d v="2024-03-31T00:00:00"/>
    <s v="03/30/2024"/>
    <d v="2024-03-30T00:00:00"/>
    <s v="Invalid Shipping Record"/>
    <n v="-1"/>
    <s v="Invalid Shipping Record"/>
    <s v="CUST-1798"/>
    <s v="Kabir Singh"/>
    <s v="Kabir Singh"/>
    <s v="Consumer"/>
    <s v="Consumer"/>
    <x v="0"/>
    <s v="North"/>
    <s v="Haryana"/>
    <s v="Gurugram"/>
    <s v="Technology"/>
    <s v="Technology"/>
    <s v="Machines"/>
    <s v="Smart Machines 581"/>
    <s v="First Class"/>
    <s v="First Class"/>
    <n v="4"/>
    <n v="2192.08"/>
    <n v="0.15"/>
    <n v="0.15"/>
    <s v="Valid"/>
    <n v="7453.07"/>
    <n v="5133.78"/>
    <n v="2319.29"/>
    <x v="0"/>
    <s v="Include"/>
    <s v=""/>
    <s v="Returned"/>
    <s v="Returned"/>
    <s v="Include"/>
  </r>
  <r>
    <s v="ORD-2025-10844"/>
    <n v="1"/>
    <s v=""/>
    <s v="18 Jul 2025"/>
    <d v="2025-07-18T00:00:00"/>
    <s v="25 Jul 2025"/>
    <d v="2025-07-25T00:00:00"/>
    <s v="Valid"/>
    <n v="7"/>
    <s v="Valid"/>
    <s v="CUST-7333"/>
    <s v="Priya Menon"/>
    <s v="Priya Menon"/>
    <s v="Small Business"/>
    <s v="Small Business"/>
    <x v="0"/>
    <s v="North"/>
    <s v="Uttar Pradesh"/>
    <s v="Noida"/>
    <s v="Technology"/>
    <s v="Technology"/>
    <s v="Phones"/>
    <s v="Prime Phones 482"/>
    <s v="First Class"/>
    <s v="First Class"/>
    <n v="9"/>
    <n v="3989.52"/>
    <n v="-0.02"/>
    <n v="-0.02"/>
    <s v="Invalid Discount"/>
    <n v="35905.68"/>
    <n v="23916.1"/>
    <n v="11989.58"/>
    <x v="0"/>
    <s v="Include"/>
    <s v=""/>
    <s v="Completed"/>
    <s v="Completed"/>
    <s v="Include"/>
  </r>
  <r>
    <s v="ORD-2025-10845"/>
    <n v="1"/>
    <s v=""/>
    <s v="20-01-2025"/>
    <d v="2025-01-20T00:00:00"/>
    <s v="25-01-2025"/>
    <d v="2025-01-25T00:00:00"/>
    <s v="Valid"/>
    <n v="5"/>
    <s v="Valid"/>
    <s v="CUST-2086"/>
    <s v="Aditi Sen"/>
    <s v="Aditi Sen"/>
    <s v="Home Office"/>
    <s v="Home Office"/>
    <x v="3"/>
    <s v="West"/>
    <s v="Goa"/>
    <s v="Panaji"/>
    <s v="Office Supplies"/>
    <s v="Office Supplies"/>
    <s v="Art"/>
    <s v="Pro Art 588"/>
    <s v="First Class"/>
    <s v="First Class"/>
    <n v="1"/>
    <n v="3515.15"/>
    <n v="0"/>
    <n v="0"/>
    <s v="Valid"/>
    <n v="3515.15"/>
    <n v="2216.34"/>
    <n v="1298.81"/>
    <x v="0"/>
    <s v="Include"/>
    <s v=""/>
    <s v="Completed"/>
    <s v="Completed"/>
    <s v="Include"/>
  </r>
  <r>
    <s v="ORD-2024-10846"/>
    <n v="1"/>
    <s v=""/>
    <s v="23-02-2024"/>
    <d v="2024-02-23T00:00:00"/>
    <s v="27 Feb 2024"/>
    <d v="2024-02-27T00:00:00"/>
    <s v="Valid"/>
    <n v="4"/>
    <s v="Valid"/>
    <s v="CUST-2367"/>
    <s v="Karan Malhotra"/>
    <s v="Karan Malhotra"/>
    <s v="Consumer"/>
    <s v="Consumer"/>
    <x v="1"/>
    <s v="East"/>
    <s v="Odisha"/>
    <s v="Bhubaneswar"/>
    <s v="Furniture"/>
    <s v="Furniture"/>
    <s v="Tables"/>
    <s v="Eco Tables 792"/>
    <s v="First Class"/>
    <s v="First Class"/>
    <n v="9"/>
    <n v="3616.23"/>
    <n v="0.25"/>
    <n v="0.25"/>
    <s v="Valid"/>
    <n v="24409.55"/>
    <n v="17157.580000000002"/>
    <n v="7251.97"/>
    <x v="2"/>
    <s v="Include"/>
    <s v=""/>
    <s v="Returned"/>
    <s v="Returned"/>
    <s v="Include"/>
  </r>
  <r>
    <s v="ORD-2024-10847"/>
    <n v="1"/>
    <s v=""/>
    <s v="2024-04-14"/>
    <d v="2024-04-14T00:00:00"/>
    <s v="2024-04-22"/>
    <d v="2024-04-22T00:00:00"/>
    <s v="Valid"/>
    <n v="8"/>
    <s v="Valid"/>
    <s v="CUST-6522"/>
    <s v="Priya Menon"/>
    <s v="Priya Menon"/>
    <s v="Small Business"/>
    <s v="Small Business"/>
    <x v="3"/>
    <s v="West"/>
    <s v="Gujarat"/>
    <s v="Ahmedabad"/>
    <s v="Furniture"/>
    <s v="Furniture"/>
    <s v="Bookcases"/>
    <s v="Prime Bookcases 177"/>
    <s v="Standard Class"/>
    <s v="Standard Class"/>
    <n v="2"/>
    <n v="3977.52"/>
    <n v="0"/>
    <n v="0"/>
    <s v="Valid"/>
    <n v="7955.04"/>
    <n v="5580.68"/>
    <n v="2374.36"/>
    <x v="2"/>
    <s v="Include"/>
    <s v=""/>
    <s v="Returned"/>
    <s v="Returned"/>
    <s v="Include"/>
  </r>
  <r>
    <s v="ORD-2025-10848"/>
    <n v="1"/>
    <s v=""/>
    <s v="2025-05-20"/>
    <d v="2025-05-20T00:00:00"/>
    <s v="05/22/2025"/>
    <d v="2025-05-22T00:00:00"/>
    <s v="Valid"/>
    <n v="2"/>
    <s v="Valid"/>
    <s v="CUST-8329"/>
    <s v="Diya Patel"/>
    <s v="Diya Patel"/>
    <s v="Home Office"/>
    <s v="Home Office"/>
    <x v="1"/>
    <s v="East"/>
    <s v="Odisha"/>
    <s v="Bhubaneswar"/>
    <s v="Furniture"/>
    <s v="Furniture"/>
    <s v="Tables"/>
    <s v="Pro Tables 828"/>
    <s v="Second Class"/>
    <s v="Second Class"/>
    <n v="2"/>
    <n v="210.08"/>
    <n v="0.2"/>
    <n v="0.2"/>
    <s v="Valid"/>
    <n v="336.13"/>
    <n v="242.19"/>
    <n v="93.94"/>
    <x v="0"/>
    <s v="Include"/>
    <s v=""/>
    <s v="Completed"/>
    <s v="Completed"/>
    <s v="Include"/>
  </r>
  <r>
    <s v="ORD-2025-10849"/>
    <n v="1"/>
    <s v=""/>
    <s v="27-05-2025"/>
    <d v="2025-05-27T00:00:00"/>
    <s v="29 May 2025"/>
    <d v="2025-05-29T00:00:00"/>
    <s v="Valid"/>
    <n v="2"/>
    <s v="Valid"/>
    <s v="CUST-4426"/>
    <s v="Rahul Verma"/>
    <s v="Rahul Verma"/>
    <s v="Home Office"/>
    <s v="Home Office"/>
    <x v="2"/>
    <s v="South"/>
    <s v="Tamil Nadu"/>
    <s v="Chennai"/>
    <s v="Furniture"/>
    <s v="Furniture"/>
    <s v="Furnishings"/>
    <s v="Elite Furnishings 480"/>
    <s v="Second Class"/>
    <s v="Second Class"/>
    <n v="1"/>
    <n v="1744.35"/>
    <n v="0.25"/>
    <n v="0.25"/>
    <s v="Valid"/>
    <n v="1308.26"/>
    <n v="1083.56"/>
    <n v="224.7"/>
    <x v="0"/>
    <s v="Include"/>
    <s v=""/>
    <s v="Completed"/>
    <s v="Completed"/>
    <s v="Include"/>
  </r>
  <r>
    <s v="ORD-2024-10850"/>
    <n v="1"/>
    <s v=""/>
    <s v="2024-03-06"/>
    <d v="2024-03-06T00:00:00"/>
    <s v="12-03-2024"/>
    <d v="2024-03-12T00:00:00"/>
    <s v="Valid"/>
    <n v="6"/>
    <s v="Valid"/>
    <s v="CUST-3360"/>
    <s v="Isha Nair"/>
    <s v="Isha Nair"/>
    <s v="Home Office"/>
    <s v="Home Office"/>
    <x v="3"/>
    <s v="West"/>
    <s v="Gujarat"/>
    <s v="Ahmedabad"/>
    <s v="Furniture"/>
    <s v="Furniture"/>
    <s v="Bookcases"/>
    <s v="Prime Bookcases 755"/>
    <s v="Standard Class"/>
    <s v="Standard Class"/>
    <n v="3"/>
    <n v="679.63"/>
    <n v="0.2"/>
    <n v="0.2"/>
    <s v="Valid"/>
    <n v="1631.11"/>
    <n v="898.73"/>
    <n v="396.58"/>
    <x v="0"/>
    <s v="Include"/>
    <s v=""/>
    <s v="Completed"/>
    <s v="Completed"/>
    <s v="Include"/>
  </r>
  <r>
    <s v="ORD-2024-10851"/>
    <n v="1"/>
    <s v=""/>
    <s v="30-06-2024"/>
    <d v="2024-06-30T00:00:00"/>
    <s v="2024-07-03"/>
    <d v="2024-07-03T00:00:00"/>
    <s v="Valid"/>
    <n v="3"/>
    <s v="Valid"/>
    <s v="CUST-2623"/>
    <s v="Priya Menon"/>
    <s v="Priya Menon"/>
    <s v="Home Office"/>
    <s v="Home Office"/>
    <x v="1"/>
    <s v="East"/>
    <s v="West Bengal"/>
    <s v="Kolkata"/>
    <s v="Office Supplies"/>
    <s v="Office Supplies"/>
    <s v="Paper"/>
    <s v="Prime Paper 317"/>
    <s v="First Class"/>
    <s v="First Class"/>
    <n v="6"/>
    <n v="1211.01"/>
    <n v="0"/>
    <n v="0"/>
    <s v="Valid"/>
    <n v="7266.06"/>
    <n v="6216.89"/>
    <n v="1049.17"/>
    <x v="0"/>
    <s v="Include"/>
    <s v=""/>
    <s v="Completed"/>
    <s v="Completed"/>
    <s v="Include"/>
  </r>
  <r>
    <s v="ORD-2024-10852"/>
    <n v="1"/>
    <s v=""/>
    <s v="2024-03-26"/>
    <d v="2024-03-26T00:00:00"/>
    <s v="01 Apr 2024"/>
    <d v="2024-04-01T00:00:00"/>
    <s v="Valid"/>
    <n v="6"/>
    <s v="Valid"/>
    <s v="CUST-3175"/>
    <s v="Karan Malhotra"/>
    <s v="Karan Malhotra"/>
    <s v="Small Business"/>
    <s v="Small Business"/>
    <x v="3"/>
    <s v="West"/>
    <s v="Gujarat"/>
    <s v="Ahmedabad"/>
    <s v="Technology"/>
    <s v="Technology"/>
    <s v="Accessories"/>
    <s v="Classic Accessories 933"/>
    <s v="First Class"/>
    <s v="First Class"/>
    <n v="2"/>
    <n v="1161.3"/>
    <n v="0.2"/>
    <n v="0.2"/>
    <s v="Valid"/>
    <n v="1858.08"/>
    <n v="1590.75"/>
    <n v="267.33"/>
    <x v="0"/>
    <s v="Include"/>
    <s v=""/>
    <s v="Completed"/>
    <s v="Completed"/>
    <s v="Include"/>
  </r>
  <r>
    <s v="ORD-2024-10853"/>
    <n v="1"/>
    <s v=""/>
    <s v="01-04-2024"/>
    <d v="2024-04-01T00:00:00"/>
    <s v="08-04-2024"/>
    <d v="2024-04-08T00:00:00"/>
    <s v="Valid"/>
    <n v="7"/>
    <s v="Valid"/>
    <s v="CUST-9630"/>
    <s v="Ananya Rao"/>
    <s v="Ananya Rao"/>
    <s v="Consumer"/>
    <s v="Consumer"/>
    <x v="1"/>
    <s v="East"/>
    <s v="Assam"/>
    <s v="Guwahati"/>
    <s v="Furniture"/>
    <s v="Furniture"/>
    <s v="Tables"/>
    <s v="Smart Tables 513"/>
    <s v="Second Class"/>
    <s v="Second Class"/>
    <n v="7"/>
    <n v="4205.3500000000004"/>
    <n v="0.15"/>
    <n v="0.15"/>
    <s v="Valid"/>
    <n v="25021.83"/>
    <n v="15544.44"/>
    <n v="9477.39"/>
    <x v="2"/>
    <s v="Exclude"/>
    <s v=""/>
    <s v="Cancelled"/>
    <s v="Cancelled"/>
    <s v="Exclude"/>
  </r>
  <r>
    <s v="ORD-2025-10854"/>
    <n v="1"/>
    <s v=""/>
    <s v="2025-05-16"/>
    <d v="2025-05-16T00:00:00"/>
    <s v="05/22/2025"/>
    <d v="2025-05-22T00:00:00"/>
    <s v="Valid"/>
    <n v="6"/>
    <s v="Valid"/>
    <s v="CUST-8274"/>
    <s v="Arjun Bose"/>
    <s v="Arjun Bose"/>
    <s v="Corporate"/>
    <s v="Corporate"/>
    <x v="2"/>
    <s v="South"/>
    <s v="Tamil Nadu"/>
    <s v="Chennai"/>
    <s v="Technology"/>
    <s v="Technology"/>
    <s v="Accessories"/>
    <s v="Elite Accessories 708"/>
    <s v="Same Day"/>
    <s v="Same Day"/>
    <n v="8"/>
    <n v="579.79999999999995"/>
    <n v="0.2"/>
    <n v="0.2"/>
    <s v="Valid"/>
    <n v="3710.72"/>
    <n v="3115.29"/>
    <n v="595.42999999999995"/>
    <x v="0"/>
    <s v="Include"/>
    <s v=""/>
    <s v="Completed"/>
    <s v="Completed"/>
    <s v="Include"/>
  </r>
  <r>
    <s v="ORD-2025-10855"/>
    <n v="1"/>
    <s v=""/>
    <s v="03/25/2025"/>
    <d v="2025-03-25T00:00:00"/>
    <s v="04/02/2025"/>
    <d v="2025-04-02T00:00:00"/>
    <s v="Valid"/>
    <n v="8"/>
    <s v="Valid"/>
    <s v="CUST-2514"/>
    <s v="Priya Menon"/>
    <s v="Priya Menon"/>
    <s v="Consumer"/>
    <s v="Consumer"/>
    <x v="2"/>
    <s v="South"/>
    <s v="Karnataka"/>
    <s v="Bengaluru"/>
    <s v="Furniture"/>
    <s v="Furniture"/>
    <s v="Bookcases"/>
    <s v="Max Bookcases 381"/>
    <s v="Second Class"/>
    <s v="Second Class"/>
    <n v="4"/>
    <n v="2233.64"/>
    <n v="0.05"/>
    <n v="0.05"/>
    <s v="Valid"/>
    <n v="8487.83"/>
    <n v="5245.72"/>
    <n v="3242.11"/>
    <x v="0"/>
    <s v="Include"/>
    <s v=""/>
    <s v="Completed"/>
    <s v="Completed"/>
    <s v="Include"/>
  </r>
  <r>
    <s v="ORD-2024-10856"/>
    <n v="1"/>
    <s v=""/>
    <s v="25-07-2024"/>
    <d v="2024-07-25T00:00:00"/>
    <s v="02 Aug 2024"/>
    <d v="2024-08-02T00:00:00"/>
    <s v="Valid"/>
    <n v="8"/>
    <s v="Valid"/>
    <s v="CUST-2752"/>
    <s v="Rahul Verma"/>
    <s v="Rahul Verma"/>
    <s v="Consumer"/>
    <s v="Consumer"/>
    <x v="0"/>
    <s v="North"/>
    <s v="Rajasthan"/>
    <s v="Jaipur"/>
    <s v="Office Supplies"/>
    <s v="Office Supplies"/>
    <s v="Labels"/>
    <s v="Classic Labels 215"/>
    <s v="Second Class"/>
    <s v="Second Class"/>
    <n v="2"/>
    <n v="2073.5300000000002"/>
    <n v="0.25"/>
    <n v="0.25"/>
    <s v="Valid"/>
    <n v="3110.3"/>
    <n v="2101.0300000000002"/>
    <n v="1009.27"/>
    <x v="0"/>
    <s v="Include"/>
    <s v=""/>
    <s v="Completed"/>
    <s v="Completed"/>
    <s v="Include"/>
  </r>
  <r>
    <s v="ORD-2024-10857"/>
    <n v="1"/>
    <s v=""/>
    <s v="2024-06-12"/>
    <d v="2024-06-12T00:00:00"/>
    <s v="19 Jun 2024"/>
    <d v="2024-06-19T00:00:00"/>
    <s v="Valid"/>
    <n v="7"/>
    <s v="Valid"/>
    <s v="CUST-5647"/>
    <s v="Rohan Mehta"/>
    <s v="Rohan Mehta"/>
    <s v="Home Office"/>
    <s v="Home Office"/>
    <x v="2"/>
    <s v="South"/>
    <s v="Tamil Nadu"/>
    <s v="Chennai"/>
    <s v="Office Supplies"/>
    <s v="Office Supplies"/>
    <s v="Storage"/>
    <s v="Classic Storage 918"/>
    <s v="Standard Class"/>
    <s v="Standard Class"/>
    <n v="4"/>
    <n v="395.1"/>
    <n v="-0.16"/>
    <n v="-0.16"/>
    <s v="Invalid Discount"/>
    <n v="1185.3"/>
    <n v="966.55"/>
    <n v="218.75"/>
    <x v="3"/>
    <s v="Exclude"/>
    <s v=""/>
    <s v="Cancelled"/>
    <s v="Cancelled"/>
    <s v="Exclude"/>
  </r>
  <r>
    <s v="ORD-2024-10858"/>
    <n v="1"/>
    <s v=""/>
    <s v="04 Jun 2024"/>
    <d v="2024-06-04T00:00:00"/>
    <s v="04-06-2024"/>
    <d v="2024-06-04T00:00:00"/>
    <s v="Valid"/>
    <n v="0"/>
    <s v="Valid"/>
    <s v="CUST-8575"/>
    <s v="Sneha Kapoor"/>
    <s v="Sneha Kapoor"/>
    <s v="Home Office"/>
    <s v="Home Office"/>
    <x v="2"/>
    <s v="South"/>
    <s v="Kerala"/>
    <s v="Kochi"/>
    <s v="Office Supplies"/>
    <s v="Office Supplies"/>
    <s v="Storage"/>
    <s v="Max Storage 223"/>
    <s v="First Class"/>
    <s v="First Class"/>
    <n v="6"/>
    <n v="2708.97"/>
    <n v="0.25"/>
    <n v="0.25"/>
    <s v="Valid"/>
    <n v="12190.36"/>
    <n v="10176.99"/>
    <n v="2013.37"/>
    <x v="0"/>
    <s v="Include"/>
    <s v=""/>
    <s v="Completed"/>
    <s v="Completed"/>
    <s v="Include"/>
  </r>
  <r>
    <s v="ORD-2024-10859"/>
    <n v="1"/>
    <s v=""/>
    <s v="05/02/2024"/>
    <d v="2024-05-02T00:00:00"/>
    <s v="09 May 2024"/>
    <d v="2024-05-09T00:00:00"/>
    <s v="Valid"/>
    <n v="7"/>
    <s v="Valid"/>
    <s v="CUST-9576"/>
    <s v="Arjun Bose"/>
    <s v="Arjun Bose"/>
    <s v="Consumer"/>
    <s v="Consumer"/>
    <x v="1"/>
    <s v="East"/>
    <s v="Odisha"/>
    <s v="Bhubaneswar"/>
    <s v="Technology"/>
    <s v="Technology"/>
    <s v="Accessories"/>
    <s v="Basic Accessories 602"/>
    <s v="Second Class"/>
    <s v="Second Class"/>
    <n v="4"/>
    <n v="2904.86"/>
    <n v="0"/>
    <n v="0"/>
    <s v="Valid"/>
    <n v="11619.44"/>
    <n v="7184.32"/>
    <n v="4494.6400000000003"/>
    <x v="0"/>
    <s v="Include"/>
    <s v=""/>
    <s v="Completed"/>
    <s v="Completed"/>
    <s v="Include"/>
  </r>
  <r>
    <s v="ORD-2024-10860"/>
    <n v="1"/>
    <s v=""/>
    <s v="10/27/2024"/>
    <d v="2024-10-27T00:00:00"/>
    <s v="2024-11-01"/>
    <d v="2024-11-01T00:00:00"/>
    <s v="Valid"/>
    <n v="5"/>
    <s v="Valid"/>
    <s v="CUST-2395"/>
    <s v="Aditi Sen"/>
    <s v="Aditi Sen"/>
    <s v="Corporate"/>
    <s v="Corporate"/>
    <x v="2"/>
    <s v="South"/>
    <s v="Tamil Nadu"/>
    <s v="Chennai"/>
    <s v="Technology"/>
    <s v="Technology"/>
    <s v="Phones"/>
    <s v="Elite Phones 394"/>
    <s v="Standard Class"/>
    <s v="Standard Class"/>
    <n v="6"/>
    <n v="4399.2"/>
    <n v="0.05"/>
    <n v="0.05"/>
    <s v="Valid"/>
    <n v="25075.439999999999"/>
    <n v="16282.74"/>
    <n v="8792.7000000000007"/>
    <x v="0"/>
    <s v="Include"/>
    <s v=""/>
    <s v="Completed"/>
    <s v="Completed"/>
    <s v="Include"/>
  </r>
  <r>
    <s v="ORD-2024-10861"/>
    <n v="1"/>
    <s v=""/>
    <s v="02 Feb 2024"/>
    <d v="2024-02-02T00:00:00"/>
    <s v="04 Feb 2024"/>
    <d v="2024-02-04T00:00:00"/>
    <s v="Valid"/>
    <n v="2"/>
    <s v="Valid"/>
    <s v="CUST-8941"/>
    <s v="Vikram Iyer"/>
    <s v="Vikram Iyer"/>
    <s v="Home Office"/>
    <s v="Home Office"/>
    <x v="0"/>
    <s v="North"/>
    <s v="Uttar Pradesh"/>
    <s v="Noida"/>
    <s v="Office Supplies"/>
    <s v="Office Supplies"/>
    <s v="Storage"/>
    <s v="Classic Storage 194"/>
    <s v="Second Class"/>
    <s v="Second Class"/>
    <n v="1"/>
    <n v="4397.32"/>
    <n v="0.05"/>
    <n v="0.05"/>
    <s v="Valid"/>
    <n v="4177.45"/>
    <n v="2299.5"/>
    <n v="1877.95"/>
    <x v="0"/>
    <s v="Include"/>
    <s v=""/>
    <s v="Completed"/>
    <s v="Completed"/>
    <s v="Include"/>
  </r>
  <r>
    <s v="ORD-2025-10862"/>
    <n v="1"/>
    <s v=""/>
    <s v="2025-03-08"/>
    <d v="2025-03-08T00:00:00"/>
    <s v="2025-03-09"/>
    <d v="2025-03-09T00:00:00"/>
    <s v="Valid"/>
    <n v="1"/>
    <s v="Valid"/>
    <s v="CUST-9448"/>
    <s v="Priya Menon"/>
    <s v="Priya Menon"/>
    <s v="Home Office"/>
    <s v="Home Office"/>
    <x v="0"/>
    <s v="North"/>
    <s v="Delhi"/>
    <s v="New Delhi"/>
    <s v="Furniture"/>
    <s v="Furniture"/>
    <s v="Furnishings"/>
    <s v="Smart Furnishings 892"/>
    <s v="Same Day"/>
    <s v="Same Day"/>
    <n v="4"/>
    <n v="3405.68"/>
    <n v="0.2"/>
    <n v="0.2"/>
    <s v="Valid"/>
    <n v="10898.18"/>
    <n v="6231.41"/>
    <n v="4666.7700000000004"/>
    <x v="0"/>
    <s v="Include"/>
    <s v=""/>
    <s v="Completed"/>
    <s v="Completed"/>
    <s v="Include"/>
  </r>
  <r>
    <s v="ORD-2025-10863"/>
    <n v="1"/>
    <s v=""/>
    <s v="2025-03-26"/>
    <d v="2025-03-26T00:00:00"/>
    <s v="31-03-2025"/>
    <d v="2025-03-31T00:00:00"/>
    <s v="Valid"/>
    <n v="5"/>
    <s v="Valid"/>
    <s v="CUST-8354"/>
    <s v="Priya Menon"/>
    <s v="Priya Menon"/>
    <s v="Small Business"/>
    <s v="Small Business"/>
    <x v="1"/>
    <s v="East"/>
    <s v="Jharkhand"/>
    <s v="Ranchi"/>
    <s v="Office Supplies"/>
    <s v="Office Supplies"/>
    <s v="Binders"/>
    <s v="Pro Binders 488"/>
    <s v="First Class"/>
    <s v="First Class"/>
    <n v="5"/>
    <n v="1395.14"/>
    <n v="0"/>
    <n v="0"/>
    <s v="Valid"/>
    <n v="6975.7"/>
    <n v="4797.88"/>
    <n v="2177.8200000000002"/>
    <x v="0"/>
    <s v="Exclude"/>
    <s v=""/>
    <s v="Cancelled"/>
    <s v="Cancelled"/>
    <s v="Exclude"/>
  </r>
  <r>
    <s v="ORD-2025-10864"/>
    <n v="1"/>
    <s v=""/>
    <s v="09/06/2025"/>
    <d v="2025-09-06T00:00:00"/>
    <s v="09/08/2025"/>
    <d v="2025-09-08T00:00:00"/>
    <s v="Valid"/>
    <n v="2"/>
    <s v="Valid"/>
    <s v="CUST-2200"/>
    <s v="Aarav Sharma"/>
    <s v="Aarav Sharma"/>
    <s v="Home Office"/>
    <s v="Home Office"/>
    <x v="3"/>
    <s v="West"/>
    <s v="Madhya Pradesh"/>
    <s v="Indore"/>
    <s v="Furniture"/>
    <s v="Furniture"/>
    <s v="Furnishings"/>
    <s v="Prime Furnishings 679"/>
    <s v="Same Day"/>
    <s v="Same Day"/>
    <n v="3"/>
    <n v="2937.23"/>
    <n v="0"/>
    <n v="0"/>
    <s v="Valid"/>
    <n v="8811.69"/>
    <n v="6765.91"/>
    <n v="2045.78"/>
    <x v="0"/>
    <s v="Include"/>
    <s v=""/>
    <s v="Completed"/>
    <s v="Completed"/>
    <s v="Include"/>
  </r>
  <r>
    <s v="ORD-2025-10865"/>
    <n v="1"/>
    <s v=""/>
    <s v="02 Sep 2025"/>
    <d v="2025-09-02T00:00:00"/>
    <s v="05-09-2025"/>
    <d v="2025-09-05T00:00:00"/>
    <s v="Valid"/>
    <n v="3"/>
    <s v="Valid"/>
    <s v="CUST-1178"/>
    <s v="Vikram Iyer"/>
    <s v="Vikram Iyer"/>
    <s v="Consumer"/>
    <s v="Consumer"/>
    <x v="2"/>
    <s v="South"/>
    <s v="Tamil Nadu"/>
    <s v="Chennai"/>
    <s v="Technology"/>
    <s v="Technology"/>
    <s v="Phones"/>
    <s v="Smart Phones 158"/>
    <s v="First Class"/>
    <s v="First Class"/>
    <n v="5"/>
    <n v="3406.87"/>
    <n v="0"/>
    <n v="0"/>
    <s v="Valid"/>
    <n v="17034.349999999999"/>
    <n v="14631.36"/>
    <n v="2402.9899999999998"/>
    <x v="0"/>
    <s v="Include"/>
    <s v=""/>
    <s v="Completed"/>
    <s v="Completed"/>
    <s v="Include"/>
  </r>
  <r>
    <s v="ORD-2025-10866"/>
    <n v="1"/>
    <s v=""/>
    <s v="06-02-2025"/>
    <d v="2025-02-06T00:00:00"/>
    <s v="14-02-2025"/>
    <d v="2025-02-14T00:00:00"/>
    <s v="Valid"/>
    <n v="8"/>
    <s v="Valid"/>
    <s v="CUST-8099"/>
    <s v="Kabir Singh"/>
    <s v="Kabir Singh"/>
    <s v="Consumer"/>
    <s v="Consumer"/>
    <x v="3"/>
    <s v="West"/>
    <s v="Maharashtra"/>
    <s v="Mumbai"/>
    <s v="Office Supplies"/>
    <s v="Office Supplies"/>
    <s v="Labels"/>
    <s v="Classic Labels 218"/>
    <s v="Second Class"/>
    <s v="Second Class"/>
    <n v="2"/>
    <n v="3992.04"/>
    <n v="0"/>
    <n v="0"/>
    <s v="Valid"/>
    <n v="7984.08"/>
    <n v="5658.05"/>
    <n v="2326.0300000000002"/>
    <x v="0"/>
    <s v="Include"/>
    <s v=""/>
    <s v="Completed"/>
    <s v="Completed"/>
    <s v="Include"/>
  </r>
  <r>
    <s v="ORD-2025-10867"/>
    <n v="1"/>
    <s v=""/>
    <s v="02/26/2025"/>
    <d v="2025-02-26T00:00:00"/>
    <s v="2025-03-06"/>
    <d v="2025-03-06T00:00:00"/>
    <s v="Valid"/>
    <n v="8"/>
    <s v="Valid"/>
    <s v="CUST-7596"/>
    <s v="Priya Menon"/>
    <s v="Priya Menon"/>
    <s v="Consumer"/>
    <s v="Consumer"/>
    <x v="1"/>
    <s v="East"/>
    <s v="Bihar"/>
    <s v="Patna"/>
    <s v="Furniture"/>
    <s v="Furniture"/>
    <s v="Bookcases"/>
    <s v="Smart Bookcases 552"/>
    <s v="First Class"/>
    <s v="First Class"/>
    <n v="9"/>
    <n v="3043.37"/>
    <n v="0.2"/>
    <n v="0.2"/>
    <s v="Valid"/>
    <n v="21912.26"/>
    <n v="16367.78"/>
    <n v="5544.48"/>
    <x v="2"/>
    <s v="Exclude"/>
    <s v=""/>
    <s v="Cancelled"/>
    <s v="Cancelled"/>
    <s v="Exclude"/>
  </r>
  <r>
    <s v="ORD-2024-10868"/>
    <n v="1"/>
    <s v=""/>
    <s v="21 Nov 2024"/>
    <d v="2024-11-21T00:00:00"/>
    <s v="22 Nov 2024"/>
    <d v="2024-11-22T00:00:00"/>
    <s v="Valid"/>
    <n v="1"/>
    <s v="Valid"/>
    <s v="CUST-2328"/>
    <s v="Rahul Verma"/>
    <s v="Rahul Verma"/>
    <s v="Home Office"/>
    <s v="Home Office"/>
    <x v="2"/>
    <s v="South"/>
    <s v="Andhra Pradesh"/>
    <s v="Vijayawada"/>
    <s v="Technology"/>
    <s v="Technology"/>
    <s v="Accessories"/>
    <s v="Eco Accessories 389"/>
    <s v="Same Day"/>
    <s v="Same Day"/>
    <n v="6"/>
    <n v="1043.49"/>
    <n v="0.25"/>
    <n v="0.25"/>
    <s v="Valid"/>
    <n v="4695.7"/>
    <n v="3871.69"/>
    <n v="824.01"/>
    <x v="3"/>
    <s v="Exclude"/>
    <s v=""/>
    <s v="Cancelled"/>
    <s v="Cancelled"/>
    <s v="Exclude"/>
  </r>
  <r>
    <s v="ORD-2025-10869"/>
    <n v="1"/>
    <s v=""/>
    <s v="11-04-2025"/>
    <d v="2025-04-11T00:00:00"/>
    <s v="2025-04-15"/>
    <d v="2025-04-15T00:00:00"/>
    <s v="Valid"/>
    <n v="4"/>
    <s v="Valid"/>
    <s v="CUST-8483"/>
    <s v="Vikram Iyer"/>
    <s v="Vikram Iyer"/>
    <s v="Home Office"/>
    <s v="Home Office"/>
    <x v="2"/>
    <s v="South"/>
    <s v="Karnataka"/>
    <s v="Bengaluru"/>
    <s v="Office Supplies"/>
    <s v="Office Supplies"/>
    <s v="Storage"/>
    <s v="Elite Storage 187"/>
    <s v="Same Day"/>
    <s v="Same Day"/>
    <n v="9"/>
    <n v="224.94"/>
    <n v="0.05"/>
    <n v="0.05"/>
    <s v="Valid"/>
    <n v="1923.24"/>
    <n v="1093.6600000000001"/>
    <n v="829.58"/>
    <x v="0"/>
    <s v="Include"/>
    <s v=""/>
    <s v="Completed"/>
    <s v="Completed"/>
    <s v="Include"/>
  </r>
  <r>
    <s v="ORD-2025-10870"/>
    <n v="1"/>
    <s v=""/>
    <s v="03/06/2025"/>
    <d v="2025-03-06T00:00:00"/>
    <s v="07-03-2025"/>
    <d v="2025-03-07T00:00:00"/>
    <s v="Valid"/>
    <n v="1"/>
    <s v="Valid"/>
    <s v="CUST-2388"/>
    <s v="Rohan Mehta"/>
    <s v="Rohan Mehta"/>
    <s v="Home Office"/>
    <s v="Home Office"/>
    <x v="4"/>
    <s v="Unknown"/>
    <s v="Delhi"/>
    <s v="New Delhi"/>
    <s v="Furniture"/>
    <s v="Furniture"/>
    <s v="Chairs"/>
    <s v="Max Chairs 487"/>
    <s v="Same Day"/>
    <s v="Same Day"/>
    <n v="6"/>
    <n v="796.65"/>
    <n v="0.1"/>
    <n v="0.1"/>
    <s v="Valid"/>
    <n v="4301.91"/>
    <n v="2374.4"/>
    <n v="1927.51"/>
    <x v="0"/>
    <s v="Include"/>
    <s v=""/>
    <s v="Completed"/>
    <s v="Completed"/>
    <s v="Include"/>
  </r>
  <r>
    <s v="ORD-2025-10871"/>
    <n v="1"/>
    <s v=""/>
    <s v="06 Jun 2025"/>
    <d v="2025-06-06T00:00:00"/>
    <s v="07 Jun 2025"/>
    <d v="2025-06-07T00:00:00"/>
    <s v="Valid"/>
    <n v="1"/>
    <s v="Valid"/>
    <s v="CUST-7054"/>
    <s v="Vikram Iyer"/>
    <s v="Vikram Iyer"/>
    <s v="Corporate"/>
    <s v="Corporate"/>
    <x v="3"/>
    <s v="West"/>
    <s v="Goa"/>
    <s v="Panaji"/>
    <s v="Furniture"/>
    <s v="Furniture"/>
    <s v="Tables"/>
    <s v="Max Tables 281"/>
    <s v="Standard Class"/>
    <s v="Standard Class"/>
    <n v="9"/>
    <n v="2932.92"/>
    <n v="0.15"/>
    <n v="0.15"/>
    <s v="Valid"/>
    <n v="22436.84"/>
    <n v="17454.669999999998"/>
    <n v="4982.17"/>
    <x v="0"/>
    <s v="Exclude"/>
    <s v=""/>
    <s v="Cancelled"/>
    <s v="Cancelled"/>
    <s v="Exclude"/>
  </r>
  <r>
    <s v="ORD-2024-10872"/>
    <n v="1"/>
    <s v=""/>
    <s v="02/20/2024"/>
    <d v="2024-02-20T00:00:00"/>
    <s v="2024-02-22"/>
    <d v="2024-02-22T00:00:00"/>
    <s v="Valid"/>
    <n v="2"/>
    <s v="Valid"/>
    <s v="CUST-4375"/>
    <s v="Neha Gupta"/>
    <s v="Neha Gupta"/>
    <s v="Small Business"/>
    <s v="Small Business"/>
    <x v="2"/>
    <s v="South"/>
    <s v="Telangana"/>
    <s v="Hyderabad"/>
    <s v="Technology"/>
    <s v="Technology"/>
    <s v="Accessories"/>
    <s v="Pro Accessories 325"/>
    <s v="First Class"/>
    <s v="First Class"/>
    <n v="9"/>
    <n v="2186.23"/>
    <n v="0"/>
    <n v="0"/>
    <s v="Valid"/>
    <n v="19676.07"/>
    <n v="12458.62"/>
    <n v="7217.45"/>
    <x v="1"/>
    <s v="Exclude"/>
    <s v="Refunded Order"/>
    <s v="Cancelled"/>
    <s v="Cancelled"/>
    <s v="Exclude"/>
  </r>
  <r>
    <s v="ORD-2024-10873"/>
    <n v="1"/>
    <s v=""/>
    <s v="11/01/2024"/>
    <d v="2024-11-01T00:00:00"/>
    <s v="02 Nov 2024"/>
    <d v="2024-11-02T00:00:00"/>
    <s v="Valid"/>
    <n v="1"/>
    <s v="Valid"/>
    <s v="CUST-6262"/>
    <s v="Karan Malhotra"/>
    <s v="Karan Malhotra"/>
    <s v="Corporate"/>
    <s v="Corporate"/>
    <x v="1"/>
    <s v="East"/>
    <s v="West Bengal"/>
    <s v="Kolkata"/>
    <s v="Furniture"/>
    <s v="Furniture"/>
    <s v="Furnishings"/>
    <s v="Prime Furnishings 178"/>
    <s v="Standard Class"/>
    <s v="Standard Class"/>
    <n v="5"/>
    <n v="2212.02"/>
    <n v="0.2"/>
    <n v="0.2"/>
    <s v="Valid"/>
    <n v="8848.08"/>
    <n v="5691.56"/>
    <n v="3156.52"/>
    <x v="0"/>
    <s v="Include"/>
    <s v=""/>
    <s v="Completed"/>
    <s v="Completed"/>
    <s v="Include"/>
  </r>
  <r>
    <s v="ORD-2025-10874"/>
    <n v="1"/>
    <s v=""/>
    <s v="01 Feb 2025"/>
    <d v="2025-02-01T00:00:00"/>
    <s v="08-02-2025"/>
    <d v="2025-02-08T00:00:00"/>
    <s v="Valid"/>
    <n v="7"/>
    <s v="Valid"/>
    <s v="CUST-8160"/>
    <s v="Aditi Sen"/>
    <s v="Aditi Sen"/>
    <s v="Home Office"/>
    <s v="Home Office"/>
    <x v="3"/>
    <s v="West"/>
    <s v="Gujarat"/>
    <s v="Ahmedabad"/>
    <s v="Office Supplies"/>
    <s v="Office Supplies"/>
    <s v="Storage"/>
    <s v="Elite Storage 144"/>
    <s v="Second Class"/>
    <s v="Second Class"/>
    <n v="8"/>
    <n v="623.30999999999995"/>
    <n v="0.1"/>
    <n v="0.1"/>
    <s v="Valid"/>
    <n v="4487.83"/>
    <n v="2633.78"/>
    <n v="1854.05"/>
    <x v="0"/>
    <s v="Include"/>
    <s v=""/>
    <s v="Completed"/>
    <s v="Completed"/>
    <s v="Include"/>
  </r>
  <r>
    <s v="ORD-2025-10875"/>
    <n v="1"/>
    <s v=""/>
    <s v="15 Jul 2025"/>
    <d v="2025-07-15T00:00:00"/>
    <s v="16 Jul 2025"/>
    <d v="2025-07-16T00:00:00"/>
    <s v="Valid"/>
    <n v="1"/>
    <s v="Valid"/>
    <s v="CUST-8770"/>
    <s v="Vikram Iyer"/>
    <s v="Vikram Iyer"/>
    <s v="Small Business"/>
    <s v="Small Business"/>
    <x v="3"/>
    <s v="West"/>
    <s v="Maharashtra"/>
    <s v="Mumbai"/>
    <s v="Office Supplies"/>
    <s v="Office Supplies"/>
    <s v="Paper"/>
    <s v="Elite Paper 309"/>
    <s v="Standard Class"/>
    <s v="Standard Class"/>
    <n v="8"/>
    <n v="3924.88"/>
    <n v="0.05"/>
    <n v="0.05"/>
    <s v="Valid"/>
    <n v="29829.09"/>
    <n v="20710.18"/>
    <n v="9118.91"/>
    <x v="0"/>
    <s v="Include"/>
    <s v=""/>
    <s v="Completed"/>
    <s v="Completed"/>
    <s v="Include"/>
  </r>
  <r>
    <s v="ORD-2024-10876"/>
    <n v="1"/>
    <s v=""/>
    <s v="10 Aug 2024"/>
    <d v="2024-08-10T00:00:00"/>
    <s v="08/11/2024"/>
    <d v="2024-08-11T00:00:00"/>
    <s v="Valid"/>
    <n v="1"/>
    <s v="Valid"/>
    <s v="CUST-6928"/>
    <s v="Mira Das"/>
    <s v="Mira Das"/>
    <s v="Corporate"/>
    <s v="Corporate"/>
    <x v="3"/>
    <s v="West"/>
    <s v="Maharashtra"/>
    <s v="Mumbai"/>
    <s v="Technology"/>
    <s v="Technology"/>
    <s v="Copiers"/>
    <s v="Elite Copiers 752"/>
    <s v="First Class"/>
    <s v="First Class"/>
    <n v="7"/>
    <n v="3852.62"/>
    <n v="0.2"/>
    <n v="0.2"/>
    <s v="Valid"/>
    <n v="21574.67"/>
    <n v="14672.83"/>
    <n v="6901.84"/>
    <x v="0"/>
    <s v="Include"/>
    <s v=""/>
    <s v="Completed"/>
    <s v="Completed"/>
    <s v="Include"/>
  </r>
  <r>
    <s v="ORD-2024-10877"/>
    <n v="1"/>
    <s v=""/>
    <s v="11/18/2024"/>
    <d v="2024-11-18T00:00:00"/>
    <s v="20-11-2024"/>
    <d v="2024-11-20T00:00:00"/>
    <s v="Valid"/>
    <n v="2"/>
    <s v="Valid"/>
    <s v="CUST-9044"/>
    <s v="Priya Menon"/>
    <s v="Priya Menon"/>
    <s v="Consumer"/>
    <s v="Consumer"/>
    <x v="3"/>
    <s v="West"/>
    <s v="Rajasthan"/>
    <s v="Udaipur"/>
    <s v="Furniture"/>
    <s v="Furniture"/>
    <s v="Chairs"/>
    <s v="Pro Chairs 316"/>
    <s v="First Class"/>
    <s v="First Class"/>
    <n v="6"/>
    <n v="3790.22"/>
    <n v="0"/>
    <n v="0"/>
    <s v="Valid"/>
    <n v="22741.32"/>
    <n v="16388.57"/>
    <n v="6352.75"/>
    <x v="0"/>
    <s v="Include"/>
    <s v=""/>
    <s v="Completed"/>
    <s v="Completed"/>
    <s v="Include"/>
  </r>
  <r>
    <s v="ORD-2025-10878"/>
    <n v="1"/>
    <s v=""/>
    <s v="26-08-2025"/>
    <d v="2025-08-26T00:00:00"/>
    <s v="2025-09-03"/>
    <d v="2025-09-03T00:00:00"/>
    <s v="Valid"/>
    <n v="8"/>
    <s v="Valid"/>
    <s v="CUST-7146"/>
    <s v="Aarav Sharma"/>
    <s v="Aarav Sharma"/>
    <s v="Consumer"/>
    <s v="Consumer"/>
    <x v="3"/>
    <s v="West"/>
    <s v="Rajasthan"/>
    <s v="Udaipur"/>
    <s v="Office Supplies"/>
    <s v="Office Supplies"/>
    <s v="Storage"/>
    <s v="Max Storage 438"/>
    <s v="Second Class"/>
    <s v="Second Class"/>
    <n v="6"/>
    <n v="674.36"/>
    <n v="0.1"/>
    <n v="0.1"/>
    <s v="Valid"/>
    <n v="3641.54"/>
    <n v="2690.37"/>
    <n v="951.17"/>
    <x v="0"/>
    <s v="Include"/>
    <s v=""/>
    <s v="Completed"/>
    <s v="Completed"/>
    <s v="Include"/>
  </r>
  <r>
    <s v="ORD-2024-10879"/>
    <n v="1"/>
    <s v=""/>
    <s v="2024-01-22"/>
    <d v="2024-01-22T00:00:00"/>
    <s v="2024-01-22"/>
    <d v="2024-01-22T00:00:00"/>
    <s v="Valid"/>
    <n v="0"/>
    <s v="Valid"/>
    <s v="CUST-8534"/>
    <s v="Karan Malhotra"/>
    <s v="Karan Malhotra"/>
    <s v="Corporate"/>
    <s v="Corporate"/>
    <x v="1"/>
    <s v="East"/>
    <s v="West Bengal"/>
    <s v="Kolkata"/>
    <s v="Office Supplies"/>
    <s v="Office Supplies"/>
    <s v="Paper"/>
    <s v="Basic Paper 904"/>
    <s v="First Class"/>
    <s v="First Class"/>
    <n v="8"/>
    <n v="1557.21"/>
    <n v="0.05"/>
    <n v="0.05"/>
    <s v="Valid"/>
    <n v="11834.8"/>
    <n v="9322.36"/>
    <n v="2512.44"/>
    <x v="0"/>
    <s v="Include"/>
    <s v=""/>
    <s v="Completed"/>
    <s v="Completed"/>
    <s v="Include"/>
  </r>
  <r>
    <s v="ORD-2025-10880"/>
    <n v="1"/>
    <s v=""/>
    <s v="2025-08-27"/>
    <d v="2025-08-27T00:00:00"/>
    <s v="08/28/2025"/>
    <d v="2025-08-28T00:00:00"/>
    <s v="Valid"/>
    <n v="1"/>
    <s v="Valid"/>
    <s v="CUST-4486"/>
    <s v="Ananya Rao"/>
    <s v="Ananya Rao"/>
    <s v="Home Office"/>
    <s v="Home Office"/>
    <x v="0"/>
    <s v="North"/>
    <s v="Uttar Pradesh"/>
    <s v="Noida"/>
    <s v="Office Supplies"/>
    <s v="Office Supplies"/>
    <s v="Art"/>
    <s v="Smart Art 990"/>
    <s v="Standard Class"/>
    <s v="Standard Class"/>
    <n v="6"/>
    <n v="1182.03"/>
    <n v="0.15"/>
    <n v="0.15"/>
    <s v="Valid"/>
    <n v="6028.35"/>
    <n v="4433.63"/>
    <n v="1594.72"/>
    <x v="0"/>
    <s v="Include"/>
    <s v=""/>
    <s v="Completed"/>
    <s v="Completed"/>
    <s v="Include"/>
  </r>
  <r>
    <s v="ORD-2024-10881"/>
    <n v="1"/>
    <s v=""/>
    <s v="08-03-2024"/>
    <d v="2024-03-08T00:00:00"/>
    <s v="03/15/2024"/>
    <d v="2024-03-15T00:00:00"/>
    <s v="Valid"/>
    <n v="7"/>
    <s v="Valid"/>
    <s v="CUST-5287"/>
    <s v="Aarav Sharma"/>
    <s v="Aarav Sharma"/>
    <s v="Small Business"/>
    <s v="Small Business"/>
    <x v="4"/>
    <s v="Unknown"/>
    <s v="Punjab"/>
    <s v="Ludhiana"/>
    <s v="Furniture"/>
    <s v="Furniture"/>
    <s v="Chairs"/>
    <s v="Basic Chairs 327"/>
    <s v="First Class"/>
    <s v="First Class"/>
    <n v="5"/>
    <n v="3234.77"/>
    <n v="0"/>
    <n v="0"/>
    <s v="Valid"/>
    <n v="16173.85"/>
    <n v="13636.34"/>
    <n v="2537.5100000000002"/>
    <x v="0"/>
    <s v="Include"/>
    <s v=""/>
    <s v="Completed"/>
    <s v="Completed"/>
    <s v="Include"/>
  </r>
  <r>
    <s v="ORD-2024-10882"/>
    <n v="1"/>
    <s v=""/>
    <s v="01 Dec 2024"/>
    <d v="2024-12-01T00:00:00"/>
    <s v="05-12-2024"/>
    <d v="2024-12-05T00:00:00"/>
    <s v="Valid"/>
    <n v="4"/>
    <s v="Valid"/>
    <s v="CUST-3445"/>
    <s v="Ananya Rao"/>
    <s v="Ananya Rao"/>
    <s v="Small Business"/>
    <s v="Small Business"/>
    <x v="2"/>
    <s v="South"/>
    <s v="Andhra Pradesh"/>
    <s v="Vijayawada"/>
    <s v="Technology"/>
    <s v="Technology"/>
    <s v="Copiers"/>
    <s v="Eco Copiers 987"/>
    <s v="Second Class"/>
    <s v="Second Class"/>
    <n v="9"/>
    <n v="3726.75"/>
    <n v="0.25"/>
    <n v="0.25"/>
    <s v="Valid"/>
    <n v="25155.56"/>
    <n v="17592.689999999999"/>
    <n v="7562.87"/>
    <x v="0"/>
    <s v="Include"/>
    <s v=""/>
    <s v="Completed"/>
    <s v="Completed"/>
    <s v="Include"/>
  </r>
  <r>
    <s v="ORD-2025-10883"/>
    <n v="1"/>
    <s v=""/>
    <s v="02 Feb 2025"/>
    <d v="2025-02-02T00:00:00"/>
    <s v="02/10/2025"/>
    <d v="2025-02-10T00:00:00"/>
    <s v="Valid"/>
    <n v="8"/>
    <s v="Valid"/>
    <s v="CUST-4983"/>
    <s v="Sneha Kapoor"/>
    <s v="Sneha Kapoor"/>
    <s v="Corporate"/>
    <s v="Corporate"/>
    <x v="1"/>
    <s v="East"/>
    <s v="Bihar"/>
    <s v="Patna"/>
    <s v="Technology"/>
    <s v="Technology"/>
    <s v="Accessories"/>
    <s v="Basic Accessories 607"/>
    <s v="Standard Class"/>
    <s v="Standard Class"/>
    <n v="4"/>
    <n v="1912.45"/>
    <n v="0"/>
    <n v="0"/>
    <s v="Valid"/>
    <n v="7649.8"/>
    <n v="4894.53"/>
    <n v="2755.27"/>
    <x v="2"/>
    <s v="Include"/>
    <s v=""/>
    <s v="Returned"/>
    <s v="Returned"/>
    <s v="Include"/>
  </r>
  <r>
    <s v="ORD-2025-10884"/>
    <n v="1"/>
    <s v=""/>
    <s v="28 Apr 2025"/>
    <d v="2025-04-28T00:00:00"/>
    <s v="05/01/2025"/>
    <d v="2025-05-01T00:00:00"/>
    <s v="Valid"/>
    <n v="3"/>
    <s v="Valid"/>
    <s v="CUST-2597"/>
    <s v="Aarav Sharma"/>
    <s v="Aarav Sharma"/>
    <s v="Small Business"/>
    <s v="Small Business"/>
    <x v="3"/>
    <s v="West"/>
    <s v="Goa"/>
    <s v="Panaji"/>
    <s v="Office Supplies"/>
    <s v="Office Supplies"/>
    <s v="Storage"/>
    <s v="Classic Storage 211"/>
    <s v="Same Day"/>
    <s v="Same Day"/>
    <n v="1"/>
    <n v="1620.87"/>
    <n v="0"/>
    <n v="0"/>
    <s v="Valid"/>
    <n v="1620.87"/>
    <n v="1103.6099999999999"/>
    <n v="517.26"/>
    <x v="0"/>
    <s v="Include"/>
    <s v=""/>
    <s v="Completed"/>
    <s v="Completed"/>
    <s v="Include"/>
  </r>
  <r>
    <s v="ORD-2025-10885"/>
    <n v="1"/>
    <s v=""/>
    <s v="18-01-2025"/>
    <d v="2025-01-18T00:00:00"/>
    <s v="2025-01-25"/>
    <d v="2025-01-25T00:00:00"/>
    <s v="Valid"/>
    <n v="7"/>
    <s v="Valid"/>
    <s v="CUST-7505"/>
    <s v="Neha Gupta"/>
    <s v="Neha Gupta"/>
    <s v="Home Office"/>
    <s v="Home Office"/>
    <x v="2"/>
    <s v="South"/>
    <s v="Karnataka"/>
    <s v="Bengaluru"/>
    <s v="Office Supplies"/>
    <s v="Office Supplies"/>
    <s v="Storage"/>
    <s v="Eco Storage 783"/>
    <s v="Same Day"/>
    <s v="Same Day"/>
    <n v="2"/>
    <n v="2098.54"/>
    <n v="0.15"/>
    <n v="0.15"/>
    <s v="Valid"/>
    <n v="3567.52"/>
    <n v="2411.8000000000002"/>
    <n v="1155.72"/>
    <x v="0"/>
    <s v="Include"/>
    <s v=""/>
    <s v="Completed"/>
    <s v="Completed"/>
    <s v="Include"/>
  </r>
  <r>
    <s v="ORD-2024-10886"/>
    <n v="1"/>
    <s v=""/>
    <s v="2024-01-05"/>
    <d v="2024-01-05T00:00:00"/>
    <s v="2024-01-05"/>
    <d v="2024-01-05T00:00:00"/>
    <s v="Valid"/>
    <n v="0"/>
    <s v="Valid"/>
    <s v="CUST-3446"/>
    <s v="Diya Patel"/>
    <s v="Diya Patel"/>
    <s v="Consumer"/>
    <s v="Consumer"/>
    <x v="0"/>
    <s v="North"/>
    <s v="Rajasthan"/>
    <s v="Jaipur"/>
    <s v="Furniture"/>
    <s v="Furniture"/>
    <s v="Tables"/>
    <s v="Pro Tables 866"/>
    <s v="Standard Class"/>
    <s v="Standard Class"/>
    <n v="1"/>
    <n v="2167.08"/>
    <n v="0.25"/>
    <n v="0.25"/>
    <s v="Valid"/>
    <n v="1625.31"/>
    <n v="1157.8900000000001"/>
    <n v="467.42"/>
    <x v="0"/>
    <s v="Include"/>
    <s v=""/>
    <s v="Completed"/>
    <s v="Completed"/>
    <s v="Include"/>
  </r>
  <r>
    <s v="ORD-2025-10887"/>
    <n v="1"/>
    <s v=""/>
    <s v="26-04-2025"/>
    <d v="2025-04-26T00:00:00"/>
    <s v="03-05-2025"/>
    <d v="2025-05-03T00:00:00"/>
    <s v="Valid"/>
    <n v="7"/>
    <s v="Valid"/>
    <s v="CUST-3549"/>
    <s v="Arjun Bose"/>
    <s v="Arjun Bose"/>
    <s v="Home Office"/>
    <s v="Home Office"/>
    <x v="2"/>
    <s v="South"/>
    <s v="Tamil Nadu"/>
    <s v="Chennai"/>
    <s v="Technology"/>
    <s v="Technology"/>
    <s v="Accessories"/>
    <s v="Max Accessories 541"/>
    <s v="First Class"/>
    <s v="First Class"/>
    <n v="7"/>
    <n v="3989.9"/>
    <n v="0.15"/>
    <n v="0.15"/>
    <s v="Valid"/>
    <n v="23739.9"/>
    <n v="17716.52"/>
    <n v="6023.38"/>
    <x v="0"/>
    <s v="Exclude"/>
    <s v=""/>
    <s v="Cancelled"/>
    <s v="Cancelled"/>
    <s v="Exclude"/>
  </r>
  <r>
    <s v="ORD-2024-10888"/>
    <n v="1"/>
    <s v=""/>
    <s v="2024-06-12"/>
    <d v="2024-06-12T00:00:00"/>
    <s v="2024-06-18"/>
    <d v="2024-06-18T00:00:00"/>
    <s v="Valid"/>
    <n v="6"/>
    <s v="Valid"/>
    <s v="CUST-2795"/>
    <s v="Aarav Sharma"/>
    <s v="Aarav Sharma"/>
    <s v="Small Business"/>
    <s v="Small Business"/>
    <x v="2"/>
    <s v="South"/>
    <s v="Andhra Pradesh"/>
    <s v="Vijayawada"/>
    <s v="Office Supplies"/>
    <s v="Office Supplies"/>
    <s v="Art"/>
    <s v="Prime Art 596"/>
    <s v="Standard Class"/>
    <s v="Standard Class"/>
    <n v="4"/>
    <n v="4176.13"/>
    <n v="0"/>
    <n v="0"/>
    <s v="Valid"/>
    <n v="16704.52"/>
    <n v="10158.280000000001"/>
    <n v="6546.24"/>
    <x v="0"/>
    <s v="Include"/>
    <s v=""/>
    <s v="Completed"/>
    <s v="Completed"/>
    <s v="Include"/>
  </r>
  <r>
    <s v="ORD-2025-10889"/>
    <n v="1"/>
    <s v=""/>
    <s v="06-08-2025"/>
    <d v="2025-08-06T00:00:00"/>
    <s v="07-08-2025"/>
    <d v="2025-08-07T00:00:00"/>
    <s v="Valid"/>
    <n v="1"/>
    <s v="Valid"/>
    <s v="CUST-1081"/>
    <s v="Rahul Verma"/>
    <s v="Rahul Verma"/>
    <s v="Small Business"/>
    <s v="Small Business"/>
    <x v="3"/>
    <s v="West"/>
    <s v="Maharashtra"/>
    <s v="Mumbai"/>
    <s v="Office Supplies"/>
    <s v="Office Supplies"/>
    <s v="Art"/>
    <s v="Pro Art 620"/>
    <s v="Standard Class"/>
    <s v="Standard Class"/>
    <n v="4"/>
    <n v="3523.64"/>
    <n v="0.1"/>
    <n v="0.1"/>
    <s v="Valid"/>
    <n v="12685.1"/>
    <n v="10779.56"/>
    <n v="1905.54"/>
    <x v="1"/>
    <s v="Exclude"/>
    <s v="Refunded Order"/>
    <s v="Cancelled"/>
    <s v="Cancelled"/>
    <s v="Exclude"/>
  </r>
  <r>
    <s v="ORD-2025-10890"/>
    <n v="1"/>
    <s v=""/>
    <s v="10 Mar 2025"/>
    <d v="2025-03-10T00:00:00"/>
    <s v="03/11/2025"/>
    <d v="2025-03-11T00:00:00"/>
    <s v="Valid"/>
    <n v="1"/>
    <s v="Valid"/>
    <s v="CUST-8467"/>
    <s v="Aditi Sen"/>
    <s v="Aditi Sen"/>
    <s v="Home Office"/>
    <s v="Home Office"/>
    <x v="3"/>
    <s v="West"/>
    <s v="Madhya Pradesh"/>
    <s v="Indore"/>
    <s v="Office Supplies"/>
    <s v="Office Supplies"/>
    <s v="Storage"/>
    <s v="Prime Storage 806"/>
    <s v="First Class"/>
    <s v="First Class"/>
    <n v="2"/>
    <n v="3922.08"/>
    <n v="0.25"/>
    <n v="0.25"/>
    <s v="Valid"/>
    <n v="5883.12"/>
    <n v="4647.91"/>
    <n v="1235.21"/>
    <x v="0"/>
    <s v="Include"/>
    <s v=""/>
    <s v="Returned"/>
    <s v="Returned"/>
    <s v="Include"/>
  </r>
  <r>
    <s v="ORD-2024-10891"/>
    <n v="1"/>
    <s v=""/>
    <s v="15-05-2024"/>
    <d v="2024-05-15T00:00:00"/>
    <s v="21-05-2024"/>
    <d v="2024-05-21T00:00:00"/>
    <s v="Valid"/>
    <n v="6"/>
    <s v="Valid"/>
    <s v="CUST-3992"/>
    <s v="Karan Malhotra"/>
    <s v="Karan Malhotra"/>
    <s v="Consumer"/>
    <s v="Consumer"/>
    <x v="3"/>
    <s v="West"/>
    <s v="Goa"/>
    <s v="Panaji"/>
    <s v="Office Supplies"/>
    <s v="Office Supplies"/>
    <s v="Storage"/>
    <s v="Smart Storage 288"/>
    <s v="Standard Class"/>
    <s v="Standard Class"/>
    <n v="6"/>
    <n v="2909.56"/>
    <n v="0.2"/>
    <n v="0.2"/>
    <s v="Valid"/>
    <n v="13965.89"/>
    <n v="11646.12"/>
    <n v="2319.77"/>
    <x v="0"/>
    <s v="Include"/>
    <s v=""/>
    <s v="Completed"/>
    <s v="Completed"/>
    <s v="Include"/>
  </r>
  <r>
    <s v="ORD-2024-10892"/>
    <n v="1"/>
    <s v=""/>
    <s v="08 Oct 2024"/>
    <d v="2024-10-08T00:00:00"/>
    <s v="09-10-2024"/>
    <d v="2024-10-09T00:00:00"/>
    <s v="Valid"/>
    <n v="1"/>
    <s v="Valid"/>
    <s v="CUST-6647"/>
    <s v="Kabir Singh"/>
    <s v="Kabir Singh"/>
    <s v="Corporate"/>
    <s v="Corporate"/>
    <x v="2"/>
    <s v="South"/>
    <s v="Tamil Nadu"/>
    <s v="Chennai"/>
    <s v="Technology"/>
    <s v="Technology"/>
    <s v="Machines"/>
    <s v="Elite Machines 281"/>
    <s v="Same Day"/>
    <s v="Same Day"/>
    <n v="5"/>
    <n v="2407.9699999999998"/>
    <n v="0.1"/>
    <n v="0.1"/>
    <s v="Valid"/>
    <n v="10835.86"/>
    <n v="6419.92"/>
    <n v="4415.9399999999996"/>
    <x v="3"/>
    <s v="Exclude"/>
    <s v=""/>
    <s v="Cancelled"/>
    <s v="Cancelled"/>
    <s v="Exclude"/>
  </r>
  <r>
    <s v="ORD-2025-10893"/>
    <n v="1"/>
    <s v=""/>
    <s v="04/12/2025"/>
    <d v="2025-04-12T00:00:00"/>
    <s v="04/18/2025"/>
    <d v="2025-04-18T00:00:00"/>
    <s v="Valid"/>
    <n v="6"/>
    <s v="Valid"/>
    <s v="CUST-5087"/>
    <s v="Isha Nair"/>
    <s v="Isha Nair"/>
    <s v="Small Business"/>
    <s v="Small Business"/>
    <x v="1"/>
    <s v="East"/>
    <s v="Jharkhand"/>
    <s v="Ranchi"/>
    <s v="Technology"/>
    <s v="Technology"/>
    <s v="Copiers"/>
    <s v="Elite Copiers 221"/>
    <s v="Same Day"/>
    <s v="Same Day"/>
    <n v="1"/>
    <n v="726.89"/>
    <n v="0.2"/>
    <n v="0.2"/>
    <s v="Valid"/>
    <n v="581.51"/>
    <n v="423.86"/>
    <n v="157.65"/>
    <x v="0"/>
    <s v="Include"/>
    <s v=""/>
    <s v="Completed"/>
    <s v="Completed"/>
    <s v="Include"/>
  </r>
  <r>
    <s v="ORD-2024-10894"/>
    <n v="1"/>
    <s v=""/>
    <s v="06 Jun 2024"/>
    <d v="2024-06-06T00:00:00"/>
    <s v="08 Jun 2024"/>
    <d v="2024-06-08T00:00:00"/>
    <s v="Valid"/>
    <n v="2"/>
    <s v="Valid"/>
    <s v="CUST-9297"/>
    <s v="Aarav Sharma"/>
    <s v="Aarav Sharma"/>
    <s v="Corporate"/>
    <s v="Corporate"/>
    <x v="2"/>
    <s v="South"/>
    <s v="Karnataka"/>
    <s v="Bengaluru"/>
    <s v="Furniture"/>
    <s v="Furniture"/>
    <s v="Tables"/>
    <s v="Max Tables 291"/>
    <s v="Second Class"/>
    <s v="Second Class"/>
    <n v="3"/>
    <n v="395.49"/>
    <n v="0.05"/>
    <n v="0.05"/>
    <s v="Valid"/>
    <n v="1127.1500000000001"/>
    <n v="845.62"/>
    <n v="281.52999999999997"/>
    <x v="0"/>
    <s v="Include"/>
    <s v=""/>
    <s v="Returned"/>
    <s v="Returned"/>
    <s v="Include"/>
  </r>
  <r>
    <s v="ORD-2024-10895"/>
    <n v="1"/>
    <s v=""/>
    <s v="22 Feb 2024"/>
    <d v="2024-02-22T00:00:00"/>
    <s v="02/29/2024"/>
    <d v="2024-02-29T00:00:00"/>
    <s v="Valid"/>
    <n v="7"/>
    <s v="Valid"/>
    <s v="CUST-7996"/>
    <s v="Isha Nair"/>
    <s v="Isha Nair"/>
    <s v="Home Office"/>
    <s v="Home Office"/>
    <x v="2"/>
    <s v="South"/>
    <s v="Telangana"/>
    <s v="Hyderabad"/>
    <s v="Furniture"/>
    <s v="Furniture"/>
    <s v="Tables"/>
    <s v="Classic Tables 638"/>
    <s v="First Class"/>
    <s v="First Class"/>
    <n v="6"/>
    <n v="4254.05"/>
    <n v="0"/>
    <n v="0"/>
    <s v="Valid"/>
    <n v="25524.3"/>
    <n v="16711.93"/>
    <n v="8812.3700000000008"/>
    <x v="0"/>
    <s v="Include"/>
    <s v=""/>
    <s v="Completed"/>
    <s v="Completed"/>
    <s v="Include"/>
  </r>
  <r>
    <s v="ORD-2024-10896"/>
    <n v="1"/>
    <s v=""/>
    <s v="05 Nov 2024"/>
    <d v="2024-11-05T00:00:00"/>
    <s v="11/10/2024"/>
    <d v="2024-11-10T00:00:00"/>
    <s v="Valid"/>
    <n v="5"/>
    <s v="Valid"/>
    <s v="CUST-4117"/>
    <s v="Arjun Bose"/>
    <s v="Arjun Bose"/>
    <s v="Consumer"/>
    <s v="Consumer"/>
    <x v="2"/>
    <s v="South"/>
    <s v="Kerala"/>
    <s v="Kochi"/>
    <s v="Furniture"/>
    <s v="Furniture"/>
    <s v="Chairs"/>
    <s v="Basic Chairs 212"/>
    <s v="Same Day"/>
    <s v="Same Day"/>
    <n v="4"/>
    <n v="711.18"/>
    <n v="0.15"/>
    <n v="0.15"/>
    <s v="Valid"/>
    <n v="2418.0100000000002"/>
    <n v="1441.89"/>
    <n v="976.12"/>
    <x v="2"/>
    <s v="Include"/>
    <s v=""/>
    <s v="Returned"/>
    <s v="Returned"/>
    <s v="Include"/>
  </r>
  <r>
    <s v="ORD-2024-10897"/>
    <n v="1"/>
    <s v=""/>
    <s v="12/24/2024"/>
    <d v="2024-12-24T00:00:00"/>
    <s v="25-12-2024"/>
    <d v="2024-12-25T00:00:00"/>
    <s v="Valid"/>
    <n v="1"/>
    <s v="Valid"/>
    <s v="CUST-4848"/>
    <s v="Ananya Rao"/>
    <s v="Ananya Rao"/>
    <s v="Small Business"/>
    <s v="Small Business"/>
    <x v="2"/>
    <s v="South"/>
    <s v="Tamil Nadu"/>
    <s v="Chennai"/>
    <s v="Technology"/>
    <s v="Technology"/>
    <s v="Copiers"/>
    <s v="Max Copiers 121"/>
    <s v="Second Class"/>
    <s v="Second Class"/>
    <n v="1"/>
    <n v="3693.03"/>
    <n v="0.05"/>
    <n v="0.05"/>
    <s v="Valid"/>
    <n v="3508.38"/>
    <n v="2828.06"/>
    <n v="680.32"/>
    <x v="3"/>
    <s v="Exclude"/>
    <s v=""/>
    <s v="Returned"/>
    <s v="Returned"/>
    <s v="Include"/>
  </r>
  <r>
    <s v="ORD-2025-10898"/>
    <n v="1"/>
    <s v=""/>
    <s v="04/29/2025"/>
    <d v="2025-04-29T00:00:00"/>
    <s v="03 May 2025"/>
    <d v="2025-05-03T00:00:00"/>
    <s v="Valid"/>
    <n v="4"/>
    <s v="Valid"/>
    <s v="CUST-2897"/>
    <s v="Rohan Mehta"/>
    <s v="Rohan Mehta"/>
    <s v="Corporate"/>
    <s v="Corporate"/>
    <x v="0"/>
    <s v="North"/>
    <s v="Haryana"/>
    <s v="Gurugram"/>
    <s v="Office Supplies"/>
    <s v="Office Supplies"/>
    <s v="Paper"/>
    <s v="Eco Paper 747"/>
    <s v="First Class"/>
    <s v="First Class"/>
    <n v="4"/>
    <n v="1786.65"/>
    <n v="0.05"/>
    <n v="0.05"/>
    <s v="Valid"/>
    <n v="6789.27"/>
    <n v="5626.43"/>
    <n v="1162.8399999999999"/>
    <x v="0"/>
    <s v="Include"/>
    <s v=""/>
    <s v="Completed"/>
    <s v="Completed"/>
    <s v="Include"/>
  </r>
  <r>
    <s v="ORD-2024-10899"/>
    <n v="1"/>
    <s v=""/>
    <s v="2024-06-02"/>
    <d v="2024-06-02T00:00:00"/>
    <s v="06/08/2024"/>
    <d v="2024-06-08T00:00:00"/>
    <s v="Valid"/>
    <n v="6"/>
    <s v="Valid"/>
    <s v="CUST-6046"/>
    <s v="Vikram Iyer"/>
    <s v="Vikram Iyer"/>
    <s v="Consumer"/>
    <s v="Consumer"/>
    <x v="0"/>
    <s v="North"/>
    <s v="Delhi"/>
    <s v="New Delhi"/>
    <s v="Furniture"/>
    <s v="Furniture"/>
    <s v="Tables"/>
    <s v="Classic Tables 535"/>
    <s v="First Class"/>
    <s v="First Class"/>
    <n v="4"/>
    <n v="1536.7"/>
    <n v="0.2"/>
    <n v="0.2"/>
    <s v="Valid"/>
    <n v="4917.4399999999996"/>
    <n v="3846.77"/>
    <n v="1070.67"/>
    <x v="0"/>
    <s v="Include"/>
    <s v=""/>
    <s v="Completed"/>
    <s v="Completed"/>
    <s v="Include"/>
  </r>
  <r>
    <s v="ORD-2025-10900"/>
    <n v="1"/>
    <s v=""/>
    <s v="27 May 2025"/>
    <d v="2025-05-27T00:00:00"/>
    <s v="06/03/2025"/>
    <d v="2025-06-03T00:00:00"/>
    <s v="Valid"/>
    <n v="7"/>
    <s v="Valid"/>
    <s v="CUST-3789"/>
    <s v="Karan Malhotra"/>
    <s v="Karan Malhotra"/>
    <s v="Consumer"/>
    <s v="Consumer"/>
    <x v="0"/>
    <s v="North"/>
    <s v="Punjab"/>
    <s v="Ludhiana"/>
    <s v="Furniture"/>
    <s v="Furniture"/>
    <s v="Chairs"/>
    <s v="Elite Chairs 971"/>
    <s v="First Class"/>
    <s v="First Class"/>
    <n v="5"/>
    <n v="881.08"/>
    <n v="0.25"/>
    <n v="0.25"/>
    <s v="Valid"/>
    <n v="3304.05"/>
    <n v="2279.41"/>
    <n v="1024.6400000000001"/>
    <x v="3"/>
    <s v="Exclude"/>
    <s v=""/>
    <s v="Cancelled"/>
    <s v="Cancelled"/>
    <s v="Exclude"/>
  </r>
  <r>
    <s v="ORD-2025-10171"/>
    <n v="2"/>
    <s v="Review Required"/>
    <s v="07-09-2025"/>
    <d v="2025-09-07T00:00:00"/>
    <s v="09/15/2025"/>
    <d v="2025-09-15T00:00:00"/>
    <s v="Valid"/>
    <n v="8"/>
    <s v="Valid"/>
    <s v="CUST-3734"/>
    <s v="Rohan Mehta"/>
    <s v="Rohan Mehta"/>
    <s v="Corporate"/>
    <s v="Corporate"/>
    <x v="1"/>
    <s v="East"/>
    <s v="Bihar"/>
    <s v="Patna"/>
    <s v="Technology"/>
    <s v="Technology"/>
    <s v="Copiers"/>
    <s v="Eco Copiers 102"/>
    <s v="Standard Class"/>
    <s v="Standard Class"/>
    <n v="3"/>
    <n v="1711.32"/>
    <n v="0"/>
    <n v="0"/>
    <s v="Valid"/>
    <n v="5133.96"/>
    <n v="3930"/>
    <n v="1203.96"/>
    <x v="0"/>
    <s v="Include"/>
    <s v=""/>
    <s v="Completed"/>
    <s v="Completed"/>
    <s v="Include"/>
  </r>
  <r>
    <s v="ORD-2025-10171"/>
    <n v="2"/>
    <s v="Review Required"/>
    <s v="07-09-2025"/>
    <d v="2025-09-07T00:00:00"/>
    <s v="09/15/2025"/>
    <d v="2025-09-15T00:00:00"/>
    <s v="Valid"/>
    <n v="8"/>
    <s v="Valid"/>
    <s v="CUST-3734"/>
    <s v="Rohan Mehta"/>
    <s v="Rohan Mehta"/>
    <s v="Corporate"/>
    <s v="Corporate"/>
    <x v="1"/>
    <s v="East"/>
    <s v="Bihar"/>
    <s v="Patna"/>
    <s v="Technology"/>
    <s v="Technology"/>
    <s v="Copiers"/>
    <s v="Eco Copiers 102"/>
    <s v="Standard Class"/>
    <s v="Standard Class"/>
    <n v="3"/>
    <n v="1711.32"/>
    <n v="0"/>
    <n v="0"/>
    <s v="Valid"/>
    <n v="5206.53"/>
    <n v="3930"/>
    <n v="1203.96"/>
    <x v="0"/>
    <s v="Include"/>
    <s v=""/>
    <s v="Returned"/>
    <s v="Returned"/>
    <s v="Include"/>
  </r>
  <r>
    <s v="ORD-2025-10225"/>
    <n v="2"/>
    <s v="Review Required"/>
    <s v="10/02/2025"/>
    <d v="2025-10-02T00:00:00"/>
    <s v="08 Oct 2025"/>
    <d v="2025-10-08T00:00:00"/>
    <s v="Valid"/>
    <n v="6"/>
    <s v="Valid"/>
    <s v="CUST-9871"/>
    <s v="Isha Nair"/>
    <s v="Isha Nair"/>
    <s v="Small Business"/>
    <s v="Small Business"/>
    <x v="0"/>
    <s v="North"/>
    <s v="Punjab"/>
    <s v="Ludhiana"/>
    <s v="Furniture"/>
    <s v="Furniture"/>
    <s v="Furnishings"/>
    <s v="Classic Furnishings 109"/>
    <s v="Standard Class"/>
    <s v="Standard Class"/>
    <n v="4"/>
    <n v="3944.64"/>
    <n v="0.25"/>
    <n v="0.25"/>
    <s v="Valid"/>
    <n v="11833.92"/>
    <n v="6682.92"/>
    <n v="5151"/>
    <x v="0"/>
    <s v="Exclude"/>
    <s v=""/>
    <s v="Cancelled"/>
    <s v="Cancelled"/>
    <s v="Exclude"/>
  </r>
  <r>
    <s v="ORD-2025-10225"/>
    <n v="2"/>
    <s v="Review Required"/>
    <s v="10/02/2025"/>
    <d v="2025-10-02T00:00:00"/>
    <s v="08 Oct 2025"/>
    <d v="2025-10-08T00:00:00"/>
    <s v="Valid"/>
    <n v="6"/>
    <s v="Valid"/>
    <s v="CUST-9871"/>
    <s v="Isha Nair"/>
    <s v="Isha Nair"/>
    <s v="Small Business"/>
    <s v="Small Business"/>
    <x v="0"/>
    <s v="North"/>
    <s v="Punjab"/>
    <s v="Ludhiana"/>
    <s v="Furniture"/>
    <s v="Furniture"/>
    <s v="Furnishings"/>
    <s v="Classic Furnishings 109"/>
    <s v="Standard Class"/>
    <s v="Standard Class"/>
    <n v="4"/>
    <n v="3944.64"/>
    <n v="0.25"/>
    <n v="0.25"/>
    <s v="Valid"/>
    <n v="12116.89"/>
    <n v="6682.92"/>
    <n v="5151"/>
    <x v="0"/>
    <s v="Include"/>
    <s v=""/>
    <s v="Returned"/>
    <s v="Returned"/>
    <s v="Include"/>
  </r>
  <r>
    <s v="ORD-2025-10315"/>
    <n v="2"/>
    <s v="Review Required"/>
    <s v="05/18/2025"/>
    <d v="2025-05-18T00:00:00"/>
    <s v="20 May 2025"/>
    <d v="2025-05-20T00:00:00"/>
    <s v="Valid"/>
    <n v="2"/>
    <s v="Valid"/>
    <s v="CUST-1945"/>
    <s v="Isha Nair"/>
    <s v="Isha Nair"/>
    <s v="Corporate"/>
    <s v="Corporate"/>
    <x v="3"/>
    <s v="West"/>
    <s v="Madhya Pradesh"/>
    <s v="Indore"/>
    <s v="Office Supplies"/>
    <s v="Office Supplies"/>
    <s v="Labels"/>
    <s v="Elite Labels 544"/>
    <s v="Standard Class"/>
    <s v="Standard Class"/>
    <n v="9"/>
    <n v="847.76"/>
    <n v="0.15"/>
    <n v="0.15"/>
    <s v="Valid"/>
    <n v="6485.36"/>
    <n v="5376.17"/>
    <n v="1109.19"/>
    <x v="3"/>
    <s v="Exclude"/>
    <s v=""/>
    <s v="Returned"/>
    <s v="Returned"/>
    <s v="Include"/>
  </r>
  <r>
    <s v="ORD-2025-10315"/>
    <n v="2"/>
    <s v="Review Required"/>
    <s v="05/18/2025"/>
    <d v="2025-05-18T00:00:00"/>
    <s v="20 May 2025"/>
    <d v="2025-05-20T00:00:00"/>
    <s v="Valid"/>
    <n v="2"/>
    <s v="Valid"/>
    <s v="CUST-1945"/>
    <s v="Isha Nair"/>
    <s v="Isha Nair"/>
    <s v="Corporate"/>
    <s v="Corporate"/>
    <x v="3"/>
    <s v="West"/>
    <s v="Madhya Pradesh"/>
    <s v="Indore"/>
    <s v="Office Supplies"/>
    <s v="Office Supplies"/>
    <s v="Labels"/>
    <s v="Elite Labels 544"/>
    <s v="Standard Class"/>
    <s v="Standard Class"/>
    <n v="9"/>
    <n v="847.76"/>
    <n v="0.15"/>
    <n v="0.15"/>
    <s v="Valid"/>
    <n v="6589.37"/>
    <n v="5376.17"/>
    <n v="1109.19"/>
    <x v="3"/>
    <s v="Exclude"/>
    <s v=""/>
    <s v="Completed"/>
    <s v="Completed"/>
    <s v="Include"/>
  </r>
  <r>
    <s v="ORD-2025-10336"/>
    <n v="2"/>
    <s v="Review Required"/>
    <s v="06/16/2025"/>
    <d v="2025-06-16T00:00:00"/>
    <s v="18 Jun 2025"/>
    <d v="2025-06-18T00:00:00"/>
    <s v="Valid"/>
    <n v="2"/>
    <s v="Valid"/>
    <s v="CUST-3621"/>
    <s v="Rahul Verma"/>
    <s v="Rahul Verma"/>
    <s v="Home Office"/>
    <s v="Home Office"/>
    <x v="3"/>
    <s v="West"/>
    <s v="Madhya Pradesh"/>
    <s v="Indore"/>
    <s v="Office Supplies"/>
    <s v="Office Supplies"/>
    <s v="Paper"/>
    <s v="Prime Paper 559"/>
    <s v="First Class"/>
    <s v="First Class"/>
    <n v="3"/>
    <n v="4289.37"/>
    <n v="0.1"/>
    <n v="0.1"/>
    <s v="Valid"/>
    <n v="11581.3"/>
    <n v="6829.43"/>
    <n v="4751.87"/>
    <x v="0"/>
    <s v="Include"/>
    <s v=""/>
    <s v="Completed"/>
    <s v="Completed"/>
    <s v="Include"/>
  </r>
  <r>
    <s v="ORD-2025-10336"/>
    <n v="2"/>
    <s v="Review Required"/>
    <s v="06/16/2025"/>
    <d v="2025-06-16T00:00:00"/>
    <s v="18 Jun 2025"/>
    <d v="2025-06-18T00:00:00"/>
    <s v="Valid"/>
    <n v="2"/>
    <s v="Valid"/>
    <s v="CUST-3621"/>
    <s v="Rahul Verma"/>
    <s v="Rahul Verma"/>
    <s v="Home Office"/>
    <s v="Home Office"/>
    <x v="3"/>
    <s v="West"/>
    <s v="Madhya Pradesh"/>
    <s v="Indore"/>
    <s v="Office Supplies"/>
    <s v="Office Supplies"/>
    <s v="Paper"/>
    <s v="Prime Paper 559"/>
    <s v="First Class"/>
    <s v="First Class"/>
    <n v="3"/>
    <n v="4289.37"/>
    <n v="0.1"/>
    <n v="0.1"/>
    <s v="Valid"/>
    <n v="11778.71"/>
    <n v="6829.43"/>
    <n v="4751.87"/>
    <x v="0"/>
    <s v="Include"/>
    <s v=""/>
    <s v="Returned"/>
    <s v="Returned"/>
    <s v="Include"/>
  </r>
  <r>
    <s v="ORD-2025-10374"/>
    <n v="2"/>
    <s v="Review Required"/>
    <s v="2025-04-13"/>
    <d v="2025-04-13T00:00:00"/>
    <s v="2025-04-13"/>
    <d v="2025-04-13T00:00:00"/>
    <s v="Valid"/>
    <n v="0"/>
    <s v="Valid"/>
    <s v="CUST-8566"/>
    <s v="Sneha Kapoor"/>
    <s v="Sneha Kapoor"/>
    <s v="Small Business"/>
    <s v="Small Business"/>
    <x v="0"/>
    <s v="North"/>
    <s v="Uttar Pradesh"/>
    <s v="Noida"/>
    <s v="Office Supplies"/>
    <s v="Office Supplies"/>
    <s v="Storage"/>
    <s v="Prime Storage 951"/>
    <s v="Second Class"/>
    <s v="Second Class"/>
    <n v="9"/>
    <n v="1118.68"/>
    <n v="0"/>
    <n v="0"/>
    <s v="Valid"/>
    <n v="10068.120000000001"/>
    <n v="8595.3700000000008"/>
    <n v="1472.75"/>
    <x v="0"/>
    <s v="Include"/>
    <s v=""/>
    <s v="Completed"/>
    <s v="Completed"/>
    <s v="Include"/>
  </r>
  <r>
    <s v="ORD-2025-10374"/>
    <n v="2"/>
    <s v="Review Required"/>
    <s v="2025-04-13"/>
    <d v="2025-04-13T00:00:00"/>
    <s v="2025-04-13"/>
    <d v="2025-04-13T00:00:00"/>
    <s v="Valid"/>
    <n v="0"/>
    <s v="Valid"/>
    <s v="CUST-8566"/>
    <s v="Sneha Kapoor"/>
    <s v="Sneha Kapoor"/>
    <s v="Small Business"/>
    <s v="Small Business"/>
    <x v="0"/>
    <s v="North"/>
    <s v="Uttar Pradesh"/>
    <s v="Noida"/>
    <s v="Office Supplies"/>
    <s v="Office Supplies"/>
    <s v="Storage"/>
    <s v="Prime Storage 951"/>
    <s v="Second Class"/>
    <s v="Second Class"/>
    <n v="9"/>
    <n v="1118.68"/>
    <n v="0"/>
    <n v="0"/>
    <s v="Valid"/>
    <n v="10348.43"/>
    <n v="8595.3700000000008"/>
    <n v="1472.75"/>
    <x v="0"/>
    <s v="Include"/>
    <s v=""/>
    <s v="Returned"/>
    <s v="Returned"/>
    <s v="Include"/>
  </r>
  <r>
    <s v="ORD-2025-10572"/>
    <n v="2"/>
    <s v="Review Required"/>
    <s v="10 Feb 2025"/>
    <d v="2025-02-10T00:00:00"/>
    <s v="2025-02-14"/>
    <d v="2025-02-14T00:00:00"/>
    <s v="Valid"/>
    <n v="4"/>
    <s v="Valid"/>
    <s v="CUST-3425"/>
    <s v="Priya Menon"/>
    <s v="Priya Menon"/>
    <s v="Small Business"/>
    <s v="Small Business"/>
    <x v="0"/>
    <s v="North"/>
    <s v="Uttar Pradesh"/>
    <s v="Noida"/>
    <s v="Technology"/>
    <s v="Technology"/>
    <s v="Phones"/>
    <s v="Prime Phones 895"/>
    <m/>
    <s v="Unknown"/>
    <n v="5"/>
    <n v="4276.29"/>
    <n v="0"/>
    <n v="0"/>
    <s v="Valid"/>
    <n v="21381.45"/>
    <n v="13240.21"/>
    <n v="8141.24"/>
    <x v="3"/>
    <s v="Exclude"/>
    <s v=""/>
    <s v="Returned"/>
    <s v="Returned"/>
    <s v="Include"/>
  </r>
  <r>
    <s v="ORD-2025-10572"/>
    <n v="2"/>
    <s v="Review Required"/>
    <s v="10 Feb 2025"/>
    <d v="2025-02-10T00:00:00"/>
    <s v="2025-02-14"/>
    <d v="2025-02-14T00:00:00"/>
    <s v="Valid"/>
    <n v="4"/>
    <s v="Valid"/>
    <s v="CUST-3425"/>
    <s v="Priya Menon"/>
    <s v="Priya Menon"/>
    <s v="Small Business"/>
    <s v="Small Business"/>
    <x v="0"/>
    <s v="North"/>
    <s v="Uttar Pradesh"/>
    <s v="Noida"/>
    <s v="Technology"/>
    <s v="Technology"/>
    <s v="Phones"/>
    <s v="Prime Phones 895"/>
    <m/>
    <s v="Unknown"/>
    <n v="5"/>
    <n v="4276.29"/>
    <n v="0"/>
    <n v="0"/>
    <s v="Valid"/>
    <n v="21443.63"/>
    <n v="13240.21"/>
    <n v="8141.24"/>
    <x v="3"/>
    <s v="Exclude"/>
    <s v=""/>
    <s v="Completed"/>
    <s v="Completed"/>
    <s v="Includ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0778B-E554-48F8-A869-705ABC8563F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39">
    <pivotField dataField="1" showAll="0"/>
    <pivotField showAll="0"/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3" item="3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6824-0DDD-46C6-937E-4A7E7BF9C6CF}">
  <dimension ref="A1:B9"/>
  <sheetViews>
    <sheetView workbookViewId="0">
      <selection activeCell="B5" sqref="B5"/>
    </sheetView>
  </sheetViews>
  <sheetFormatPr defaultRowHeight="13.8"/>
  <cols>
    <col min="1" max="1" width="13.59765625" bestFit="1" customWidth="1"/>
    <col min="2" max="2" width="16.19921875" bestFit="1" customWidth="1"/>
  </cols>
  <sheetData>
    <row r="1" spans="1:2">
      <c r="A1" s="10" t="s">
        <v>18</v>
      </c>
      <c r="B1" t="s">
        <v>123</v>
      </c>
    </row>
    <row r="3" spans="1:2">
      <c r="A3" s="10" t="s">
        <v>4126</v>
      </c>
      <c r="B3" t="s">
        <v>4129</v>
      </c>
    </row>
    <row r="4" spans="1:2">
      <c r="A4" s="11" t="s">
        <v>41</v>
      </c>
      <c r="B4" s="12">
        <v>14</v>
      </c>
    </row>
    <row r="5" spans="1:2">
      <c r="A5" s="11" t="s">
        <v>26</v>
      </c>
      <c r="B5" s="12">
        <v>20</v>
      </c>
    </row>
    <row r="6" spans="1:2">
      <c r="A6" s="11" t="s">
        <v>61</v>
      </c>
      <c r="B6" s="12">
        <v>20</v>
      </c>
    </row>
    <row r="7" spans="1:2">
      <c r="A7" s="11" t="s">
        <v>72</v>
      </c>
      <c r="B7" s="12">
        <v>14</v>
      </c>
    </row>
    <row r="8" spans="1:2">
      <c r="A8" s="11" t="s">
        <v>4127</v>
      </c>
      <c r="B8" s="12">
        <v>3</v>
      </c>
    </row>
    <row r="9" spans="1:2">
      <c r="A9" s="11" t="s">
        <v>4128</v>
      </c>
      <c r="B9" s="12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33"/>
  <sheetViews>
    <sheetView tabSelected="1" topLeftCell="AO1" workbookViewId="0">
      <selection activeCell="AS5" sqref="AS5"/>
    </sheetView>
  </sheetViews>
  <sheetFormatPr defaultRowHeight="13.8"/>
  <cols>
    <col min="1" max="4" width="16" customWidth="1"/>
    <col min="5" max="5" width="29.19921875" style="7" customWidth="1"/>
    <col min="6" max="6" width="16" customWidth="1"/>
    <col min="7" max="8" width="23.19921875" style="7" customWidth="1"/>
    <col min="9" max="10" width="23.19921875" style="9" customWidth="1"/>
    <col min="11" max="22" width="16" customWidth="1"/>
    <col min="23" max="23" width="21.09765625" customWidth="1"/>
    <col min="24" max="24" width="16" customWidth="1"/>
    <col min="25" max="25" width="19.296875" bestFit="1" customWidth="1"/>
    <col min="26" max="28" width="16" customWidth="1"/>
    <col min="29" max="29" width="20.296875" customWidth="1"/>
    <col min="30" max="30" width="19.796875" bestFit="1" customWidth="1"/>
    <col min="31" max="34" width="16" customWidth="1"/>
    <col min="35" max="35" width="19.5" bestFit="1" customWidth="1"/>
    <col min="36" max="37" width="16" customWidth="1"/>
    <col min="38" max="38" width="12.59765625" customWidth="1"/>
    <col min="39" max="39" width="15.3984375" customWidth="1"/>
    <col min="40" max="40" width="21.296875" customWidth="1"/>
    <col min="41" max="41" width="17.09765625" customWidth="1"/>
    <col min="42" max="42" width="18.3984375" customWidth="1"/>
    <col min="43" max="43" width="11" customWidth="1"/>
    <col min="44" max="44" width="17.3984375" customWidth="1"/>
    <col min="45" max="45" width="13.09765625" customWidth="1"/>
    <col min="46" max="46" width="18.296875" customWidth="1"/>
    <col min="47" max="47" width="13.69921875" customWidth="1"/>
    <col min="48" max="48" width="27" customWidth="1"/>
    <col min="49" max="49" width="12.19921875" customWidth="1"/>
  </cols>
  <sheetData>
    <row r="1" spans="1:50" ht="43.95" customHeight="1">
      <c r="A1" s="1" t="s">
        <v>0</v>
      </c>
      <c r="B1" s="1" t="s">
        <v>4121</v>
      </c>
      <c r="C1" s="1"/>
      <c r="D1" s="2" t="s">
        <v>1</v>
      </c>
      <c r="E1" s="5" t="s">
        <v>4114</v>
      </c>
      <c r="F1" s="1" t="s">
        <v>4116</v>
      </c>
      <c r="G1" s="6" t="s">
        <v>4115</v>
      </c>
      <c r="H1" s="6" t="s">
        <v>4118</v>
      </c>
      <c r="I1" s="8" t="s">
        <v>4117</v>
      </c>
      <c r="J1" s="8" t="s">
        <v>4119</v>
      </c>
      <c r="K1" s="1" t="s">
        <v>2</v>
      </c>
      <c r="L1" s="1" t="s">
        <v>3</v>
      </c>
      <c r="M1" s="1" t="s">
        <v>4113</v>
      </c>
      <c r="N1" s="1" t="s">
        <v>4</v>
      </c>
      <c r="O1" s="1" t="s">
        <v>4108</v>
      </c>
      <c r="P1" s="1" t="s">
        <v>5</v>
      </c>
      <c r="Q1" s="1" t="s">
        <v>4109</v>
      </c>
      <c r="R1" s="1" t="s">
        <v>6</v>
      </c>
      <c r="S1" s="1" t="s">
        <v>7</v>
      </c>
      <c r="T1" s="1" t="s">
        <v>8</v>
      </c>
      <c r="U1" s="1" t="s">
        <v>4110</v>
      </c>
      <c r="V1" s="1" t="s">
        <v>9</v>
      </c>
      <c r="W1" s="1" t="s">
        <v>10</v>
      </c>
      <c r="X1" s="1" t="s">
        <v>11</v>
      </c>
      <c r="Y1" s="1" t="s">
        <v>4111</v>
      </c>
      <c r="Z1" s="1" t="s">
        <v>12</v>
      </c>
      <c r="AA1" s="1" t="s">
        <v>13</v>
      </c>
      <c r="AB1" s="1" t="s">
        <v>14</v>
      </c>
      <c r="AC1" s="1" t="s">
        <v>4120</v>
      </c>
      <c r="AD1" s="1" t="s">
        <v>4122</v>
      </c>
      <c r="AE1" s="1" t="s">
        <v>15</v>
      </c>
      <c r="AF1" s="1" t="s">
        <v>16</v>
      </c>
      <c r="AG1" s="1" t="s">
        <v>17</v>
      </c>
      <c r="AH1" s="1" t="s">
        <v>18</v>
      </c>
      <c r="AI1" s="1" t="s">
        <v>4124</v>
      </c>
      <c r="AJ1" s="1" t="s">
        <v>4125</v>
      </c>
      <c r="AK1" s="1" t="s">
        <v>19</v>
      </c>
      <c r="AL1" s="1" t="s">
        <v>4112</v>
      </c>
      <c r="AM1" s="2" t="s">
        <v>4123</v>
      </c>
      <c r="AN1" s="2" t="s">
        <v>4130</v>
      </c>
      <c r="AO1" s="2" t="s">
        <v>4131</v>
      </c>
      <c r="AP1" s="2" t="s">
        <v>4132</v>
      </c>
      <c r="AQ1" s="2" t="s">
        <v>4133</v>
      </c>
      <c r="AR1" s="2" t="s">
        <v>4134</v>
      </c>
      <c r="AS1" s="2" t="s">
        <v>4135</v>
      </c>
      <c r="AT1" s="2" t="s">
        <v>4122</v>
      </c>
      <c r="AU1" s="2" t="s">
        <v>4136</v>
      </c>
      <c r="AV1" s="2" t="s">
        <v>4123</v>
      </c>
      <c r="AW1" s="2" t="s">
        <v>4137</v>
      </c>
      <c r="AX1" s="2" t="s">
        <v>4138</v>
      </c>
    </row>
    <row r="2" spans="1:50">
      <c r="A2" t="s">
        <v>20</v>
      </c>
      <c r="B2">
        <f>COUNTIF($A:$A,A2)</f>
        <v>1</v>
      </c>
      <c r="C2" t="str">
        <f>IF(B2&gt;1,"Review Required","")</f>
        <v/>
      </c>
      <c r="D2" s="3" t="s">
        <v>21</v>
      </c>
      <c r="E2" s="7">
        <v>45494</v>
      </c>
      <c r="F2" s="3" t="s">
        <v>22</v>
      </c>
      <c r="G2" s="7">
        <v>45500</v>
      </c>
      <c r="H2" s="7" t="str">
        <f t="shared" ref="H2:H65" si="0">IF(G2&lt;E2,"Invalid Shipping Record","Valid")</f>
        <v>Valid</v>
      </c>
      <c r="I2" s="9">
        <f t="shared" ref="I2:I65" si="1">G2-E2</f>
        <v>6</v>
      </c>
      <c r="J2" s="9" t="str">
        <f t="shared" ref="J2:J65" si="2">IF(OR(E2="",G2=""),"Missing Date",IF(OR(NOT(ISNUMBER(E2)),NOT(ISNUMBER(G2))),"Invalid Date",IF(G2&lt;E2,"Invalid Shipping Record","Valid")))</f>
        <v>Valid</v>
      </c>
      <c r="K2" t="s">
        <v>23</v>
      </c>
      <c r="L2" t="s">
        <v>24</v>
      </c>
      <c r="M2" t="s">
        <v>24</v>
      </c>
      <c r="N2" t="s">
        <v>25</v>
      </c>
      <c r="O2" s="3" t="str">
        <f t="shared" ref="O2:O65" si="3">PROPER(TRIM(N2))</f>
        <v>Consumer</v>
      </c>
      <c r="P2" t="s">
        <v>26</v>
      </c>
      <c r="Q2" s="3" t="str">
        <f t="shared" ref="Q2:Q65" si="4">IF(TRIM(P2)="","Unknown",PROPER(TRIM(P2)))</f>
        <v>North</v>
      </c>
      <c r="R2" t="s">
        <v>27</v>
      </c>
      <c r="S2" t="s">
        <v>28</v>
      </c>
      <c r="T2" t="s">
        <v>29</v>
      </c>
      <c r="U2" s="3" t="str">
        <f t="shared" ref="U2:U65" si="5">PROPER(TRIM(T2))</f>
        <v>Office Supplies</v>
      </c>
      <c r="V2" t="s">
        <v>30</v>
      </c>
      <c r="W2" t="s">
        <v>31</v>
      </c>
      <c r="X2" t="s">
        <v>32</v>
      </c>
      <c r="Y2" s="3" t="str">
        <f t="shared" ref="Y2:Y65" si="6">IF(TRIM(X2)="","Unknown",PROPER(TRIM(X2)))</f>
        <v>Second Class</v>
      </c>
      <c r="Z2">
        <v>8</v>
      </c>
      <c r="AA2">
        <v>2976.45</v>
      </c>
      <c r="AB2">
        <v>0.2</v>
      </c>
      <c r="AC2">
        <f t="shared" ref="AC2:AC65" si="7">IF(AND(AB2=" ",Z2=" ",AA2=" ",AF2=" "),0,AB2)</f>
        <v>0.2</v>
      </c>
      <c r="AD2" t="str">
        <f>IF(AC2&lt;0,"Invalid Discount","Valid")</f>
        <v>Valid</v>
      </c>
      <c r="AE2">
        <v>19049.28</v>
      </c>
      <c r="AF2">
        <v>15841.89</v>
      </c>
      <c r="AG2">
        <v>3207.39</v>
      </c>
      <c r="AH2" t="s">
        <v>33</v>
      </c>
      <c r="AI2" t="str">
        <f>IF(OR(AH2="Failed",AL2="Cancelled"),"Exclude","Include")</f>
        <v>Include</v>
      </c>
      <c r="AJ2" t="str">
        <f>IF(AH2="Refunded","Refunded Order","")</f>
        <v/>
      </c>
      <c r="AK2" t="s">
        <v>34</v>
      </c>
      <c r="AL2" t="str">
        <f t="shared" ref="AL2:AL65" si="8">PROPER(TRIM(AK2))</f>
        <v>Completed</v>
      </c>
      <c r="AM2" t="str">
        <f>IF(AL2="Cancelled","Exclude","Include")</f>
        <v>Include</v>
      </c>
      <c r="AN2">
        <f>Z2*AA2*(1-AC2)</f>
        <v>19049.28</v>
      </c>
      <c r="AO2">
        <f>AN2-AF2</f>
        <v>3207.3899999999994</v>
      </c>
      <c r="AP2">
        <f>IF(AN2=0,0,AO2/AN2)</f>
        <v>0.16837329284886357</v>
      </c>
      <c r="AQ2" t="str">
        <f>TEXT(E2,"mmmm")</f>
        <v>July</v>
      </c>
      <c r="AR2">
        <f>YEAR(E2)</f>
        <v>2024</v>
      </c>
      <c r="AS2" t="str">
        <f>IF(OR(AC2&lt;0,AC2&gt;1,G2&lt;E2),"Invalid",IF(OR(Q2="Unknown",Y2="Unknown"),"Warning","Clean"))</f>
        <v>Clean</v>
      </c>
      <c r="AT2" t="str">
        <f>IF(OR(AC2&lt;0,AC2&gt;0.5),"Invalid Discount","Valid")</f>
        <v>Valid</v>
      </c>
      <c r="AU2" t="str">
        <f>IF(G2&lt;E2,"Invalid Shipping Record","Valid")</f>
        <v>Valid</v>
      </c>
      <c r="AV2" t="str">
        <f>IF(OR(AL2="Cancelled",AH2="Failed"),"Exclude","Include")</f>
        <v>Include</v>
      </c>
      <c r="AW2" t="str">
        <f>IF(ROUND(AE2,2)=ROUND(AN2,2),"Match","Mismatch")</f>
        <v>Match</v>
      </c>
      <c r="AX2" t="str">
        <f>IF(ROUND(AG2,2)=ROUND(AO2,2),"Match","Mismatch")</f>
        <v>Match</v>
      </c>
    </row>
    <row r="3" spans="1:50">
      <c r="A3" t="s">
        <v>35</v>
      </c>
      <c r="B3">
        <f t="shared" ref="B3:B66" si="9">COUNTIF($A:$A,A3)</f>
        <v>1</v>
      </c>
      <c r="C3" t="str">
        <f t="shared" ref="C3:C66" si="10">IF(B3&gt;1,"Review Required","")</f>
        <v/>
      </c>
      <c r="D3" s="3" t="s">
        <v>36</v>
      </c>
      <c r="E3" s="7">
        <v>45535</v>
      </c>
      <c r="F3" s="3" t="s">
        <v>37</v>
      </c>
      <c r="G3" s="7">
        <v>45540</v>
      </c>
      <c r="H3" s="7" t="str">
        <f t="shared" si="0"/>
        <v>Valid</v>
      </c>
      <c r="I3" s="9">
        <f t="shared" si="1"/>
        <v>5</v>
      </c>
      <c r="J3" s="9" t="str">
        <f t="shared" si="2"/>
        <v>Valid</v>
      </c>
      <c r="K3" t="s">
        <v>38</v>
      </c>
      <c r="L3" t="s">
        <v>39</v>
      </c>
      <c r="M3" t="s">
        <v>39</v>
      </c>
      <c r="N3" t="s">
        <v>40</v>
      </c>
      <c r="O3" s="3" t="str">
        <f t="shared" si="3"/>
        <v>Small Business</v>
      </c>
      <c r="P3" t="s">
        <v>41</v>
      </c>
      <c r="Q3" s="3" t="str">
        <f t="shared" si="4"/>
        <v>East</v>
      </c>
      <c r="R3" t="s">
        <v>42</v>
      </c>
      <c r="S3" t="s">
        <v>43</v>
      </c>
      <c r="T3" t="s">
        <v>44</v>
      </c>
      <c r="U3" s="3" t="str">
        <f t="shared" si="5"/>
        <v>Furniture</v>
      </c>
      <c r="V3" t="s">
        <v>45</v>
      </c>
      <c r="W3" t="s">
        <v>46</v>
      </c>
      <c r="X3" t="s">
        <v>47</v>
      </c>
      <c r="Y3" s="3" t="str">
        <f t="shared" si="6"/>
        <v>Same Day</v>
      </c>
      <c r="Z3">
        <v>3</v>
      </c>
      <c r="AA3">
        <v>2437.5</v>
      </c>
      <c r="AB3">
        <v>0</v>
      </c>
      <c r="AC3">
        <f t="shared" si="7"/>
        <v>0</v>
      </c>
      <c r="AD3" t="str">
        <f t="shared" ref="AD3:AD66" si="11">IF(AC3&lt;0,"Invalid Discount","Valid")</f>
        <v>Valid</v>
      </c>
      <c r="AE3">
        <v>7312.5</v>
      </c>
      <c r="AF3">
        <v>4904.7299999999996</v>
      </c>
      <c r="AG3">
        <v>2407.77</v>
      </c>
      <c r="AH3" t="s">
        <v>33</v>
      </c>
      <c r="AI3" t="str">
        <f t="shared" ref="AI3:AI66" si="12">IF(OR(AH3="Failed",AL3="Cancelled"),"Exclude","Include")</f>
        <v>Include</v>
      </c>
      <c r="AJ3" t="str">
        <f t="shared" ref="AJ3:AJ66" si="13">IF(AH3="Refunded","Refunded Order","")</f>
        <v/>
      </c>
      <c r="AK3" t="s">
        <v>34</v>
      </c>
      <c r="AL3" t="str">
        <f t="shared" si="8"/>
        <v>Completed</v>
      </c>
      <c r="AM3" t="str">
        <f t="shared" ref="AM3:AM66" si="14">IF(AL3="Cancelled","Exclude","Include")</f>
        <v>Include</v>
      </c>
      <c r="AN3">
        <f t="shared" ref="AN3:AN66" si="15">Z3*AA3*(1-AC3)</f>
        <v>7312.5</v>
      </c>
      <c r="AO3">
        <f t="shared" ref="AO3:AO66" si="16">AN3-AF3</f>
        <v>2407.7700000000004</v>
      </c>
      <c r="AP3">
        <f>IF(AN3=0,0,AO3/AN3)</f>
        <v>0.32926769230769237</v>
      </c>
      <c r="AQ3" t="str">
        <f t="shared" ref="AQ3:AQ66" si="17">TEXT(E3,"mmmm")</f>
        <v>August</v>
      </c>
      <c r="AR3">
        <f t="shared" ref="AR3:AR66" si="18">YEAR(E3)</f>
        <v>2024</v>
      </c>
      <c r="AS3" t="str">
        <f t="shared" ref="AS3:AS66" si="19">IF(OR(AC3&lt;0,AC3&gt;1,G3&lt;E3),"Invalid",IF(OR(Q3="Unknown",Y3="Unknown"),"Warning","Clean"))</f>
        <v>Clean</v>
      </c>
      <c r="AT3" t="str">
        <f>IF(OR(AC3&lt;0,AC3&gt;0.5),"Invalid Discount","Valid")</f>
        <v>Valid</v>
      </c>
      <c r="AU3" t="str">
        <f>IF(G3&lt;E3,"Invalid Shipping Record","Valid")</f>
        <v>Valid</v>
      </c>
      <c r="AV3" t="str">
        <f>IF(OR(AL3="Cancelled",AH3="Failed"),"Exclude","Include")</f>
        <v>Include</v>
      </c>
      <c r="AW3" t="str">
        <f t="shared" ref="AW3:AW66" si="20">IF(ROUND(AE3,2)=ROUND(AN3,2),"Match","Mismatch")</f>
        <v>Match</v>
      </c>
      <c r="AX3" t="str">
        <f t="shared" ref="AX3:AX66" si="21">IF(ROUND(AG3,2)=ROUND(AO3,2),"Match","Mismatch")</f>
        <v>Match</v>
      </c>
    </row>
    <row r="4" spans="1:50">
      <c r="A4" t="s">
        <v>48</v>
      </c>
      <c r="B4">
        <f t="shared" si="9"/>
        <v>1</v>
      </c>
      <c r="C4" t="str">
        <f t="shared" si="10"/>
        <v/>
      </c>
      <c r="D4" s="3" t="s">
        <v>49</v>
      </c>
      <c r="E4" s="7">
        <v>45451</v>
      </c>
      <c r="F4" s="3" t="s">
        <v>50</v>
      </c>
      <c r="G4" s="7">
        <v>45458</v>
      </c>
      <c r="H4" s="7" t="str">
        <f t="shared" si="0"/>
        <v>Valid</v>
      </c>
      <c r="I4" s="9">
        <f t="shared" si="1"/>
        <v>7</v>
      </c>
      <c r="J4" s="9" t="str">
        <f t="shared" si="2"/>
        <v>Valid</v>
      </c>
      <c r="K4" t="s">
        <v>51</v>
      </c>
      <c r="L4" t="s">
        <v>52</v>
      </c>
      <c r="M4" t="s">
        <v>52</v>
      </c>
      <c r="N4" t="s">
        <v>25</v>
      </c>
      <c r="O4" s="3" t="str">
        <f t="shared" si="3"/>
        <v>Consumer</v>
      </c>
      <c r="P4" t="s">
        <v>41</v>
      </c>
      <c r="Q4" s="3" t="str">
        <f t="shared" si="4"/>
        <v>East</v>
      </c>
      <c r="R4" t="s">
        <v>42</v>
      </c>
      <c r="S4" t="s">
        <v>43</v>
      </c>
      <c r="T4" t="s">
        <v>29</v>
      </c>
      <c r="U4" s="3" t="str">
        <f t="shared" si="5"/>
        <v>Office Supplies</v>
      </c>
      <c r="V4" t="s">
        <v>53</v>
      </c>
      <c r="W4" t="s">
        <v>54</v>
      </c>
      <c r="X4" t="s">
        <v>55</v>
      </c>
      <c r="Y4" s="3" t="str">
        <f t="shared" si="6"/>
        <v>First Class</v>
      </c>
      <c r="Z4">
        <v>4</v>
      </c>
      <c r="AA4">
        <v>1065.43</v>
      </c>
      <c r="AB4">
        <v>0.55000000000000004</v>
      </c>
      <c r="AC4">
        <f t="shared" si="7"/>
        <v>0.55000000000000004</v>
      </c>
      <c r="AD4" t="str">
        <f t="shared" si="11"/>
        <v>Valid</v>
      </c>
      <c r="AE4">
        <v>4261.72</v>
      </c>
      <c r="AF4">
        <v>2465.69</v>
      </c>
      <c r="AG4">
        <v>1796.03</v>
      </c>
      <c r="AH4" t="s">
        <v>33</v>
      </c>
      <c r="AI4" t="str">
        <f t="shared" si="12"/>
        <v>Include</v>
      </c>
      <c r="AJ4" t="str">
        <f t="shared" si="13"/>
        <v/>
      </c>
      <c r="AK4" t="s">
        <v>34</v>
      </c>
      <c r="AL4" t="str">
        <f t="shared" si="8"/>
        <v>Completed</v>
      </c>
      <c r="AM4" t="str">
        <f t="shared" si="14"/>
        <v>Include</v>
      </c>
      <c r="AN4">
        <f t="shared" si="15"/>
        <v>1917.7739999999999</v>
      </c>
      <c r="AO4">
        <f t="shared" si="16"/>
        <v>-547.91600000000017</v>
      </c>
      <c r="AP4">
        <f>IF(AN4=0,0,AO4/AN4)</f>
        <v>-0.28570415492127865</v>
      </c>
      <c r="AQ4" t="str">
        <f t="shared" si="17"/>
        <v>June</v>
      </c>
      <c r="AR4">
        <f t="shared" si="18"/>
        <v>2024</v>
      </c>
      <c r="AS4" t="str">
        <f t="shared" si="19"/>
        <v>Clean</v>
      </c>
      <c r="AT4" t="str">
        <f>IF(OR(AC4&lt;0,AC4&gt;0.5),"Invalid Discount","Valid")</f>
        <v>Invalid Discount</v>
      </c>
      <c r="AU4" t="str">
        <f>IF(G4&lt;E4,"Invalid Shipping Record","Valid")</f>
        <v>Valid</v>
      </c>
      <c r="AV4" t="str">
        <f>IF(OR(AL4="Cancelled",AH4="Failed"),"Exclude","Include")</f>
        <v>Include</v>
      </c>
      <c r="AW4" t="str">
        <f t="shared" si="20"/>
        <v>Mismatch</v>
      </c>
      <c r="AX4" t="str">
        <f t="shared" si="21"/>
        <v>Mismatch</v>
      </c>
    </row>
    <row r="5" spans="1:50">
      <c r="A5" t="s">
        <v>56</v>
      </c>
      <c r="B5">
        <f t="shared" si="9"/>
        <v>1</v>
      </c>
      <c r="C5" t="str">
        <f t="shared" si="10"/>
        <v/>
      </c>
      <c r="D5" s="3" t="s">
        <v>57</v>
      </c>
      <c r="E5" s="7">
        <v>45624</v>
      </c>
      <c r="F5" s="3" t="s">
        <v>58</v>
      </c>
      <c r="G5" s="7">
        <v>45625</v>
      </c>
      <c r="H5" s="7" t="str">
        <f t="shared" si="0"/>
        <v>Valid</v>
      </c>
      <c r="I5" s="9">
        <f t="shared" si="1"/>
        <v>1</v>
      </c>
      <c r="J5" s="9" t="str">
        <f t="shared" si="2"/>
        <v>Valid</v>
      </c>
      <c r="K5" t="s">
        <v>59</v>
      </c>
      <c r="L5" t="s">
        <v>60</v>
      </c>
      <c r="M5" t="s">
        <v>60</v>
      </c>
      <c r="N5" t="s">
        <v>40</v>
      </c>
      <c r="O5" s="3" t="str">
        <f t="shared" si="3"/>
        <v>Small Business</v>
      </c>
      <c r="P5" t="s">
        <v>61</v>
      </c>
      <c r="Q5" s="3" t="str">
        <f t="shared" si="4"/>
        <v>South</v>
      </c>
      <c r="R5" t="s">
        <v>62</v>
      </c>
      <c r="S5" t="s">
        <v>63</v>
      </c>
      <c r="T5" t="s">
        <v>44</v>
      </c>
      <c r="U5" s="3" t="str">
        <f t="shared" si="5"/>
        <v>Furniture</v>
      </c>
      <c r="V5" t="s">
        <v>64</v>
      </c>
      <c r="W5" t="s">
        <v>65</v>
      </c>
      <c r="X5" t="s">
        <v>66</v>
      </c>
      <c r="Y5" s="3" t="str">
        <f t="shared" si="6"/>
        <v>Standard Class</v>
      </c>
      <c r="Z5">
        <v>6</v>
      </c>
      <c r="AA5">
        <v>1848.43</v>
      </c>
      <c r="AB5">
        <v>0.25</v>
      </c>
      <c r="AC5">
        <f t="shared" si="7"/>
        <v>0.25</v>
      </c>
      <c r="AD5" t="str">
        <f t="shared" si="11"/>
        <v>Valid</v>
      </c>
      <c r="AE5">
        <v>8317.93</v>
      </c>
      <c r="AF5">
        <v>6796.77</v>
      </c>
      <c r="AG5">
        <v>1521.16</v>
      </c>
      <c r="AH5" t="s">
        <v>33</v>
      </c>
      <c r="AI5" t="str">
        <f t="shared" si="12"/>
        <v>Include</v>
      </c>
      <c r="AJ5" t="str">
        <f t="shared" si="13"/>
        <v/>
      </c>
      <c r="AK5" t="s">
        <v>34</v>
      </c>
      <c r="AL5" t="str">
        <f t="shared" si="8"/>
        <v>Completed</v>
      </c>
      <c r="AM5" t="str">
        <f t="shared" si="14"/>
        <v>Include</v>
      </c>
      <c r="AN5">
        <f t="shared" si="15"/>
        <v>8317.9349999999995</v>
      </c>
      <c r="AO5">
        <f t="shared" si="16"/>
        <v>1521.1649999999991</v>
      </c>
      <c r="AP5">
        <f>IF(AN5=0,0,AO5/AN5)</f>
        <v>0.18287772145370204</v>
      </c>
      <c r="AQ5" t="str">
        <f t="shared" si="17"/>
        <v>November</v>
      </c>
      <c r="AR5">
        <f t="shared" si="18"/>
        <v>2024</v>
      </c>
      <c r="AS5" t="str">
        <f t="shared" si="19"/>
        <v>Clean</v>
      </c>
      <c r="AT5" t="str">
        <f>IF(OR(AC5&lt;0,AC5&gt;0.5),"Invalid Discount","Valid")</f>
        <v>Valid</v>
      </c>
      <c r="AU5" t="str">
        <f>IF(G5&lt;E5,"Invalid Shipping Record","Valid")</f>
        <v>Valid</v>
      </c>
      <c r="AV5" t="str">
        <f>IF(OR(AL5="Cancelled",AH5="Failed"),"Exclude","Include")</f>
        <v>Include</v>
      </c>
      <c r="AW5" t="str">
        <f t="shared" si="20"/>
        <v>Mismatch</v>
      </c>
      <c r="AX5" t="str">
        <f t="shared" si="21"/>
        <v>Mismatch</v>
      </c>
    </row>
    <row r="6" spans="1:50">
      <c r="A6" t="s">
        <v>67</v>
      </c>
      <c r="B6">
        <f t="shared" si="9"/>
        <v>1</v>
      </c>
      <c r="C6" t="str">
        <f t="shared" si="10"/>
        <v/>
      </c>
      <c r="D6" s="3" t="s">
        <v>68</v>
      </c>
      <c r="E6" s="7">
        <v>45898</v>
      </c>
      <c r="F6" s="3" t="s">
        <v>69</v>
      </c>
      <c r="G6" s="7">
        <v>45901</v>
      </c>
      <c r="H6" s="7" t="str">
        <f t="shared" si="0"/>
        <v>Valid</v>
      </c>
      <c r="I6" s="9">
        <f t="shared" si="1"/>
        <v>3</v>
      </c>
      <c r="J6" s="9" t="str">
        <f t="shared" si="2"/>
        <v>Valid</v>
      </c>
      <c r="K6" t="s">
        <v>70</v>
      </c>
      <c r="L6" t="s">
        <v>71</v>
      </c>
      <c r="M6" t="s">
        <v>71</v>
      </c>
      <c r="N6" t="s">
        <v>40</v>
      </c>
      <c r="O6" s="3" t="str">
        <f t="shared" si="3"/>
        <v>Small Business</v>
      </c>
      <c r="P6" t="s">
        <v>72</v>
      </c>
      <c r="Q6" s="3" t="str">
        <f t="shared" si="4"/>
        <v>West</v>
      </c>
      <c r="R6" t="s">
        <v>73</v>
      </c>
      <c r="S6" t="s">
        <v>74</v>
      </c>
      <c r="T6" t="s">
        <v>44</v>
      </c>
      <c r="U6" s="3" t="str">
        <f t="shared" si="5"/>
        <v>Furniture</v>
      </c>
      <c r="V6" t="s">
        <v>75</v>
      </c>
      <c r="W6" t="s">
        <v>76</v>
      </c>
      <c r="X6" t="s">
        <v>55</v>
      </c>
      <c r="Y6" s="3" t="str">
        <f t="shared" si="6"/>
        <v>First Class</v>
      </c>
      <c r="Z6">
        <v>7</v>
      </c>
      <c r="AA6">
        <v>2973.76</v>
      </c>
      <c r="AB6">
        <v>0</v>
      </c>
      <c r="AC6">
        <f t="shared" si="7"/>
        <v>0</v>
      </c>
      <c r="AD6" t="str">
        <f t="shared" si="11"/>
        <v>Valid</v>
      </c>
      <c r="AE6">
        <v>20816.32</v>
      </c>
      <c r="AF6">
        <v>17705.37</v>
      </c>
      <c r="AG6">
        <v>3110.95</v>
      </c>
      <c r="AH6" t="s">
        <v>33</v>
      </c>
      <c r="AI6" t="str">
        <f t="shared" si="12"/>
        <v>Exclude</v>
      </c>
      <c r="AJ6" t="str">
        <f t="shared" si="13"/>
        <v/>
      </c>
      <c r="AK6" t="s">
        <v>77</v>
      </c>
      <c r="AL6" t="str">
        <f t="shared" si="8"/>
        <v>Cancelled</v>
      </c>
      <c r="AM6" t="str">
        <f t="shared" si="14"/>
        <v>Exclude</v>
      </c>
      <c r="AN6">
        <f t="shared" si="15"/>
        <v>20816.32</v>
      </c>
      <c r="AO6">
        <f t="shared" si="16"/>
        <v>3110.9500000000007</v>
      </c>
      <c r="AP6">
        <f>IF(AN6=0,0,AO6/AN6)</f>
        <v>0.14944764492475138</v>
      </c>
      <c r="AQ6" t="str">
        <f t="shared" si="17"/>
        <v>August</v>
      </c>
      <c r="AR6">
        <f t="shared" si="18"/>
        <v>2025</v>
      </c>
      <c r="AS6" t="str">
        <f t="shared" si="19"/>
        <v>Clean</v>
      </c>
      <c r="AT6" t="str">
        <f>IF(OR(AC6&lt;0,AC6&gt;0.5),"Invalid Discount","Valid")</f>
        <v>Valid</v>
      </c>
      <c r="AU6" t="str">
        <f>IF(G6&lt;E6,"Invalid Shipping Record","Valid")</f>
        <v>Valid</v>
      </c>
      <c r="AV6" t="str">
        <f>IF(OR(AL6="Cancelled",AH6="Failed"),"Exclude","Include")</f>
        <v>Exclude</v>
      </c>
      <c r="AW6" t="str">
        <f t="shared" si="20"/>
        <v>Match</v>
      </c>
      <c r="AX6" t="str">
        <f t="shared" si="21"/>
        <v>Match</v>
      </c>
    </row>
    <row r="7" spans="1:50">
      <c r="A7" t="s">
        <v>78</v>
      </c>
      <c r="B7">
        <f t="shared" si="9"/>
        <v>1</v>
      </c>
      <c r="C7" t="str">
        <f t="shared" si="10"/>
        <v/>
      </c>
      <c r="D7" s="3" t="s">
        <v>79</v>
      </c>
      <c r="E7" s="7">
        <v>45436</v>
      </c>
      <c r="F7" s="3" t="s">
        <v>80</v>
      </c>
      <c r="G7" s="7">
        <v>45440</v>
      </c>
      <c r="H7" s="7" t="str">
        <f t="shared" si="0"/>
        <v>Valid</v>
      </c>
      <c r="I7" s="9">
        <f t="shared" si="1"/>
        <v>4</v>
      </c>
      <c r="J7" s="9" t="str">
        <f t="shared" si="2"/>
        <v>Valid</v>
      </c>
      <c r="K7" t="s">
        <v>81</v>
      </c>
      <c r="L7" t="s">
        <v>82</v>
      </c>
      <c r="M7" t="s">
        <v>82</v>
      </c>
      <c r="N7" t="s">
        <v>40</v>
      </c>
      <c r="O7" s="3" t="str">
        <f t="shared" si="3"/>
        <v>Small Business</v>
      </c>
      <c r="P7" t="s">
        <v>72</v>
      </c>
      <c r="Q7" s="3" t="str">
        <f t="shared" si="4"/>
        <v>West</v>
      </c>
      <c r="R7" t="s">
        <v>83</v>
      </c>
      <c r="S7" t="s">
        <v>84</v>
      </c>
      <c r="T7" t="s">
        <v>85</v>
      </c>
      <c r="U7" s="3" t="str">
        <f t="shared" si="5"/>
        <v>Technology</v>
      </c>
      <c r="V7" t="s">
        <v>86</v>
      </c>
      <c r="W7" t="s">
        <v>87</v>
      </c>
      <c r="X7" t="s">
        <v>47</v>
      </c>
      <c r="Y7" s="3" t="str">
        <f t="shared" si="6"/>
        <v>Same Day</v>
      </c>
      <c r="Z7">
        <v>3</v>
      </c>
      <c r="AA7">
        <v>1053.1099999999999</v>
      </c>
      <c r="AB7">
        <v>0.2</v>
      </c>
      <c r="AC7">
        <f t="shared" si="7"/>
        <v>0.2</v>
      </c>
      <c r="AD7" t="str">
        <f t="shared" si="11"/>
        <v>Valid</v>
      </c>
      <c r="AE7">
        <v>2527.46</v>
      </c>
      <c r="AF7">
        <v>1533.58</v>
      </c>
      <c r="AG7">
        <v>993.88</v>
      </c>
      <c r="AH7" t="s">
        <v>33</v>
      </c>
      <c r="AI7" t="str">
        <f t="shared" si="12"/>
        <v>Include</v>
      </c>
      <c r="AJ7" t="str">
        <f t="shared" si="13"/>
        <v/>
      </c>
      <c r="AK7" t="s">
        <v>34</v>
      </c>
      <c r="AL7" t="str">
        <f t="shared" si="8"/>
        <v>Completed</v>
      </c>
      <c r="AM7" t="str">
        <f t="shared" si="14"/>
        <v>Include</v>
      </c>
      <c r="AN7">
        <f t="shared" si="15"/>
        <v>2527.4639999999999</v>
      </c>
      <c r="AO7">
        <f t="shared" si="16"/>
        <v>993.88400000000001</v>
      </c>
      <c r="AP7">
        <f>IF(AN7=0,0,AO7/AN7)</f>
        <v>0.39323369195367375</v>
      </c>
      <c r="AQ7" t="str">
        <f t="shared" si="17"/>
        <v>May</v>
      </c>
      <c r="AR7">
        <f t="shared" si="18"/>
        <v>2024</v>
      </c>
      <c r="AS7" t="str">
        <f t="shared" si="19"/>
        <v>Clean</v>
      </c>
      <c r="AT7" t="str">
        <f>IF(OR(AC7&lt;0,AC7&gt;0.5),"Invalid Discount","Valid")</f>
        <v>Valid</v>
      </c>
      <c r="AU7" t="str">
        <f>IF(G7&lt;E7,"Invalid Shipping Record","Valid")</f>
        <v>Valid</v>
      </c>
      <c r="AV7" t="str">
        <f>IF(OR(AL7="Cancelled",AH7="Failed"),"Exclude","Include")</f>
        <v>Include</v>
      </c>
      <c r="AW7" t="str">
        <f t="shared" si="20"/>
        <v>Match</v>
      </c>
      <c r="AX7" t="str">
        <f t="shared" si="21"/>
        <v>Match</v>
      </c>
    </row>
    <row r="8" spans="1:50">
      <c r="A8" t="s">
        <v>88</v>
      </c>
      <c r="B8">
        <f t="shared" si="9"/>
        <v>1</v>
      </c>
      <c r="C8" t="str">
        <f t="shared" si="10"/>
        <v/>
      </c>
      <c r="D8" s="3" t="s">
        <v>89</v>
      </c>
      <c r="E8" s="7">
        <v>45757</v>
      </c>
      <c r="F8" s="3" t="s">
        <v>90</v>
      </c>
      <c r="G8" s="7">
        <v>45763</v>
      </c>
      <c r="H8" s="7" t="str">
        <f t="shared" si="0"/>
        <v>Valid</v>
      </c>
      <c r="I8" s="9">
        <f t="shared" si="1"/>
        <v>6</v>
      </c>
      <c r="J8" s="9" t="str">
        <f t="shared" si="2"/>
        <v>Valid</v>
      </c>
      <c r="K8" t="s">
        <v>91</v>
      </c>
      <c r="L8" t="s">
        <v>92</v>
      </c>
      <c r="M8" t="s">
        <v>92</v>
      </c>
      <c r="N8" t="s">
        <v>25</v>
      </c>
      <c r="O8" s="3" t="str">
        <f t="shared" si="3"/>
        <v>Consumer</v>
      </c>
      <c r="P8" t="s">
        <v>41</v>
      </c>
      <c r="Q8" s="3" t="str">
        <f t="shared" si="4"/>
        <v>East</v>
      </c>
      <c r="R8" t="s">
        <v>42</v>
      </c>
      <c r="S8" t="s">
        <v>43</v>
      </c>
      <c r="T8" t="s">
        <v>85</v>
      </c>
      <c r="U8" s="3" t="str">
        <f t="shared" si="5"/>
        <v>Technology</v>
      </c>
      <c r="V8" t="s">
        <v>93</v>
      </c>
      <c r="W8" t="s">
        <v>94</v>
      </c>
      <c r="X8" t="s">
        <v>66</v>
      </c>
      <c r="Y8" s="3" t="str">
        <f t="shared" si="6"/>
        <v>Standard Class</v>
      </c>
      <c r="Z8">
        <v>4</v>
      </c>
      <c r="AA8">
        <v>1719.87</v>
      </c>
      <c r="AB8">
        <v>0.15</v>
      </c>
      <c r="AC8">
        <f t="shared" si="7"/>
        <v>0.15</v>
      </c>
      <c r="AD8" t="str">
        <f t="shared" si="11"/>
        <v>Valid</v>
      </c>
      <c r="AE8">
        <v>5847.56</v>
      </c>
      <c r="AF8">
        <v>4727.25</v>
      </c>
      <c r="AG8">
        <v>1120.31</v>
      </c>
      <c r="AH8" t="s">
        <v>33</v>
      </c>
      <c r="AI8" t="str">
        <f t="shared" si="12"/>
        <v>Include</v>
      </c>
      <c r="AJ8" t="str">
        <f t="shared" si="13"/>
        <v/>
      </c>
      <c r="AK8" t="s">
        <v>34</v>
      </c>
      <c r="AL8" t="str">
        <f t="shared" si="8"/>
        <v>Completed</v>
      </c>
      <c r="AM8" t="str">
        <f t="shared" si="14"/>
        <v>Include</v>
      </c>
      <c r="AN8">
        <f t="shared" si="15"/>
        <v>5847.5579999999991</v>
      </c>
      <c r="AO8">
        <f t="shared" si="16"/>
        <v>1120.3079999999991</v>
      </c>
      <c r="AP8">
        <f>IF(AN8=0,0,AO8/AN8)</f>
        <v>0.19158561573908275</v>
      </c>
      <c r="AQ8" t="str">
        <f t="shared" si="17"/>
        <v>April</v>
      </c>
      <c r="AR8">
        <f t="shared" si="18"/>
        <v>2025</v>
      </c>
      <c r="AS8" t="str">
        <f t="shared" si="19"/>
        <v>Clean</v>
      </c>
      <c r="AT8" t="str">
        <f>IF(OR(AC8&lt;0,AC8&gt;0.5),"Invalid Discount","Valid")</f>
        <v>Valid</v>
      </c>
      <c r="AU8" t="str">
        <f>IF(G8&lt;E8,"Invalid Shipping Record","Valid")</f>
        <v>Valid</v>
      </c>
      <c r="AV8" t="str">
        <f>IF(OR(AL8="Cancelled",AH8="Failed"),"Exclude","Include")</f>
        <v>Include</v>
      </c>
      <c r="AW8" t="str">
        <f t="shared" si="20"/>
        <v>Match</v>
      </c>
      <c r="AX8" t="str">
        <f t="shared" si="21"/>
        <v>Match</v>
      </c>
    </row>
    <row r="9" spans="1:50">
      <c r="A9" t="s">
        <v>95</v>
      </c>
      <c r="B9">
        <f t="shared" si="9"/>
        <v>1</v>
      </c>
      <c r="C9" t="str">
        <f t="shared" si="10"/>
        <v/>
      </c>
      <c r="D9" s="3" t="s">
        <v>96</v>
      </c>
      <c r="E9" s="7">
        <v>45711</v>
      </c>
      <c r="F9" s="3" t="s">
        <v>97</v>
      </c>
      <c r="G9" s="7">
        <v>45714</v>
      </c>
      <c r="H9" s="7" t="str">
        <f t="shared" si="0"/>
        <v>Valid</v>
      </c>
      <c r="I9" s="9">
        <f t="shared" si="1"/>
        <v>3</v>
      </c>
      <c r="J9" s="9" t="str">
        <f t="shared" si="2"/>
        <v>Valid</v>
      </c>
      <c r="K9" t="s">
        <v>98</v>
      </c>
      <c r="L9" t="s">
        <v>52</v>
      </c>
      <c r="M9" t="s">
        <v>52</v>
      </c>
      <c r="N9" t="s">
        <v>40</v>
      </c>
      <c r="O9" s="3" t="str">
        <f t="shared" si="3"/>
        <v>Small Business</v>
      </c>
      <c r="P9" t="s">
        <v>61</v>
      </c>
      <c r="Q9" s="3" t="str">
        <f t="shared" si="4"/>
        <v>South</v>
      </c>
      <c r="R9" t="s">
        <v>99</v>
      </c>
      <c r="S9" t="s">
        <v>100</v>
      </c>
      <c r="T9" t="s">
        <v>29</v>
      </c>
      <c r="U9" s="3" t="str">
        <f t="shared" si="5"/>
        <v>Office Supplies</v>
      </c>
      <c r="V9" t="s">
        <v>53</v>
      </c>
      <c r="W9" t="s">
        <v>101</v>
      </c>
      <c r="X9" t="s">
        <v>55</v>
      </c>
      <c r="Y9" s="3" t="str">
        <f t="shared" si="6"/>
        <v>First Class</v>
      </c>
      <c r="Z9">
        <v>1</v>
      </c>
      <c r="AA9">
        <v>2980.71</v>
      </c>
      <c r="AB9">
        <v>0</v>
      </c>
      <c r="AC9">
        <f t="shared" si="7"/>
        <v>0</v>
      </c>
      <c r="AD9" t="str">
        <f t="shared" si="11"/>
        <v>Valid</v>
      </c>
      <c r="AE9">
        <v>2980.71</v>
      </c>
      <c r="AF9">
        <v>2357.2199999999998</v>
      </c>
      <c r="AG9">
        <v>623.49</v>
      </c>
      <c r="AH9" t="s">
        <v>33</v>
      </c>
      <c r="AI9" t="str">
        <f t="shared" si="12"/>
        <v>Include</v>
      </c>
      <c r="AJ9" t="str">
        <f t="shared" si="13"/>
        <v/>
      </c>
      <c r="AK9" t="s">
        <v>34</v>
      </c>
      <c r="AL9" t="str">
        <f t="shared" si="8"/>
        <v>Completed</v>
      </c>
      <c r="AM9" t="str">
        <f t="shared" si="14"/>
        <v>Include</v>
      </c>
      <c r="AN9">
        <f t="shared" si="15"/>
        <v>2980.71</v>
      </c>
      <c r="AO9">
        <f t="shared" si="16"/>
        <v>623.49000000000024</v>
      </c>
      <c r="AP9">
        <f>IF(AN9=0,0,AO9/AN9)</f>
        <v>0.20917499521925992</v>
      </c>
      <c r="AQ9" t="str">
        <f t="shared" si="17"/>
        <v>February</v>
      </c>
      <c r="AR9">
        <f t="shared" si="18"/>
        <v>2025</v>
      </c>
      <c r="AS9" t="str">
        <f t="shared" si="19"/>
        <v>Clean</v>
      </c>
      <c r="AT9" t="str">
        <f>IF(OR(AC9&lt;0,AC9&gt;0.5),"Invalid Discount","Valid")</f>
        <v>Valid</v>
      </c>
      <c r="AU9" t="str">
        <f>IF(G9&lt;E9,"Invalid Shipping Record","Valid")</f>
        <v>Valid</v>
      </c>
      <c r="AV9" t="str">
        <f>IF(OR(AL9="Cancelled",AH9="Failed"),"Exclude","Include")</f>
        <v>Include</v>
      </c>
      <c r="AW9" t="str">
        <f t="shared" si="20"/>
        <v>Match</v>
      </c>
      <c r="AX9" t="str">
        <f t="shared" si="21"/>
        <v>Match</v>
      </c>
    </row>
    <row r="10" spans="1:50">
      <c r="A10" t="s">
        <v>102</v>
      </c>
      <c r="B10">
        <f t="shared" si="9"/>
        <v>1</v>
      </c>
      <c r="C10" t="str">
        <f t="shared" si="10"/>
        <v/>
      </c>
      <c r="D10" s="3" t="s">
        <v>103</v>
      </c>
      <c r="E10" s="7">
        <v>45601</v>
      </c>
      <c r="F10" s="3" t="s">
        <v>104</v>
      </c>
      <c r="G10" s="7">
        <v>45606</v>
      </c>
      <c r="H10" s="7" t="str">
        <f t="shared" si="0"/>
        <v>Valid</v>
      </c>
      <c r="I10" s="9">
        <f t="shared" si="1"/>
        <v>5</v>
      </c>
      <c r="J10" s="9" t="str">
        <f t="shared" si="2"/>
        <v>Valid</v>
      </c>
      <c r="K10" t="s">
        <v>105</v>
      </c>
      <c r="L10" t="s">
        <v>106</v>
      </c>
      <c r="M10" t="s">
        <v>106</v>
      </c>
      <c r="N10" t="s">
        <v>107</v>
      </c>
      <c r="O10" s="3" t="str">
        <f t="shared" si="3"/>
        <v>Corporate</v>
      </c>
      <c r="P10" t="s">
        <v>61</v>
      </c>
      <c r="Q10" s="3" t="str">
        <f t="shared" si="4"/>
        <v>South</v>
      </c>
      <c r="R10" t="s">
        <v>62</v>
      </c>
      <c r="S10" t="s">
        <v>63</v>
      </c>
      <c r="T10" t="s">
        <v>29</v>
      </c>
      <c r="U10" s="3" t="str">
        <f t="shared" si="5"/>
        <v>Office Supplies</v>
      </c>
      <c r="V10" t="s">
        <v>108</v>
      </c>
      <c r="W10" t="s">
        <v>109</v>
      </c>
      <c r="X10" t="s">
        <v>55</v>
      </c>
      <c r="Y10" s="3" t="str">
        <f t="shared" si="6"/>
        <v>First Class</v>
      </c>
      <c r="Z10">
        <v>8</v>
      </c>
      <c r="AA10">
        <v>3134.2</v>
      </c>
      <c r="AB10">
        <v>0</v>
      </c>
      <c r="AC10">
        <f t="shared" si="7"/>
        <v>0</v>
      </c>
      <c r="AD10" t="str">
        <f t="shared" si="11"/>
        <v>Valid</v>
      </c>
      <c r="AE10">
        <v>25073.599999999999</v>
      </c>
      <c r="AF10">
        <v>17347.23</v>
      </c>
      <c r="AG10">
        <v>7726.37</v>
      </c>
      <c r="AH10" t="s">
        <v>33</v>
      </c>
      <c r="AI10" t="str">
        <f t="shared" si="12"/>
        <v>Include</v>
      </c>
      <c r="AJ10" t="str">
        <f t="shared" si="13"/>
        <v/>
      </c>
      <c r="AK10" t="s">
        <v>34</v>
      </c>
      <c r="AL10" t="str">
        <f t="shared" si="8"/>
        <v>Completed</v>
      </c>
      <c r="AM10" t="str">
        <f t="shared" si="14"/>
        <v>Include</v>
      </c>
      <c r="AN10">
        <f t="shared" si="15"/>
        <v>25073.599999999999</v>
      </c>
      <c r="AO10">
        <f t="shared" si="16"/>
        <v>7726.369999999999</v>
      </c>
      <c r="AP10">
        <f>IF(AN10=0,0,AO10/AN10)</f>
        <v>0.30814761342607361</v>
      </c>
      <c r="AQ10" t="str">
        <f t="shared" si="17"/>
        <v>November</v>
      </c>
      <c r="AR10">
        <f t="shared" si="18"/>
        <v>2024</v>
      </c>
      <c r="AS10" t="str">
        <f t="shared" si="19"/>
        <v>Clean</v>
      </c>
      <c r="AT10" t="str">
        <f>IF(OR(AC10&lt;0,AC10&gt;0.5),"Invalid Discount","Valid")</f>
        <v>Valid</v>
      </c>
      <c r="AU10" t="str">
        <f>IF(G10&lt;E10,"Invalid Shipping Record","Valid")</f>
        <v>Valid</v>
      </c>
      <c r="AV10" t="str">
        <f>IF(OR(AL10="Cancelled",AH10="Failed"),"Exclude","Include")</f>
        <v>Include</v>
      </c>
      <c r="AW10" t="str">
        <f t="shared" si="20"/>
        <v>Match</v>
      </c>
      <c r="AX10" t="str">
        <f t="shared" si="21"/>
        <v>Match</v>
      </c>
    </row>
    <row r="11" spans="1:50">
      <c r="A11" t="s">
        <v>110</v>
      </c>
      <c r="B11">
        <f t="shared" si="9"/>
        <v>1</v>
      </c>
      <c r="C11" t="str">
        <f t="shared" si="10"/>
        <v/>
      </c>
      <c r="D11" s="3" t="s">
        <v>111</v>
      </c>
      <c r="E11" s="7">
        <v>45907</v>
      </c>
      <c r="F11" s="3" t="s">
        <v>112</v>
      </c>
      <c r="G11" s="7">
        <v>45912</v>
      </c>
      <c r="H11" s="7" t="str">
        <f t="shared" si="0"/>
        <v>Valid</v>
      </c>
      <c r="I11" s="9">
        <f t="shared" si="1"/>
        <v>5</v>
      </c>
      <c r="J11" s="9" t="str">
        <f t="shared" si="2"/>
        <v>Valid</v>
      </c>
      <c r="K11" t="s">
        <v>113</v>
      </c>
      <c r="L11" t="s">
        <v>39</v>
      </c>
      <c r="M11" t="s">
        <v>39</v>
      </c>
      <c r="N11" t="s">
        <v>114</v>
      </c>
      <c r="O11" s="3" t="str">
        <f t="shared" si="3"/>
        <v>Home Office</v>
      </c>
      <c r="P11" t="s">
        <v>61</v>
      </c>
      <c r="Q11" s="3" t="str">
        <f t="shared" si="4"/>
        <v>South</v>
      </c>
      <c r="R11" t="s">
        <v>62</v>
      </c>
      <c r="S11" t="s">
        <v>63</v>
      </c>
      <c r="T11" t="s">
        <v>29</v>
      </c>
      <c r="U11" s="3" t="str">
        <f t="shared" si="5"/>
        <v>Office Supplies</v>
      </c>
      <c r="V11" t="s">
        <v>30</v>
      </c>
      <c r="W11" t="s">
        <v>115</v>
      </c>
      <c r="X11" t="s">
        <v>32</v>
      </c>
      <c r="Y11" s="3" t="str">
        <f t="shared" si="6"/>
        <v>Second Class</v>
      </c>
      <c r="Z11">
        <v>9</v>
      </c>
      <c r="AA11">
        <v>852.04</v>
      </c>
      <c r="AB11">
        <v>0.2</v>
      </c>
      <c r="AC11">
        <f t="shared" si="7"/>
        <v>0.2</v>
      </c>
      <c r="AD11" t="str">
        <f t="shared" si="11"/>
        <v>Valid</v>
      </c>
      <c r="AE11">
        <v>6134.69</v>
      </c>
      <c r="AF11">
        <v>3800.19</v>
      </c>
      <c r="AG11">
        <v>2334.5</v>
      </c>
      <c r="AH11" t="s">
        <v>33</v>
      </c>
      <c r="AI11" t="str">
        <f t="shared" si="12"/>
        <v>Include</v>
      </c>
      <c r="AJ11" t="str">
        <f t="shared" si="13"/>
        <v/>
      </c>
      <c r="AK11" t="s">
        <v>34</v>
      </c>
      <c r="AL11" t="str">
        <f t="shared" si="8"/>
        <v>Completed</v>
      </c>
      <c r="AM11" t="str">
        <f t="shared" si="14"/>
        <v>Include</v>
      </c>
      <c r="AN11">
        <f t="shared" si="15"/>
        <v>6134.6880000000001</v>
      </c>
      <c r="AO11">
        <f t="shared" si="16"/>
        <v>2334.498</v>
      </c>
      <c r="AP11">
        <f>IF(AN11=0,0,AO11/AN11)</f>
        <v>0.38054062407085737</v>
      </c>
      <c r="AQ11" t="str">
        <f t="shared" si="17"/>
        <v>September</v>
      </c>
      <c r="AR11">
        <f t="shared" si="18"/>
        <v>2025</v>
      </c>
      <c r="AS11" t="str">
        <f t="shared" si="19"/>
        <v>Clean</v>
      </c>
      <c r="AT11" t="str">
        <f>IF(OR(AC11&lt;0,AC11&gt;0.5),"Invalid Discount","Valid")</f>
        <v>Valid</v>
      </c>
      <c r="AU11" t="str">
        <f>IF(G11&lt;E11,"Invalid Shipping Record","Valid")</f>
        <v>Valid</v>
      </c>
      <c r="AV11" t="str">
        <f>IF(OR(AL11="Cancelled",AH11="Failed"),"Exclude","Include")</f>
        <v>Include</v>
      </c>
      <c r="AW11" t="str">
        <f t="shared" si="20"/>
        <v>Match</v>
      </c>
      <c r="AX11" t="str">
        <f t="shared" si="21"/>
        <v>Match</v>
      </c>
    </row>
    <row r="12" spans="1:50">
      <c r="A12" t="s">
        <v>116</v>
      </c>
      <c r="B12">
        <f t="shared" si="9"/>
        <v>1</v>
      </c>
      <c r="C12" t="str">
        <f t="shared" si="10"/>
        <v/>
      </c>
      <c r="D12" s="3" t="s">
        <v>117</v>
      </c>
      <c r="E12" s="7">
        <v>45797</v>
      </c>
      <c r="F12" s="3" t="s">
        <v>118</v>
      </c>
      <c r="G12" s="7">
        <v>45797</v>
      </c>
      <c r="H12" s="7" t="str">
        <f t="shared" si="0"/>
        <v>Valid</v>
      </c>
      <c r="I12" s="9">
        <f t="shared" si="1"/>
        <v>0</v>
      </c>
      <c r="J12" s="9" t="str">
        <f t="shared" si="2"/>
        <v>Valid</v>
      </c>
      <c r="K12" t="s">
        <v>119</v>
      </c>
      <c r="L12" t="s">
        <v>71</v>
      </c>
      <c r="M12" t="s">
        <v>71</v>
      </c>
      <c r="N12" t="s">
        <v>107</v>
      </c>
      <c r="O12" s="3" t="str">
        <f t="shared" si="3"/>
        <v>Corporate</v>
      </c>
      <c r="P12" t="s">
        <v>41</v>
      </c>
      <c r="Q12" s="3" t="str">
        <f t="shared" si="4"/>
        <v>East</v>
      </c>
      <c r="R12" t="s">
        <v>120</v>
      </c>
      <c r="S12" t="s">
        <v>121</v>
      </c>
      <c r="T12" t="s">
        <v>29</v>
      </c>
      <c r="U12" s="3" t="str">
        <f t="shared" si="5"/>
        <v>Office Supplies</v>
      </c>
      <c r="V12" t="s">
        <v>108</v>
      </c>
      <c r="W12" t="s">
        <v>122</v>
      </c>
      <c r="X12" t="s">
        <v>32</v>
      </c>
      <c r="Y12" s="3" t="str">
        <f t="shared" si="6"/>
        <v>Second Class</v>
      </c>
      <c r="Z12">
        <v>3</v>
      </c>
      <c r="AA12">
        <v>3534.83</v>
      </c>
      <c r="AB12">
        <v>0.05</v>
      </c>
      <c r="AC12">
        <f t="shared" si="7"/>
        <v>0.05</v>
      </c>
      <c r="AD12" t="str">
        <f t="shared" si="11"/>
        <v>Valid</v>
      </c>
      <c r="AE12">
        <v>10074.27</v>
      </c>
      <c r="AF12">
        <v>6048.27</v>
      </c>
      <c r="AG12">
        <v>4026</v>
      </c>
      <c r="AH12" t="s">
        <v>123</v>
      </c>
      <c r="AI12" t="str">
        <f t="shared" si="12"/>
        <v>Include</v>
      </c>
      <c r="AJ12" t="str">
        <f t="shared" si="13"/>
        <v>Refunded Order</v>
      </c>
      <c r="AK12" t="s">
        <v>124</v>
      </c>
      <c r="AL12" t="str">
        <f t="shared" si="8"/>
        <v>Returned</v>
      </c>
      <c r="AM12" t="str">
        <f t="shared" si="14"/>
        <v>Include</v>
      </c>
      <c r="AN12">
        <f t="shared" si="15"/>
        <v>10074.2655</v>
      </c>
      <c r="AO12">
        <f t="shared" si="16"/>
        <v>4025.9954999999991</v>
      </c>
      <c r="AP12">
        <f>IF(AN12=0,0,AO12/AN12)</f>
        <v>0.39963166545491574</v>
      </c>
      <c r="AQ12" t="str">
        <f t="shared" si="17"/>
        <v>May</v>
      </c>
      <c r="AR12">
        <f t="shared" si="18"/>
        <v>2025</v>
      </c>
      <c r="AS12" t="str">
        <f t="shared" si="19"/>
        <v>Clean</v>
      </c>
      <c r="AT12" t="str">
        <f>IF(OR(AC12&lt;0,AC12&gt;0.5),"Invalid Discount","Valid")</f>
        <v>Valid</v>
      </c>
      <c r="AU12" t="str">
        <f>IF(G12&lt;E12,"Invalid Shipping Record","Valid")</f>
        <v>Valid</v>
      </c>
      <c r="AV12" t="str">
        <f>IF(OR(AL12="Cancelled",AH12="Failed"),"Exclude","Include")</f>
        <v>Include</v>
      </c>
      <c r="AW12" t="str">
        <f t="shared" si="20"/>
        <v>Match</v>
      </c>
      <c r="AX12" t="str">
        <f t="shared" si="21"/>
        <v>Match</v>
      </c>
    </row>
    <row r="13" spans="1:50">
      <c r="A13" t="s">
        <v>125</v>
      </c>
      <c r="B13">
        <f t="shared" si="9"/>
        <v>1</v>
      </c>
      <c r="C13" t="str">
        <f t="shared" si="10"/>
        <v/>
      </c>
      <c r="D13" s="3" t="s">
        <v>126</v>
      </c>
      <c r="E13" s="7">
        <v>45495</v>
      </c>
      <c r="F13" s="3" t="s">
        <v>127</v>
      </c>
      <c r="G13" s="7">
        <v>45496</v>
      </c>
      <c r="H13" s="7" t="str">
        <f t="shared" si="0"/>
        <v>Valid</v>
      </c>
      <c r="I13" s="9">
        <f t="shared" si="1"/>
        <v>1</v>
      </c>
      <c r="J13" s="9" t="str">
        <f t="shared" si="2"/>
        <v>Valid</v>
      </c>
      <c r="K13" t="s">
        <v>128</v>
      </c>
      <c r="L13" t="s">
        <v>82</v>
      </c>
      <c r="M13" t="s">
        <v>82</v>
      </c>
      <c r="N13" t="s">
        <v>40</v>
      </c>
      <c r="O13" s="3" t="str">
        <f t="shared" si="3"/>
        <v>Small Business</v>
      </c>
      <c r="P13" t="s">
        <v>41</v>
      </c>
      <c r="Q13" s="3" t="str">
        <f t="shared" si="4"/>
        <v>East</v>
      </c>
      <c r="R13" t="s">
        <v>42</v>
      </c>
      <c r="S13" t="s">
        <v>43</v>
      </c>
      <c r="T13" t="s">
        <v>85</v>
      </c>
      <c r="U13" s="3" t="str">
        <f t="shared" si="5"/>
        <v>Technology</v>
      </c>
      <c r="V13" t="s">
        <v>86</v>
      </c>
      <c r="W13" t="s">
        <v>129</v>
      </c>
      <c r="X13" t="s">
        <v>47</v>
      </c>
      <c r="Y13" s="3" t="str">
        <f t="shared" si="6"/>
        <v>Same Day</v>
      </c>
      <c r="Z13">
        <v>6</v>
      </c>
      <c r="AA13">
        <v>2005.95</v>
      </c>
      <c r="AB13">
        <v>0.2</v>
      </c>
      <c r="AC13">
        <f t="shared" si="7"/>
        <v>0.2</v>
      </c>
      <c r="AD13" t="str">
        <f t="shared" si="11"/>
        <v>Valid</v>
      </c>
      <c r="AE13">
        <v>9628.56</v>
      </c>
      <c r="AF13">
        <v>8038.59</v>
      </c>
      <c r="AG13">
        <v>1589.97</v>
      </c>
      <c r="AH13" t="s">
        <v>33</v>
      </c>
      <c r="AI13" t="str">
        <f t="shared" si="12"/>
        <v>Include</v>
      </c>
      <c r="AJ13" t="str">
        <f t="shared" si="13"/>
        <v/>
      </c>
      <c r="AK13" t="s">
        <v>34</v>
      </c>
      <c r="AL13" t="str">
        <f t="shared" si="8"/>
        <v>Completed</v>
      </c>
      <c r="AM13" t="str">
        <f t="shared" si="14"/>
        <v>Include</v>
      </c>
      <c r="AN13">
        <f t="shared" si="15"/>
        <v>9628.5600000000013</v>
      </c>
      <c r="AO13">
        <f t="shared" si="16"/>
        <v>1589.9700000000012</v>
      </c>
      <c r="AP13">
        <f>IF(AN13=0,0,AO13/AN13)</f>
        <v>0.16513061143099289</v>
      </c>
      <c r="AQ13" t="str">
        <f t="shared" si="17"/>
        <v>July</v>
      </c>
      <c r="AR13">
        <f t="shared" si="18"/>
        <v>2024</v>
      </c>
      <c r="AS13" t="str">
        <f t="shared" si="19"/>
        <v>Clean</v>
      </c>
      <c r="AT13" t="str">
        <f>IF(OR(AC13&lt;0,AC13&gt;0.5),"Invalid Discount","Valid")</f>
        <v>Valid</v>
      </c>
      <c r="AU13" t="str">
        <f>IF(G13&lt;E13,"Invalid Shipping Record","Valid")</f>
        <v>Valid</v>
      </c>
      <c r="AV13" t="str">
        <f>IF(OR(AL13="Cancelled",AH13="Failed"),"Exclude","Include")</f>
        <v>Include</v>
      </c>
      <c r="AW13" t="str">
        <f t="shared" si="20"/>
        <v>Match</v>
      </c>
      <c r="AX13" t="str">
        <f t="shared" si="21"/>
        <v>Match</v>
      </c>
    </row>
    <row r="14" spans="1:50">
      <c r="A14" t="s">
        <v>130</v>
      </c>
      <c r="B14">
        <f t="shared" si="9"/>
        <v>1</v>
      </c>
      <c r="C14" t="str">
        <f t="shared" si="10"/>
        <v/>
      </c>
      <c r="D14" s="3" t="s">
        <v>131</v>
      </c>
      <c r="E14" s="7">
        <v>45646</v>
      </c>
      <c r="F14" s="3" t="s">
        <v>132</v>
      </c>
      <c r="G14" s="7">
        <v>45647</v>
      </c>
      <c r="H14" s="7" t="str">
        <f t="shared" si="0"/>
        <v>Valid</v>
      </c>
      <c r="I14" s="9">
        <f t="shared" si="1"/>
        <v>1</v>
      </c>
      <c r="J14" s="9" t="str">
        <f t="shared" si="2"/>
        <v>Valid</v>
      </c>
      <c r="K14" t="s">
        <v>133</v>
      </c>
      <c r="L14" t="s">
        <v>71</v>
      </c>
      <c r="M14" t="s">
        <v>71</v>
      </c>
      <c r="N14" t="s">
        <v>107</v>
      </c>
      <c r="O14" s="3" t="str">
        <f t="shared" si="3"/>
        <v>Corporate</v>
      </c>
      <c r="P14" t="s">
        <v>72</v>
      </c>
      <c r="Q14" s="3" t="str">
        <f t="shared" si="4"/>
        <v>West</v>
      </c>
      <c r="R14" t="s">
        <v>27</v>
      </c>
      <c r="S14" t="s">
        <v>134</v>
      </c>
      <c r="T14" t="s">
        <v>29</v>
      </c>
      <c r="U14" s="3" t="str">
        <f t="shared" si="5"/>
        <v>Office Supplies</v>
      </c>
      <c r="V14" t="s">
        <v>30</v>
      </c>
      <c r="W14" t="s">
        <v>135</v>
      </c>
      <c r="X14" t="s">
        <v>55</v>
      </c>
      <c r="Y14" s="3" t="str">
        <f t="shared" si="6"/>
        <v>First Class</v>
      </c>
      <c r="Z14">
        <v>1</v>
      </c>
      <c r="AA14">
        <v>702.14</v>
      </c>
      <c r="AB14">
        <v>0.15</v>
      </c>
      <c r="AC14">
        <f t="shared" si="7"/>
        <v>0.15</v>
      </c>
      <c r="AD14" t="str">
        <f t="shared" si="11"/>
        <v>Valid</v>
      </c>
      <c r="AE14">
        <v>596.82000000000005</v>
      </c>
      <c r="AF14">
        <v>380.25</v>
      </c>
      <c r="AG14">
        <v>216.57</v>
      </c>
      <c r="AH14" t="s">
        <v>136</v>
      </c>
      <c r="AI14" t="str">
        <f t="shared" si="12"/>
        <v>Include</v>
      </c>
      <c r="AJ14" t="str">
        <f t="shared" si="13"/>
        <v/>
      </c>
      <c r="AK14" t="s">
        <v>124</v>
      </c>
      <c r="AL14" t="str">
        <f t="shared" si="8"/>
        <v>Returned</v>
      </c>
      <c r="AM14" t="str">
        <f t="shared" si="14"/>
        <v>Include</v>
      </c>
      <c r="AN14">
        <f t="shared" si="15"/>
        <v>596.81899999999996</v>
      </c>
      <c r="AO14">
        <f t="shared" si="16"/>
        <v>216.56899999999996</v>
      </c>
      <c r="AP14">
        <f>IF(AN14=0,0,AO14/AN14)</f>
        <v>0.36287216057129545</v>
      </c>
      <c r="AQ14" t="str">
        <f t="shared" si="17"/>
        <v>December</v>
      </c>
      <c r="AR14">
        <f t="shared" si="18"/>
        <v>2024</v>
      </c>
      <c r="AS14" t="str">
        <f t="shared" si="19"/>
        <v>Clean</v>
      </c>
      <c r="AT14" t="str">
        <f>IF(OR(AC14&lt;0,AC14&gt;0.5),"Invalid Discount","Valid")</f>
        <v>Valid</v>
      </c>
      <c r="AU14" t="str">
        <f>IF(G14&lt;E14,"Invalid Shipping Record","Valid")</f>
        <v>Valid</v>
      </c>
      <c r="AV14" t="str">
        <f>IF(OR(AL14="Cancelled",AH14="Failed"),"Exclude","Include")</f>
        <v>Include</v>
      </c>
      <c r="AW14" t="str">
        <f t="shared" si="20"/>
        <v>Match</v>
      </c>
      <c r="AX14" t="str">
        <f t="shared" si="21"/>
        <v>Match</v>
      </c>
    </row>
    <row r="15" spans="1:50">
      <c r="A15" t="s">
        <v>137</v>
      </c>
      <c r="B15">
        <f t="shared" si="9"/>
        <v>1</v>
      </c>
      <c r="C15" t="str">
        <f t="shared" si="10"/>
        <v/>
      </c>
      <c r="D15" s="3" t="s">
        <v>138</v>
      </c>
      <c r="E15" s="7">
        <v>45942</v>
      </c>
      <c r="F15" s="3" t="s">
        <v>139</v>
      </c>
      <c r="G15" s="7">
        <v>45946</v>
      </c>
      <c r="H15" s="7" t="str">
        <f t="shared" si="0"/>
        <v>Valid</v>
      </c>
      <c r="I15" s="9">
        <f t="shared" si="1"/>
        <v>4</v>
      </c>
      <c r="J15" s="9" t="str">
        <f t="shared" si="2"/>
        <v>Valid</v>
      </c>
      <c r="K15" t="s">
        <v>140</v>
      </c>
      <c r="L15" t="s">
        <v>141</v>
      </c>
      <c r="M15" t="s">
        <v>141</v>
      </c>
      <c r="N15" t="s">
        <v>40</v>
      </c>
      <c r="O15" s="3" t="str">
        <f t="shared" si="3"/>
        <v>Small Business</v>
      </c>
      <c r="P15" t="s">
        <v>72</v>
      </c>
      <c r="Q15" s="3" t="str">
        <f t="shared" si="4"/>
        <v>West</v>
      </c>
      <c r="R15" t="s">
        <v>73</v>
      </c>
      <c r="S15" t="s">
        <v>74</v>
      </c>
      <c r="T15" t="s">
        <v>29</v>
      </c>
      <c r="U15" s="3" t="str">
        <f t="shared" si="5"/>
        <v>Office Supplies</v>
      </c>
      <c r="V15" t="s">
        <v>53</v>
      </c>
      <c r="W15" t="s">
        <v>142</v>
      </c>
      <c r="X15" t="s">
        <v>32</v>
      </c>
      <c r="Y15" s="3" t="str">
        <f t="shared" si="6"/>
        <v>Second Class</v>
      </c>
      <c r="Z15">
        <v>7</v>
      </c>
      <c r="AA15">
        <v>3964.72</v>
      </c>
      <c r="AB15">
        <v>0.05</v>
      </c>
      <c r="AC15">
        <f t="shared" si="7"/>
        <v>0.05</v>
      </c>
      <c r="AD15" t="str">
        <f t="shared" si="11"/>
        <v>Valid</v>
      </c>
      <c r="AE15">
        <v>26365.39</v>
      </c>
      <c r="AF15">
        <v>22306.240000000002</v>
      </c>
      <c r="AG15">
        <v>4059.15</v>
      </c>
      <c r="AH15" t="s">
        <v>33</v>
      </c>
      <c r="AI15" t="str">
        <f t="shared" si="12"/>
        <v>Include</v>
      </c>
      <c r="AJ15" t="str">
        <f t="shared" si="13"/>
        <v/>
      </c>
      <c r="AK15" t="s">
        <v>34</v>
      </c>
      <c r="AL15" t="str">
        <f t="shared" si="8"/>
        <v>Completed</v>
      </c>
      <c r="AM15" t="str">
        <f t="shared" si="14"/>
        <v>Include</v>
      </c>
      <c r="AN15">
        <f t="shared" si="15"/>
        <v>26365.387999999995</v>
      </c>
      <c r="AO15">
        <f t="shared" si="16"/>
        <v>4059.1479999999938</v>
      </c>
      <c r="AP15">
        <f>IF(AN15=0,0,AO15/AN15)</f>
        <v>0.15395745361304733</v>
      </c>
      <c r="AQ15" t="str">
        <f t="shared" si="17"/>
        <v>October</v>
      </c>
      <c r="AR15">
        <f t="shared" si="18"/>
        <v>2025</v>
      </c>
      <c r="AS15" t="str">
        <f t="shared" si="19"/>
        <v>Clean</v>
      </c>
      <c r="AT15" t="str">
        <f>IF(OR(AC15&lt;0,AC15&gt;0.5),"Invalid Discount","Valid")</f>
        <v>Valid</v>
      </c>
      <c r="AU15" t="str">
        <f>IF(G15&lt;E15,"Invalid Shipping Record","Valid")</f>
        <v>Valid</v>
      </c>
      <c r="AV15" t="str">
        <f>IF(OR(AL15="Cancelled",AH15="Failed"),"Exclude","Include")</f>
        <v>Include</v>
      </c>
      <c r="AW15" t="str">
        <f t="shared" si="20"/>
        <v>Match</v>
      </c>
      <c r="AX15" t="str">
        <f t="shared" si="21"/>
        <v>Match</v>
      </c>
    </row>
    <row r="16" spans="1:50">
      <c r="A16" t="s">
        <v>143</v>
      </c>
      <c r="B16">
        <f t="shared" si="9"/>
        <v>1</v>
      </c>
      <c r="C16" t="str">
        <f t="shared" si="10"/>
        <v/>
      </c>
      <c r="D16" s="3" t="s">
        <v>144</v>
      </c>
      <c r="E16" s="7">
        <v>45653</v>
      </c>
      <c r="F16" s="3" t="s">
        <v>145</v>
      </c>
      <c r="G16" s="7">
        <v>45654</v>
      </c>
      <c r="H16" s="7" t="str">
        <f t="shared" si="0"/>
        <v>Valid</v>
      </c>
      <c r="I16" s="9">
        <f t="shared" si="1"/>
        <v>1</v>
      </c>
      <c r="J16" s="9" t="str">
        <f t="shared" si="2"/>
        <v>Valid</v>
      </c>
      <c r="K16" t="s">
        <v>146</v>
      </c>
      <c r="L16" t="s">
        <v>147</v>
      </c>
      <c r="M16" t="s">
        <v>147</v>
      </c>
      <c r="N16" t="s">
        <v>25</v>
      </c>
      <c r="O16" s="3" t="str">
        <f t="shared" si="3"/>
        <v>Consumer</v>
      </c>
      <c r="P16" t="s">
        <v>72</v>
      </c>
      <c r="Q16" s="3" t="str">
        <f t="shared" si="4"/>
        <v>West</v>
      </c>
      <c r="R16" t="s">
        <v>27</v>
      </c>
      <c r="S16" t="s">
        <v>134</v>
      </c>
      <c r="T16" t="s">
        <v>85</v>
      </c>
      <c r="U16" s="3" t="str">
        <f t="shared" si="5"/>
        <v>Technology</v>
      </c>
      <c r="V16" t="s">
        <v>93</v>
      </c>
      <c r="W16" t="s">
        <v>148</v>
      </c>
      <c r="X16" t="s">
        <v>66</v>
      </c>
      <c r="Y16" s="3" t="str">
        <f t="shared" si="6"/>
        <v>Standard Class</v>
      </c>
      <c r="Z16">
        <v>2</v>
      </c>
      <c r="AA16">
        <v>2737.83</v>
      </c>
      <c r="AB16">
        <v>0.25</v>
      </c>
      <c r="AC16">
        <f t="shared" si="7"/>
        <v>0.25</v>
      </c>
      <c r="AD16" t="str">
        <f t="shared" si="11"/>
        <v>Valid</v>
      </c>
      <c r="AE16">
        <v>4106.74</v>
      </c>
      <c r="AF16">
        <v>2666.3</v>
      </c>
      <c r="AG16">
        <v>1440.44</v>
      </c>
      <c r="AH16" t="s">
        <v>33</v>
      </c>
      <c r="AI16" t="str">
        <f t="shared" si="12"/>
        <v>Include</v>
      </c>
      <c r="AJ16" t="str">
        <f t="shared" si="13"/>
        <v/>
      </c>
      <c r="AK16" t="s">
        <v>34</v>
      </c>
      <c r="AL16" t="str">
        <f t="shared" si="8"/>
        <v>Completed</v>
      </c>
      <c r="AM16" t="str">
        <f t="shared" si="14"/>
        <v>Include</v>
      </c>
      <c r="AN16">
        <f t="shared" si="15"/>
        <v>4106.7449999999999</v>
      </c>
      <c r="AO16">
        <f t="shared" si="16"/>
        <v>1440.4449999999997</v>
      </c>
      <c r="AP16">
        <f>IF(AN16=0,0,AO16/AN16)</f>
        <v>0.35075102057712365</v>
      </c>
      <c r="AQ16" t="str">
        <f t="shared" si="17"/>
        <v>December</v>
      </c>
      <c r="AR16">
        <f t="shared" si="18"/>
        <v>2024</v>
      </c>
      <c r="AS16" t="str">
        <f t="shared" si="19"/>
        <v>Clean</v>
      </c>
      <c r="AT16" t="str">
        <f>IF(OR(AC16&lt;0,AC16&gt;0.5),"Invalid Discount","Valid")</f>
        <v>Valid</v>
      </c>
      <c r="AU16" t="str">
        <f>IF(G16&lt;E16,"Invalid Shipping Record","Valid")</f>
        <v>Valid</v>
      </c>
      <c r="AV16" t="str">
        <f>IF(OR(AL16="Cancelled",AH16="Failed"),"Exclude","Include")</f>
        <v>Include</v>
      </c>
      <c r="AW16" t="str">
        <f t="shared" si="20"/>
        <v>Mismatch</v>
      </c>
      <c r="AX16" t="str">
        <f t="shared" si="21"/>
        <v>Mismatch</v>
      </c>
    </row>
    <row r="17" spans="1:50">
      <c r="A17" t="s">
        <v>149</v>
      </c>
      <c r="B17">
        <f t="shared" si="9"/>
        <v>1</v>
      </c>
      <c r="C17" t="str">
        <f t="shared" si="10"/>
        <v/>
      </c>
      <c r="D17" s="3" t="s">
        <v>150</v>
      </c>
      <c r="E17" s="7">
        <v>45482</v>
      </c>
      <c r="F17" s="3" t="s">
        <v>151</v>
      </c>
      <c r="G17" s="7">
        <v>45482</v>
      </c>
      <c r="H17" s="7" t="str">
        <f t="shared" si="0"/>
        <v>Valid</v>
      </c>
      <c r="I17" s="9">
        <f t="shared" si="1"/>
        <v>0</v>
      </c>
      <c r="J17" s="9" t="str">
        <f t="shared" si="2"/>
        <v>Valid</v>
      </c>
      <c r="K17" t="s">
        <v>152</v>
      </c>
      <c r="L17" t="s">
        <v>24</v>
      </c>
      <c r="M17" t="s">
        <v>24</v>
      </c>
      <c r="N17" t="s">
        <v>40</v>
      </c>
      <c r="O17" s="3" t="str">
        <f t="shared" si="3"/>
        <v>Small Business</v>
      </c>
      <c r="P17" t="s">
        <v>26</v>
      </c>
      <c r="Q17" s="3" t="str">
        <f t="shared" si="4"/>
        <v>North</v>
      </c>
      <c r="R17" t="s">
        <v>153</v>
      </c>
      <c r="S17" t="s">
        <v>154</v>
      </c>
      <c r="T17" t="s">
        <v>29</v>
      </c>
      <c r="U17" s="3" t="str">
        <f t="shared" si="5"/>
        <v>Office Supplies</v>
      </c>
      <c r="V17" t="s">
        <v>155</v>
      </c>
      <c r="W17" t="s">
        <v>156</v>
      </c>
      <c r="X17" t="s">
        <v>32</v>
      </c>
      <c r="Y17" s="3" t="str">
        <f t="shared" si="6"/>
        <v>Second Class</v>
      </c>
      <c r="Z17">
        <v>6</v>
      </c>
      <c r="AA17">
        <v>3965.76</v>
      </c>
      <c r="AB17">
        <v>0</v>
      </c>
      <c r="AC17">
        <f t="shared" si="7"/>
        <v>0</v>
      </c>
      <c r="AD17" t="str">
        <f t="shared" si="11"/>
        <v>Valid</v>
      </c>
      <c r="AE17">
        <v>23794.560000000001</v>
      </c>
      <c r="AF17">
        <v>15698.47</v>
      </c>
      <c r="AG17">
        <v>8096.09</v>
      </c>
      <c r="AH17" t="s">
        <v>33</v>
      </c>
      <c r="AI17" t="str">
        <f t="shared" si="12"/>
        <v>Include</v>
      </c>
      <c r="AJ17" t="str">
        <f t="shared" si="13"/>
        <v/>
      </c>
      <c r="AK17" t="s">
        <v>34</v>
      </c>
      <c r="AL17" t="str">
        <f t="shared" si="8"/>
        <v>Completed</v>
      </c>
      <c r="AM17" t="str">
        <f t="shared" si="14"/>
        <v>Include</v>
      </c>
      <c r="AN17">
        <f t="shared" si="15"/>
        <v>23794.560000000001</v>
      </c>
      <c r="AO17">
        <f t="shared" si="16"/>
        <v>8096.090000000002</v>
      </c>
      <c r="AP17">
        <f>IF(AN17=0,0,AO17/AN17)</f>
        <v>0.34024962008122872</v>
      </c>
      <c r="AQ17" t="str">
        <f t="shared" si="17"/>
        <v>July</v>
      </c>
      <c r="AR17">
        <f t="shared" si="18"/>
        <v>2024</v>
      </c>
      <c r="AS17" t="str">
        <f t="shared" si="19"/>
        <v>Clean</v>
      </c>
      <c r="AT17" t="str">
        <f>IF(OR(AC17&lt;0,AC17&gt;0.5),"Invalid Discount","Valid")</f>
        <v>Valid</v>
      </c>
      <c r="AU17" t="str">
        <f>IF(G17&lt;E17,"Invalid Shipping Record","Valid")</f>
        <v>Valid</v>
      </c>
      <c r="AV17" t="str">
        <f>IF(OR(AL17="Cancelled",AH17="Failed"),"Exclude","Include")</f>
        <v>Include</v>
      </c>
      <c r="AW17" t="str">
        <f t="shared" si="20"/>
        <v>Match</v>
      </c>
      <c r="AX17" t="str">
        <f t="shared" si="21"/>
        <v>Match</v>
      </c>
    </row>
    <row r="18" spans="1:50">
      <c r="A18" t="s">
        <v>157</v>
      </c>
      <c r="B18">
        <f t="shared" si="9"/>
        <v>1</v>
      </c>
      <c r="C18" t="str">
        <f t="shared" si="10"/>
        <v/>
      </c>
      <c r="D18" s="3" t="s">
        <v>158</v>
      </c>
      <c r="E18" s="7">
        <v>45420</v>
      </c>
      <c r="F18" s="3" t="s">
        <v>159</v>
      </c>
      <c r="G18" s="7">
        <v>45427</v>
      </c>
      <c r="H18" s="7" t="str">
        <f t="shared" si="0"/>
        <v>Valid</v>
      </c>
      <c r="I18" s="9">
        <f t="shared" si="1"/>
        <v>7</v>
      </c>
      <c r="J18" s="9" t="str">
        <f t="shared" si="2"/>
        <v>Valid</v>
      </c>
      <c r="K18" t="s">
        <v>160</v>
      </c>
      <c r="L18" t="s">
        <v>161</v>
      </c>
      <c r="M18" t="s">
        <v>161</v>
      </c>
      <c r="N18" t="s">
        <v>25</v>
      </c>
      <c r="O18" s="3" t="str">
        <f t="shared" si="3"/>
        <v>Consumer</v>
      </c>
      <c r="P18" t="s">
        <v>61</v>
      </c>
      <c r="Q18" s="3" t="str">
        <f t="shared" si="4"/>
        <v>South</v>
      </c>
      <c r="R18" t="s">
        <v>62</v>
      </c>
      <c r="S18" t="s">
        <v>63</v>
      </c>
      <c r="T18" t="s">
        <v>29</v>
      </c>
      <c r="U18" s="3" t="str">
        <f t="shared" si="5"/>
        <v>Office Supplies</v>
      </c>
      <c r="V18" t="s">
        <v>53</v>
      </c>
      <c r="W18" t="s">
        <v>162</v>
      </c>
      <c r="X18" t="s">
        <v>55</v>
      </c>
      <c r="Y18" s="3" t="str">
        <f t="shared" si="6"/>
        <v>First Class</v>
      </c>
      <c r="Z18">
        <v>4</v>
      </c>
      <c r="AA18">
        <v>3323.51</v>
      </c>
      <c r="AB18">
        <v>0.25</v>
      </c>
      <c r="AC18">
        <f t="shared" si="7"/>
        <v>0.25</v>
      </c>
      <c r="AD18" t="str">
        <f t="shared" si="11"/>
        <v>Valid</v>
      </c>
      <c r="AE18">
        <v>9970.5300000000007</v>
      </c>
      <c r="AF18">
        <v>5668.17</v>
      </c>
      <c r="AG18">
        <v>4302.3599999999997</v>
      </c>
      <c r="AH18" t="s">
        <v>33</v>
      </c>
      <c r="AI18" t="str">
        <f t="shared" si="12"/>
        <v>Include</v>
      </c>
      <c r="AJ18" t="str">
        <f t="shared" si="13"/>
        <v/>
      </c>
      <c r="AK18" t="s">
        <v>34</v>
      </c>
      <c r="AL18" t="str">
        <f t="shared" si="8"/>
        <v>Completed</v>
      </c>
      <c r="AM18" t="str">
        <f t="shared" si="14"/>
        <v>Include</v>
      </c>
      <c r="AN18">
        <f t="shared" si="15"/>
        <v>9970.5300000000007</v>
      </c>
      <c r="AO18">
        <f t="shared" si="16"/>
        <v>4302.3600000000006</v>
      </c>
      <c r="AP18">
        <f>IF(AN18=0,0,AO18/AN18)</f>
        <v>0.43150765305354882</v>
      </c>
      <c r="AQ18" t="str">
        <f t="shared" si="17"/>
        <v>May</v>
      </c>
      <c r="AR18">
        <f t="shared" si="18"/>
        <v>2024</v>
      </c>
      <c r="AS18" t="str">
        <f t="shared" si="19"/>
        <v>Clean</v>
      </c>
      <c r="AT18" t="str">
        <f>IF(OR(AC18&lt;0,AC18&gt;0.5),"Invalid Discount","Valid")</f>
        <v>Valid</v>
      </c>
      <c r="AU18" t="str">
        <f>IF(G18&lt;E18,"Invalid Shipping Record","Valid")</f>
        <v>Valid</v>
      </c>
      <c r="AV18" t="str">
        <f>IF(OR(AL18="Cancelled",AH18="Failed"),"Exclude","Include")</f>
        <v>Include</v>
      </c>
      <c r="AW18" t="str">
        <f t="shared" si="20"/>
        <v>Match</v>
      </c>
      <c r="AX18" t="str">
        <f t="shared" si="21"/>
        <v>Match</v>
      </c>
    </row>
    <row r="19" spans="1:50">
      <c r="A19" t="s">
        <v>163</v>
      </c>
      <c r="B19">
        <f t="shared" si="9"/>
        <v>1</v>
      </c>
      <c r="C19" t="str">
        <f t="shared" si="10"/>
        <v/>
      </c>
      <c r="D19" s="3" t="s">
        <v>164</v>
      </c>
      <c r="E19" s="7">
        <v>45298</v>
      </c>
      <c r="F19" s="3" t="s">
        <v>165</v>
      </c>
      <c r="G19" s="7">
        <v>45299</v>
      </c>
      <c r="H19" s="7" t="str">
        <f t="shared" si="0"/>
        <v>Valid</v>
      </c>
      <c r="I19" s="9">
        <f t="shared" si="1"/>
        <v>1</v>
      </c>
      <c r="J19" s="9" t="str">
        <f t="shared" si="2"/>
        <v>Valid</v>
      </c>
      <c r="K19" t="s">
        <v>166</v>
      </c>
      <c r="L19" t="s">
        <v>167</v>
      </c>
      <c r="M19" t="s">
        <v>167</v>
      </c>
      <c r="N19" t="s">
        <v>40</v>
      </c>
      <c r="O19" s="3" t="str">
        <f t="shared" si="3"/>
        <v>Small Business</v>
      </c>
      <c r="P19" t="s">
        <v>26</v>
      </c>
      <c r="Q19" s="3" t="str">
        <f t="shared" si="4"/>
        <v>North</v>
      </c>
      <c r="R19" t="s">
        <v>27</v>
      </c>
      <c r="S19" t="s">
        <v>28</v>
      </c>
      <c r="T19" t="s">
        <v>44</v>
      </c>
      <c r="U19" s="3" t="str">
        <f t="shared" si="5"/>
        <v>Furniture</v>
      </c>
      <c r="V19" t="s">
        <v>64</v>
      </c>
      <c r="W19" t="s">
        <v>168</v>
      </c>
      <c r="X19" t="s">
        <v>47</v>
      </c>
      <c r="Y19" s="3" t="str">
        <f t="shared" si="6"/>
        <v>Same Day</v>
      </c>
      <c r="Z19">
        <v>5</v>
      </c>
      <c r="AA19">
        <v>1526.78</v>
      </c>
      <c r="AB19">
        <v>0</v>
      </c>
      <c r="AC19">
        <f t="shared" si="7"/>
        <v>0</v>
      </c>
      <c r="AD19" t="str">
        <f t="shared" si="11"/>
        <v>Valid</v>
      </c>
      <c r="AE19">
        <v>7633.9</v>
      </c>
      <c r="AF19">
        <v>4706.91</v>
      </c>
      <c r="AG19">
        <v>2926.99</v>
      </c>
      <c r="AH19" t="s">
        <v>33</v>
      </c>
      <c r="AI19" t="str">
        <f t="shared" si="12"/>
        <v>Include</v>
      </c>
      <c r="AJ19" t="str">
        <f t="shared" si="13"/>
        <v/>
      </c>
      <c r="AK19" t="s">
        <v>34</v>
      </c>
      <c r="AL19" t="str">
        <f t="shared" si="8"/>
        <v>Completed</v>
      </c>
      <c r="AM19" t="str">
        <f t="shared" si="14"/>
        <v>Include</v>
      </c>
      <c r="AN19">
        <f t="shared" si="15"/>
        <v>7633.9</v>
      </c>
      <c r="AO19">
        <f t="shared" si="16"/>
        <v>2926.99</v>
      </c>
      <c r="AP19">
        <f>IF(AN19=0,0,AO19/AN19)</f>
        <v>0.38342000812166782</v>
      </c>
      <c r="AQ19" t="str">
        <f t="shared" si="17"/>
        <v>January</v>
      </c>
      <c r="AR19">
        <f t="shared" si="18"/>
        <v>2024</v>
      </c>
      <c r="AS19" t="str">
        <f t="shared" si="19"/>
        <v>Clean</v>
      </c>
      <c r="AT19" t="str">
        <f>IF(OR(AC19&lt;0,AC19&gt;0.5),"Invalid Discount","Valid")</f>
        <v>Valid</v>
      </c>
      <c r="AU19" t="str">
        <f>IF(G19&lt;E19,"Invalid Shipping Record","Valid")</f>
        <v>Valid</v>
      </c>
      <c r="AV19" t="str">
        <f>IF(OR(AL19="Cancelled",AH19="Failed"),"Exclude","Include")</f>
        <v>Include</v>
      </c>
      <c r="AW19" t="str">
        <f t="shared" si="20"/>
        <v>Match</v>
      </c>
      <c r="AX19" t="str">
        <f t="shared" si="21"/>
        <v>Match</v>
      </c>
    </row>
    <row r="20" spans="1:50">
      <c r="A20" t="s">
        <v>169</v>
      </c>
      <c r="B20">
        <f t="shared" si="9"/>
        <v>1</v>
      </c>
      <c r="C20" t="str">
        <f t="shared" si="10"/>
        <v/>
      </c>
      <c r="D20" s="3" t="s">
        <v>170</v>
      </c>
      <c r="E20" s="7">
        <v>45853</v>
      </c>
      <c r="F20" s="3" t="s">
        <v>171</v>
      </c>
      <c r="G20" s="7">
        <v>45855</v>
      </c>
      <c r="H20" s="7" t="str">
        <f t="shared" si="0"/>
        <v>Valid</v>
      </c>
      <c r="I20" s="9">
        <f t="shared" si="1"/>
        <v>2</v>
      </c>
      <c r="J20" s="9" t="str">
        <f t="shared" si="2"/>
        <v>Valid</v>
      </c>
      <c r="K20" t="s">
        <v>172</v>
      </c>
      <c r="L20" t="s">
        <v>161</v>
      </c>
      <c r="M20" t="s">
        <v>161</v>
      </c>
      <c r="N20" t="s">
        <v>114</v>
      </c>
      <c r="O20" s="3" t="str">
        <f t="shared" si="3"/>
        <v>Home Office</v>
      </c>
      <c r="P20" t="s">
        <v>26</v>
      </c>
      <c r="Q20" s="3" t="str">
        <f t="shared" si="4"/>
        <v>North</v>
      </c>
      <c r="R20" t="s">
        <v>173</v>
      </c>
      <c r="S20" t="s">
        <v>174</v>
      </c>
      <c r="T20" t="s">
        <v>85</v>
      </c>
      <c r="U20" s="3" t="str">
        <f t="shared" si="5"/>
        <v>Technology</v>
      </c>
      <c r="V20" t="s">
        <v>93</v>
      </c>
      <c r="W20" t="s">
        <v>175</v>
      </c>
      <c r="X20" t="s">
        <v>55</v>
      </c>
      <c r="Y20" s="3" t="str">
        <f t="shared" si="6"/>
        <v>First Class</v>
      </c>
      <c r="Z20">
        <v>2</v>
      </c>
      <c r="AA20">
        <v>1997.99</v>
      </c>
      <c r="AB20">
        <v>0</v>
      </c>
      <c r="AC20">
        <f t="shared" si="7"/>
        <v>0</v>
      </c>
      <c r="AD20" t="str">
        <f t="shared" si="11"/>
        <v>Valid</v>
      </c>
      <c r="AE20">
        <v>3995.98</v>
      </c>
      <c r="AF20">
        <v>2633.2</v>
      </c>
      <c r="AG20">
        <v>1362.78</v>
      </c>
      <c r="AH20" t="s">
        <v>123</v>
      </c>
      <c r="AI20" t="str">
        <f t="shared" si="12"/>
        <v>Exclude</v>
      </c>
      <c r="AJ20" t="str">
        <f t="shared" si="13"/>
        <v>Refunded Order</v>
      </c>
      <c r="AK20" t="s">
        <v>77</v>
      </c>
      <c r="AL20" t="str">
        <f t="shared" si="8"/>
        <v>Cancelled</v>
      </c>
      <c r="AM20" t="str">
        <f t="shared" si="14"/>
        <v>Exclude</v>
      </c>
      <c r="AN20">
        <f t="shared" si="15"/>
        <v>3995.98</v>
      </c>
      <c r="AO20">
        <f t="shared" si="16"/>
        <v>1362.7800000000002</v>
      </c>
      <c r="AP20">
        <f>IF(AN20=0,0,AO20/AN20)</f>
        <v>0.34103774293164635</v>
      </c>
      <c r="AQ20" t="str">
        <f t="shared" si="17"/>
        <v>July</v>
      </c>
      <c r="AR20">
        <f t="shared" si="18"/>
        <v>2025</v>
      </c>
      <c r="AS20" t="str">
        <f t="shared" si="19"/>
        <v>Clean</v>
      </c>
      <c r="AT20" t="str">
        <f>IF(OR(AC20&lt;0,AC20&gt;0.5),"Invalid Discount","Valid")</f>
        <v>Valid</v>
      </c>
      <c r="AU20" t="str">
        <f>IF(G20&lt;E20,"Invalid Shipping Record","Valid")</f>
        <v>Valid</v>
      </c>
      <c r="AV20" t="str">
        <f>IF(OR(AL20="Cancelled",AH20="Failed"),"Exclude","Include")</f>
        <v>Exclude</v>
      </c>
      <c r="AW20" t="str">
        <f t="shared" si="20"/>
        <v>Match</v>
      </c>
      <c r="AX20" t="str">
        <f t="shared" si="21"/>
        <v>Match</v>
      </c>
    </row>
    <row r="21" spans="1:50">
      <c r="A21" t="s">
        <v>176</v>
      </c>
      <c r="B21">
        <f t="shared" si="9"/>
        <v>1</v>
      </c>
      <c r="C21" t="str">
        <f t="shared" si="10"/>
        <v/>
      </c>
      <c r="D21" s="3" t="s">
        <v>22</v>
      </c>
      <c r="E21" s="7">
        <v>45500</v>
      </c>
      <c r="F21" s="3" t="s">
        <v>177</v>
      </c>
      <c r="G21" s="7">
        <v>45504</v>
      </c>
      <c r="H21" s="7" t="str">
        <f t="shared" si="0"/>
        <v>Valid</v>
      </c>
      <c r="I21" s="9">
        <f t="shared" si="1"/>
        <v>4</v>
      </c>
      <c r="J21" s="9" t="str">
        <f t="shared" si="2"/>
        <v>Valid</v>
      </c>
      <c r="K21" t="s">
        <v>178</v>
      </c>
      <c r="L21" t="s">
        <v>179</v>
      </c>
      <c r="M21" t="s">
        <v>179</v>
      </c>
      <c r="N21" t="s">
        <v>114</v>
      </c>
      <c r="O21" s="3" t="str">
        <f t="shared" si="3"/>
        <v>Home Office</v>
      </c>
      <c r="P21" t="s">
        <v>72</v>
      </c>
      <c r="Q21" s="3" t="str">
        <f t="shared" si="4"/>
        <v>West</v>
      </c>
      <c r="R21" t="s">
        <v>83</v>
      </c>
      <c r="S21" t="s">
        <v>84</v>
      </c>
      <c r="T21" t="s">
        <v>29</v>
      </c>
      <c r="U21" s="3" t="str">
        <f t="shared" si="5"/>
        <v>Office Supplies</v>
      </c>
      <c r="V21" t="s">
        <v>155</v>
      </c>
      <c r="W21" t="s">
        <v>180</v>
      </c>
      <c r="X21" t="s">
        <v>32</v>
      </c>
      <c r="Y21" s="3" t="str">
        <f t="shared" si="6"/>
        <v>Second Class</v>
      </c>
      <c r="Z21">
        <v>3</v>
      </c>
      <c r="AA21">
        <v>3887.94</v>
      </c>
      <c r="AB21">
        <v>-0.19</v>
      </c>
      <c r="AC21">
        <f t="shared" si="7"/>
        <v>-0.19</v>
      </c>
      <c r="AD21" t="str">
        <f t="shared" si="11"/>
        <v>Invalid Discount</v>
      </c>
      <c r="AE21">
        <v>9331.06</v>
      </c>
      <c r="AF21">
        <v>7529.31</v>
      </c>
      <c r="AG21">
        <v>1801.75</v>
      </c>
      <c r="AH21" t="s">
        <v>33</v>
      </c>
      <c r="AI21" t="str">
        <f t="shared" si="12"/>
        <v>Include</v>
      </c>
      <c r="AJ21" t="str">
        <f t="shared" si="13"/>
        <v/>
      </c>
      <c r="AK21" t="s">
        <v>34</v>
      </c>
      <c r="AL21" t="str">
        <f t="shared" si="8"/>
        <v>Completed</v>
      </c>
      <c r="AM21" t="str">
        <f t="shared" si="14"/>
        <v>Include</v>
      </c>
      <c r="AN21">
        <f t="shared" si="15"/>
        <v>13879.9458</v>
      </c>
      <c r="AO21">
        <f t="shared" si="16"/>
        <v>6350.6357999999991</v>
      </c>
      <c r="AP21">
        <f>IF(AN21=0,0,AO21/AN21)</f>
        <v>0.45754038895454474</v>
      </c>
      <c r="AQ21" t="str">
        <f t="shared" si="17"/>
        <v>July</v>
      </c>
      <c r="AR21">
        <f t="shared" si="18"/>
        <v>2024</v>
      </c>
      <c r="AS21" t="str">
        <f t="shared" si="19"/>
        <v>Invalid</v>
      </c>
      <c r="AT21" t="str">
        <f>IF(OR(AC21&lt;0,AC21&gt;0.5),"Invalid Discount","Valid")</f>
        <v>Invalid Discount</v>
      </c>
      <c r="AU21" t="str">
        <f>IF(G21&lt;E21,"Invalid Shipping Record","Valid")</f>
        <v>Valid</v>
      </c>
      <c r="AV21" t="str">
        <f>IF(OR(AL21="Cancelled",AH21="Failed"),"Exclude","Include")</f>
        <v>Include</v>
      </c>
      <c r="AW21" t="str">
        <f t="shared" si="20"/>
        <v>Mismatch</v>
      </c>
      <c r="AX21" t="str">
        <f t="shared" si="21"/>
        <v>Mismatch</v>
      </c>
    </row>
    <row r="22" spans="1:50">
      <c r="A22" t="s">
        <v>181</v>
      </c>
      <c r="B22">
        <f t="shared" si="9"/>
        <v>1</v>
      </c>
      <c r="C22" t="str">
        <f t="shared" si="10"/>
        <v/>
      </c>
      <c r="D22" s="3" t="s">
        <v>182</v>
      </c>
      <c r="E22" s="7">
        <v>45678</v>
      </c>
      <c r="F22" s="3" t="s">
        <v>183</v>
      </c>
      <c r="G22" s="7">
        <v>45680</v>
      </c>
      <c r="H22" s="7" t="str">
        <f t="shared" si="0"/>
        <v>Valid</v>
      </c>
      <c r="I22" s="9">
        <f t="shared" si="1"/>
        <v>2</v>
      </c>
      <c r="J22" s="9" t="str">
        <f t="shared" si="2"/>
        <v>Valid</v>
      </c>
      <c r="K22" t="s">
        <v>184</v>
      </c>
      <c r="L22" t="s">
        <v>106</v>
      </c>
      <c r="M22" t="s">
        <v>106</v>
      </c>
      <c r="N22" t="s">
        <v>114</v>
      </c>
      <c r="O22" s="3" t="str">
        <f t="shared" si="3"/>
        <v>Home Office</v>
      </c>
      <c r="P22" t="s">
        <v>41</v>
      </c>
      <c r="Q22" s="3" t="str">
        <f t="shared" si="4"/>
        <v>East</v>
      </c>
      <c r="R22" t="s">
        <v>185</v>
      </c>
      <c r="S22" t="s">
        <v>186</v>
      </c>
      <c r="T22" t="s">
        <v>85</v>
      </c>
      <c r="U22" s="3" t="str">
        <f t="shared" si="5"/>
        <v>Technology</v>
      </c>
      <c r="V22" t="s">
        <v>93</v>
      </c>
      <c r="W22" t="s">
        <v>187</v>
      </c>
      <c r="X22" t="s">
        <v>55</v>
      </c>
      <c r="Y22" s="3" t="str">
        <f t="shared" si="6"/>
        <v>First Class</v>
      </c>
      <c r="Z22">
        <v>5</v>
      </c>
      <c r="AA22">
        <v>4373.0600000000004</v>
      </c>
      <c r="AB22">
        <v>0.25</v>
      </c>
      <c r="AC22">
        <f t="shared" si="7"/>
        <v>0.25</v>
      </c>
      <c r="AD22" t="str">
        <f t="shared" si="11"/>
        <v>Valid</v>
      </c>
      <c r="AE22">
        <v>16398.98</v>
      </c>
      <c r="AF22">
        <v>9556.52</v>
      </c>
      <c r="AG22">
        <v>6842.46</v>
      </c>
      <c r="AH22" t="s">
        <v>33</v>
      </c>
      <c r="AI22" t="str">
        <f t="shared" si="12"/>
        <v>Include</v>
      </c>
      <c r="AJ22" t="str">
        <f t="shared" si="13"/>
        <v/>
      </c>
      <c r="AK22" t="s">
        <v>34</v>
      </c>
      <c r="AL22" t="str">
        <f t="shared" si="8"/>
        <v>Completed</v>
      </c>
      <c r="AM22" t="str">
        <f t="shared" si="14"/>
        <v>Include</v>
      </c>
      <c r="AN22">
        <f t="shared" si="15"/>
        <v>16398.975000000002</v>
      </c>
      <c r="AO22">
        <f t="shared" si="16"/>
        <v>6842.4550000000017</v>
      </c>
      <c r="AP22">
        <f>IF(AN22=0,0,AO22/AN22)</f>
        <v>0.4172489439126531</v>
      </c>
      <c r="AQ22" t="str">
        <f t="shared" si="17"/>
        <v>January</v>
      </c>
      <c r="AR22">
        <f t="shared" si="18"/>
        <v>2025</v>
      </c>
      <c r="AS22" t="str">
        <f t="shared" si="19"/>
        <v>Clean</v>
      </c>
      <c r="AT22" t="str">
        <f>IF(OR(AC22&lt;0,AC22&gt;0.5),"Invalid Discount","Valid")</f>
        <v>Valid</v>
      </c>
      <c r="AU22" t="str">
        <f>IF(G22&lt;E22,"Invalid Shipping Record","Valid")</f>
        <v>Valid</v>
      </c>
      <c r="AV22" t="str">
        <f>IF(OR(AL22="Cancelled",AH22="Failed"),"Exclude","Include")</f>
        <v>Include</v>
      </c>
      <c r="AW22" t="str">
        <f t="shared" si="20"/>
        <v>Match</v>
      </c>
      <c r="AX22" t="str">
        <f t="shared" si="21"/>
        <v>Match</v>
      </c>
    </row>
    <row r="23" spans="1:50">
      <c r="A23" t="s">
        <v>188</v>
      </c>
      <c r="B23">
        <f t="shared" si="9"/>
        <v>1</v>
      </c>
      <c r="C23" t="str">
        <f t="shared" si="10"/>
        <v/>
      </c>
      <c r="D23" s="3" t="s">
        <v>189</v>
      </c>
      <c r="E23" s="7">
        <v>45681</v>
      </c>
      <c r="F23" s="3" t="s">
        <v>190</v>
      </c>
      <c r="G23" s="7">
        <v>45687</v>
      </c>
      <c r="H23" s="7" t="str">
        <f t="shared" si="0"/>
        <v>Valid</v>
      </c>
      <c r="I23" s="9">
        <f t="shared" si="1"/>
        <v>6</v>
      </c>
      <c r="J23" s="9" t="str">
        <f t="shared" si="2"/>
        <v>Valid</v>
      </c>
      <c r="K23" t="s">
        <v>191</v>
      </c>
      <c r="L23" t="s">
        <v>167</v>
      </c>
      <c r="M23" t="s">
        <v>167</v>
      </c>
      <c r="N23" t="s">
        <v>25</v>
      </c>
      <c r="O23" s="3" t="str">
        <f t="shared" si="3"/>
        <v>Consumer</v>
      </c>
      <c r="P23" t="s">
        <v>72</v>
      </c>
      <c r="Q23" s="3" t="str">
        <f t="shared" si="4"/>
        <v>West</v>
      </c>
      <c r="R23" t="s">
        <v>83</v>
      </c>
      <c r="S23" t="s">
        <v>84</v>
      </c>
      <c r="T23" t="s">
        <v>44</v>
      </c>
      <c r="U23" s="3" t="str">
        <f t="shared" si="5"/>
        <v>Furniture</v>
      </c>
      <c r="V23" t="s">
        <v>64</v>
      </c>
      <c r="W23" t="s">
        <v>192</v>
      </c>
      <c r="X23" t="s">
        <v>32</v>
      </c>
      <c r="Y23" s="3" t="str">
        <f t="shared" si="6"/>
        <v>Second Class</v>
      </c>
      <c r="Z23">
        <v>4</v>
      </c>
      <c r="AA23">
        <v>697.69</v>
      </c>
      <c r="AB23">
        <v>-0.23</v>
      </c>
      <c r="AC23">
        <f t="shared" si="7"/>
        <v>-0.23</v>
      </c>
      <c r="AD23" t="str">
        <f t="shared" si="11"/>
        <v>Invalid Discount</v>
      </c>
      <c r="AE23">
        <v>2790.76</v>
      </c>
      <c r="AF23">
        <v>2037.71</v>
      </c>
      <c r="AG23">
        <v>753.05</v>
      </c>
      <c r="AH23" t="s">
        <v>33</v>
      </c>
      <c r="AI23" t="str">
        <f t="shared" si="12"/>
        <v>Include</v>
      </c>
      <c r="AJ23" t="str">
        <f t="shared" si="13"/>
        <v/>
      </c>
      <c r="AK23" t="s">
        <v>34</v>
      </c>
      <c r="AL23" t="str">
        <f t="shared" si="8"/>
        <v>Completed</v>
      </c>
      <c r="AM23" t="str">
        <f t="shared" si="14"/>
        <v>Include</v>
      </c>
      <c r="AN23">
        <f t="shared" si="15"/>
        <v>3432.6348000000003</v>
      </c>
      <c r="AO23">
        <f t="shared" si="16"/>
        <v>1394.9248000000002</v>
      </c>
      <c r="AP23">
        <f>IF(AN23=0,0,AO23/AN23)</f>
        <v>0.40637145553613807</v>
      </c>
      <c r="AQ23" t="str">
        <f t="shared" si="17"/>
        <v>January</v>
      </c>
      <c r="AR23">
        <f t="shared" si="18"/>
        <v>2025</v>
      </c>
      <c r="AS23" t="str">
        <f t="shared" si="19"/>
        <v>Invalid</v>
      </c>
      <c r="AT23" t="str">
        <f>IF(OR(AC23&lt;0,AC23&gt;0.5),"Invalid Discount","Valid")</f>
        <v>Invalid Discount</v>
      </c>
      <c r="AU23" t="str">
        <f>IF(G23&lt;E23,"Invalid Shipping Record","Valid")</f>
        <v>Valid</v>
      </c>
      <c r="AV23" t="str">
        <f>IF(OR(AL23="Cancelled",AH23="Failed"),"Exclude","Include")</f>
        <v>Include</v>
      </c>
      <c r="AW23" t="str">
        <f t="shared" si="20"/>
        <v>Mismatch</v>
      </c>
      <c r="AX23" t="str">
        <f t="shared" si="21"/>
        <v>Mismatch</v>
      </c>
    </row>
    <row r="24" spans="1:50">
      <c r="A24" t="s">
        <v>193</v>
      </c>
      <c r="B24">
        <f t="shared" si="9"/>
        <v>1</v>
      </c>
      <c r="C24" t="str">
        <f t="shared" si="10"/>
        <v/>
      </c>
      <c r="D24" s="3" t="s">
        <v>194</v>
      </c>
      <c r="E24" s="7">
        <v>45676</v>
      </c>
      <c r="F24" s="3" t="s">
        <v>195</v>
      </c>
      <c r="G24" s="7">
        <v>45678</v>
      </c>
      <c r="H24" s="7" t="str">
        <f t="shared" si="0"/>
        <v>Valid</v>
      </c>
      <c r="I24" s="9">
        <f t="shared" si="1"/>
        <v>2</v>
      </c>
      <c r="J24" s="9" t="str">
        <f t="shared" si="2"/>
        <v>Valid</v>
      </c>
      <c r="K24" t="s">
        <v>196</v>
      </c>
      <c r="L24" t="s">
        <v>39</v>
      </c>
      <c r="M24" t="s">
        <v>39</v>
      </c>
      <c r="N24" t="s">
        <v>25</v>
      </c>
      <c r="O24" s="3" t="str">
        <f t="shared" si="3"/>
        <v>Consumer</v>
      </c>
      <c r="P24" t="s">
        <v>61</v>
      </c>
      <c r="Q24" s="3" t="str">
        <f t="shared" si="4"/>
        <v>South</v>
      </c>
      <c r="R24" t="s">
        <v>62</v>
      </c>
      <c r="S24" t="s">
        <v>63</v>
      </c>
      <c r="T24" t="s">
        <v>29</v>
      </c>
      <c r="U24" s="3" t="str">
        <f t="shared" si="5"/>
        <v>Office Supplies</v>
      </c>
      <c r="V24" t="s">
        <v>197</v>
      </c>
      <c r="W24" t="s">
        <v>198</v>
      </c>
      <c r="X24" t="s">
        <v>66</v>
      </c>
      <c r="Y24" s="3" t="str">
        <f t="shared" si="6"/>
        <v>Standard Class</v>
      </c>
      <c r="Z24">
        <v>8</v>
      </c>
      <c r="AA24">
        <v>1219.3399999999999</v>
      </c>
      <c r="AB24">
        <v>0.15</v>
      </c>
      <c r="AC24">
        <f t="shared" si="7"/>
        <v>0.15</v>
      </c>
      <c r="AD24" t="str">
        <f t="shared" si="11"/>
        <v>Valid</v>
      </c>
      <c r="AE24">
        <v>8291.51</v>
      </c>
      <c r="AF24">
        <v>6685.03</v>
      </c>
      <c r="AG24">
        <v>1606.48</v>
      </c>
      <c r="AH24" t="s">
        <v>199</v>
      </c>
      <c r="AI24" t="str">
        <f t="shared" si="12"/>
        <v>Exclude</v>
      </c>
      <c r="AJ24" t="str">
        <f t="shared" si="13"/>
        <v/>
      </c>
      <c r="AK24" t="s">
        <v>124</v>
      </c>
      <c r="AL24" t="str">
        <f t="shared" si="8"/>
        <v>Returned</v>
      </c>
      <c r="AM24" t="str">
        <f t="shared" si="14"/>
        <v>Include</v>
      </c>
      <c r="AN24">
        <f t="shared" si="15"/>
        <v>8291.5119999999988</v>
      </c>
      <c r="AO24">
        <f t="shared" si="16"/>
        <v>1606.4819999999991</v>
      </c>
      <c r="AP24">
        <f>IF(AN24=0,0,AO24/AN24)</f>
        <v>0.19375018693816029</v>
      </c>
      <c r="AQ24" t="str">
        <f t="shared" si="17"/>
        <v>January</v>
      </c>
      <c r="AR24">
        <f t="shared" si="18"/>
        <v>2025</v>
      </c>
      <c r="AS24" t="str">
        <f t="shared" si="19"/>
        <v>Clean</v>
      </c>
      <c r="AT24" t="str">
        <f>IF(OR(AC24&lt;0,AC24&gt;0.5),"Invalid Discount","Valid")</f>
        <v>Valid</v>
      </c>
      <c r="AU24" t="str">
        <f>IF(G24&lt;E24,"Invalid Shipping Record","Valid")</f>
        <v>Valid</v>
      </c>
      <c r="AV24" t="str">
        <f>IF(OR(AL24="Cancelled",AH24="Failed"),"Exclude","Include")</f>
        <v>Exclude</v>
      </c>
      <c r="AW24" t="str">
        <f t="shared" si="20"/>
        <v>Match</v>
      </c>
      <c r="AX24" t="str">
        <f t="shared" si="21"/>
        <v>Match</v>
      </c>
    </row>
    <row r="25" spans="1:50">
      <c r="A25" t="s">
        <v>200</v>
      </c>
      <c r="B25">
        <f t="shared" si="9"/>
        <v>1</v>
      </c>
      <c r="C25" t="str">
        <f t="shared" si="10"/>
        <v/>
      </c>
      <c r="D25" s="3" t="s">
        <v>68</v>
      </c>
      <c r="E25" s="7">
        <v>45898</v>
      </c>
      <c r="F25" s="3" t="s">
        <v>201</v>
      </c>
      <c r="G25" s="7">
        <v>45900</v>
      </c>
      <c r="H25" s="7" t="str">
        <f t="shared" si="0"/>
        <v>Valid</v>
      </c>
      <c r="I25" s="9">
        <f t="shared" si="1"/>
        <v>2</v>
      </c>
      <c r="J25" s="9" t="str">
        <f t="shared" si="2"/>
        <v>Valid</v>
      </c>
      <c r="K25" t="s">
        <v>202</v>
      </c>
      <c r="L25" t="s">
        <v>147</v>
      </c>
      <c r="M25" t="s">
        <v>147</v>
      </c>
      <c r="N25" t="s">
        <v>114</v>
      </c>
      <c r="O25" s="3" t="str">
        <f t="shared" si="3"/>
        <v>Home Office</v>
      </c>
      <c r="P25" t="s">
        <v>41</v>
      </c>
      <c r="Q25" s="3" t="str">
        <f t="shared" si="4"/>
        <v>East</v>
      </c>
      <c r="R25" t="s">
        <v>185</v>
      </c>
      <c r="S25" t="s">
        <v>186</v>
      </c>
      <c r="T25" t="s">
        <v>44</v>
      </c>
      <c r="U25" s="3" t="str">
        <f t="shared" si="5"/>
        <v>Furniture</v>
      </c>
      <c r="V25" t="s">
        <v>203</v>
      </c>
      <c r="W25" t="s">
        <v>204</v>
      </c>
      <c r="X25" t="s">
        <v>55</v>
      </c>
      <c r="Y25" s="3" t="str">
        <f t="shared" si="6"/>
        <v>First Class</v>
      </c>
      <c r="Z25">
        <v>4</v>
      </c>
      <c r="AA25">
        <v>1958.01</v>
      </c>
      <c r="AB25">
        <v>0.2</v>
      </c>
      <c r="AC25">
        <f t="shared" si="7"/>
        <v>0.2</v>
      </c>
      <c r="AD25" t="str">
        <f t="shared" si="11"/>
        <v>Valid</v>
      </c>
      <c r="AE25">
        <v>6265.63</v>
      </c>
      <c r="AF25">
        <v>4321.8599999999997</v>
      </c>
      <c r="AG25">
        <v>1943.77</v>
      </c>
      <c r="AH25" t="s">
        <v>33</v>
      </c>
      <c r="AI25" t="str">
        <f t="shared" si="12"/>
        <v>Include</v>
      </c>
      <c r="AJ25" t="str">
        <f t="shared" si="13"/>
        <v/>
      </c>
      <c r="AK25" t="s">
        <v>34</v>
      </c>
      <c r="AL25" t="str">
        <f t="shared" si="8"/>
        <v>Completed</v>
      </c>
      <c r="AM25" t="str">
        <f t="shared" si="14"/>
        <v>Include</v>
      </c>
      <c r="AN25">
        <f t="shared" si="15"/>
        <v>6265.6320000000005</v>
      </c>
      <c r="AO25">
        <f t="shared" si="16"/>
        <v>1943.7720000000008</v>
      </c>
      <c r="AP25">
        <f>IF(AN25=0,0,AO25/AN25)</f>
        <v>0.31022760353624351</v>
      </c>
      <c r="AQ25" t="str">
        <f t="shared" si="17"/>
        <v>August</v>
      </c>
      <c r="AR25">
        <f t="shared" si="18"/>
        <v>2025</v>
      </c>
      <c r="AS25" t="str">
        <f t="shared" si="19"/>
        <v>Clean</v>
      </c>
      <c r="AT25" t="str">
        <f>IF(OR(AC25&lt;0,AC25&gt;0.5),"Invalid Discount","Valid")</f>
        <v>Valid</v>
      </c>
      <c r="AU25" t="str">
        <f>IF(G25&lt;E25,"Invalid Shipping Record","Valid")</f>
        <v>Valid</v>
      </c>
      <c r="AV25" t="str">
        <f>IF(OR(AL25="Cancelled",AH25="Failed"),"Exclude","Include")</f>
        <v>Include</v>
      </c>
      <c r="AW25" t="str">
        <f t="shared" si="20"/>
        <v>Match</v>
      </c>
      <c r="AX25" t="str">
        <f t="shared" si="21"/>
        <v>Match</v>
      </c>
    </row>
    <row r="26" spans="1:50">
      <c r="A26" t="s">
        <v>205</v>
      </c>
      <c r="B26">
        <f t="shared" si="9"/>
        <v>1</v>
      </c>
      <c r="C26" t="str">
        <f t="shared" si="10"/>
        <v/>
      </c>
      <c r="D26" s="3" t="s">
        <v>206</v>
      </c>
      <c r="E26" s="7">
        <v>45355</v>
      </c>
      <c r="F26" s="3" t="s">
        <v>207</v>
      </c>
      <c r="G26" s="7">
        <v>45352</v>
      </c>
      <c r="H26" s="7" t="str">
        <f t="shared" si="0"/>
        <v>Invalid Shipping Record</v>
      </c>
      <c r="I26" s="9">
        <f t="shared" si="1"/>
        <v>-3</v>
      </c>
      <c r="J26" s="9" t="str">
        <f t="shared" si="2"/>
        <v>Invalid Shipping Record</v>
      </c>
      <c r="K26" t="s">
        <v>208</v>
      </c>
      <c r="L26" t="s">
        <v>209</v>
      </c>
      <c r="M26" t="s">
        <v>209</v>
      </c>
      <c r="N26" t="s">
        <v>25</v>
      </c>
      <c r="O26" s="3" t="str">
        <f t="shared" si="3"/>
        <v>Consumer</v>
      </c>
      <c r="P26" t="s">
        <v>26</v>
      </c>
      <c r="Q26" s="3" t="str">
        <f t="shared" si="4"/>
        <v>North</v>
      </c>
      <c r="R26" t="s">
        <v>153</v>
      </c>
      <c r="S26" t="s">
        <v>154</v>
      </c>
      <c r="T26" t="s">
        <v>29</v>
      </c>
      <c r="U26" s="3" t="str">
        <f t="shared" si="5"/>
        <v>Office Supplies</v>
      </c>
      <c r="V26" t="s">
        <v>53</v>
      </c>
      <c r="W26" t="s">
        <v>210</v>
      </c>
      <c r="X26" t="s">
        <v>66</v>
      </c>
      <c r="Y26" s="3" t="str">
        <f t="shared" si="6"/>
        <v>Standard Class</v>
      </c>
      <c r="Z26">
        <v>4</v>
      </c>
      <c r="AA26">
        <v>4492.9399999999996</v>
      </c>
      <c r="AB26">
        <v>0.25</v>
      </c>
      <c r="AC26">
        <f t="shared" si="7"/>
        <v>0.25</v>
      </c>
      <c r="AD26" t="str">
        <f t="shared" si="11"/>
        <v>Valid</v>
      </c>
      <c r="AE26">
        <v>13478.82</v>
      </c>
      <c r="AF26">
        <v>10937.35</v>
      </c>
      <c r="AG26">
        <v>2541.4699999999998</v>
      </c>
      <c r="AH26" t="s">
        <v>136</v>
      </c>
      <c r="AI26" t="str">
        <f t="shared" si="12"/>
        <v>Exclude</v>
      </c>
      <c r="AJ26" t="str">
        <f t="shared" si="13"/>
        <v/>
      </c>
      <c r="AK26" t="s">
        <v>77</v>
      </c>
      <c r="AL26" t="str">
        <f t="shared" si="8"/>
        <v>Cancelled</v>
      </c>
      <c r="AM26" t="str">
        <f t="shared" si="14"/>
        <v>Exclude</v>
      </c>
      <c r="AN26">
        <f t="shared" si="15"/>
        <v>13478.82</v>
      </c>
      <c r="AO26">
        <f t="shared" si="16"/>
        <v>2541.4699999999993</v>
      </c>
      <c r="AP26">
        <f>IF(AN26=0,0,AO26/AN26)</f>
        <v>0.18855285551702591</v>
      </c>
      <c r="AQ26" t="str">
        <f t="shared" si="17"/>
        <v>March</v>
      </c>
      <c r="AR26">
        <f t="shared" si="18"/>
        <v>2024</v>
      </c>
      <c r="AS26" t="str">
        <f t="shared" si="19"/>
        <v>Invalid</v>
      </c>
      <c r="AT26" t="str">
        <f>IF(OR(AC26&lt;0,AC26&gt;0.5),"Invalid Discount","Valid")</f>
        <v>Valid</v>
      </c>
      <c r="AU26" t="str">
        <f>IF(G26&lt;E26,"Invalid Shipping Record","Valid")</f>
        <v>Invalid Shipping Record</v>
      </c>
      <c r="AV26" t="str">
        <f>IF(OR(AL26="Cancelled",AH26="Failed"),"Exclude","Include")</f>
        <v>Exclude</v>
      </c>
      <c r="AW26" t="str">
        <f t="shared" si="20"/>
        <v>Match</v>
      </c>
      <c r="AX26" t="str">
        <f t="shared" si="21"/>
        <v>Match</v>
      </c>
    </row>
    <row r="27" spans="1:50">
      <c r="A27" t="s">
        <v>211</v>
      </c>
      <c r="B27">
        <f t="shared" si="9"/>
        <v>1</v>
      </c>
      <c r="C27" t="str">
        <f t="shared" si="10"/>
        <v/>
      </c>
      <c r="D27" s="3" t="s">
        <v>212</v>
      </c>
      <c r="E27" s="7">
        <v>45576</v>
      </c>
      <c r="F27" s="3" t="s">
        <v>213</v>
      </c>
      <c r="G27" s="7">
        <v>45584</v>
      </c>
      <c r="H27" s="7" t="str">
        <f t="shared" si="0"/>
        <v>Valid</v>
      </c>
      <c r="I27" s="9">
        <f t="shared" si="1"/>
        <v>8</v>
      </c>
      <c r="J27" s="9" t="str">
        <f t="shared" si="2"/>
        <v>Valid</v>
      </c>
      <c r="K27" t="s">
        <v>214</v>
      </c>
      <c r="L27" t="s">
        <v>60</v>
      </c>
      <c r="M27" t="s">
        <v>60</v>
      </c>
      <c r="N27" t="s">
        <v>107</v>
      </c>
      <c r="O27" s="3" t="str">
        <f t="shared" si="3"/>
        <v>Corporate</v>
      </c>
      <c r="P27" t="s">
        <v>41</v>
      </c>
      <c r="Q27" s="3" t="str">
        <f t="shared" si="4"/>
        <v>East</v>
      </c>
      <c r="R27" t="s">
        <v>215</v>
      </c>
      <c r="S27" t="s">
        <v>216</v>
      </c>
      <c r="T27" t="s">
        <v>85</v>
      </c>
      <c r="U27" s="3" t="str">
        <f t="shared" si="5"/>
        <v>Technology</v>
      </c>
      <c r="V27" t="s">
        <v>86</v>
      </c>
      <c r="W27" t="s">
        <v>217</v>
      </c>
      <c r="X27" t="s">
        <v>55</v>
      </c>
      <c r="Y27" s="3" t="str">
        <f t="shared" si="6"/>
        <v>First Class</v>
      </c>
      <c r="Z27">
        <v>2</v>
      </c>
      <c r="AA27">
        <v>4315.2</v>
      </c>
      <c r="AB27">
        <v>0.15</v>
      </c>
      <c r="AC27">
        <f t="shared" si="7"/>
        <v>0.15</v>
      </c>
      <c r="AD27" t="str">
        <f t="shared" si="11"/>
        <v>Valid</v>
      </c>
      <c r="AE27">
        <v>7335.84</v>
      </c>
      <c r="AF27">
        <v>4968.41</v>
      </c>
      <c r="AG27">
        <v>2367.4299999999998</v>
      </c>
      <c r="AH27" t="s">
        <v>33</v>
      </c>
      <c r="AI27" t="str">
        <f t="shared" si="12"/>
        <v>Include</v>
      </c>
      <c r="AJ27" t="str">
        <f t="shared" si="13"/>
        <v/>
      </c>
      <c r="AK27" t="s">
        <v>34</v>
      </c>
      <c r="AL27" t="str">
        <f t="shared" si="8"/>
        <v>Completed</v>
      </c>
      <c r="AM27" t="str">
        <f t="shared" si="14"/>
        <v>Include</v>
      </c>
      <c r="AN27">
        <f t="shared" si="15"/>
        <v>7335.8399999999992</v>
      </c>
      <c r="AO27">
        <f t="shared" si="16"/>
        <v>2367.4299999999994</v>
      </c>
      <c r="AP27">
        <f>IF(AN27=0,0,AO27/AN27)</f>
        <v>0.32272105171323251</v>
      </c>
      <c r="AQ27" t="str">
        <f t="shared" si="17"/>
        <v>October</v>
      </c>
      <c r="AR27">
        <f t="shared" si="18"/>
        <v>2024</v>
      </c>
      <c r="AS27" t="str">
        <f t="shared" si="19"/>
        <v>Clean</v>
      </c>
      <c r="AT27" t="str">
        <f>IF(OR(AC27&lt;0,AC27&gt;0.5),"Invalid Discount","Valid")</f>
        <v>Valid</v>
      </c>
      <c r="AU27" t="str">
        <f>IF(G27&lt;E27,"Invalid Shipping Record","Valid")</f>
        <v>Valid</v>
      </c>
      <c r="AV27" t="str">
        <f>IF(OR(AL27="Cancelled",AH27="Failed"),"Exclude","Include")</f>
        <v>Include</v>
      </c>
      <c r="AW27" t="str">
        <f t="shared" si="20"/>
        <v>Match</v>
      </c>
      <c r="AX27" t="str">
        <f t="shared" si="21"/>
        <v>Match</v>
      </c>
    </row>
    <row r="28" spans="1:50">
      <c r="A28" t="s">
        <v>218</v>
      </c>
      <c r="B28">
        <f t="shared" si="9"/>
        <v>1</v>
      </c>
      <c r="C28" t="str">
        <f t="shared" si="10"/>
        <v/>
      </c>
      <c r="D28" s="3" t="s">
        <v>219</v>
      </c>
      <c r="E28" s="7">
        <v>45619</v>
      </c>
      <c r="F28" s="3" t="s">
        <v>220</v>
      </c>
      <c r="G28" s="7">
        <v>45619</v>
      </c>
      <c r="H28" s="7" t="str">
        <f t="shared" si="0"/>
        <v>Valid</v>
      </c>
      <c r="I28" s="9">
        <f t="shared" si="1"/>
        <v>0</v>
      </c>
      <c r="J28" s="9" t="str">
        <f t="shared" si="2"/>
        <v>Valid</v>
      </c>
      <c r="K28" t="s">
        <v>221</v>
      </c>
      <c r="L28" t="s">
        <v>209</v>
      </c>
      <c r="M28" t="s">
        <v>209</v>
      </c>
      <c r="N28" t="s">
        <v>107</v>
      </c>
      <c r="O28" s="3" t="str">
        <f t="shared" si="3"/>
        <v>Corporate</v>
      </c>
      <c r="P28" t="s">
        <v>26</v>
      </c>
      <c r="Q28" s="3" t="str">
        <f t="shared" si="4"/>
        <v>North</v>
      </c>
      <c r="R28" t="s">
        <v>173</v>
      </c>
      <c r="S28" t="s">
        <v>174</v>
      </c>
      <c r="T28" t="s">
        <v>85</v>
      </c>
      <c r="U28" s="3" t="str">
        <f t="shared" si="5"/>
        <v>Technology</v>
      </c>
      <c r="V28" t="s">
        <v>222</v>
      </c>
      <c r="W28" t="s">
        <v>223</v>
      </c>
      <c r="X28" t="s">
        <v>66</v>
      </c>
      <c r="Y28" s="3" t="str">
        <f t="shared" si="6"/>
        <v>Standard Class</v>
      </c>
      <c r="Z28">
        <v>4</v>
      </c>
      <c r="AA28">
        <v>716.13</v>
      </c>
      <c r="AB28">
        <v>0.1</v>
      </c>
      <c r="AC28">
        <f t="shared" si="7"/>
        <v>0.1</v>
      </c>
      <c r="AD28" t="str">
        <f t="shared" si="11"/>
        <v>Valid</v>
      </c>
      <c r="AE28">
        <v>2578.0700000000002</v>
      </c>
      <c r="AF28">
        <v>1527.55</v>
      </c>
      <c r="AG28">
        <v>1050.52</v>
      </c>
      <c r="AH28" t="s">
        <v>33</v>
      </c>
      <c r="AI28" t="str">
        <f t="shared" si="12"/>
        <v>Include</v>
      </c>
      <c r="AJ28" t="str">
        <f t="shared" si="13"/>
        <v/>
      </c>
      <c r="AK28" t="s">
        <v>124</v>
      </c>
      <c r="AL28" t="str">
        <f t="shared" si="8"/>
        <v>Returned</v>
      </c>
      <c r="AM28" t="str">
        <f t="shared" si="14"/>
        <v>Include</v>
      </c>
      <c r="AN28">
        <f t="shared" si="15"/>
        <v>2578.0680000000002</v>
      </c>
      <c r="AO28">
        <f t="shared" si="16"/>
        <v>1050.5180000000003</v>
      </c>
      <c r="AP28">
        <f>IF(AN28=0,0,AO28/AN28)</f>
        <v>0.40748265755596835</v>
      </c>
      <c r="AQ28" t="str">
        <f t="shared" si="17"/>
        <v>November</v>
      </c>
      <c r="AR28">
        <f t="shared" si="18"/>
        <v>2024</v>
      </c>
      <c r="AS28" t="str">
        <f t="shared" si="19"/>
        <v>Clean</v>
      </c>
      <c r="AT28" t="str">
        <f>IF(OR(AC28&lt;0,AC28&gt;0.5),"Invalid Discount","Valid")</f>
        <v>Valid</v>
      </c>
      <c r="AU28" t="str">
        <f>IF(G28&lt;E28,"Invalid Shipping Record","Valid")</f>
        <v>Valid</v>
      </c>
      <c r="AV28" t="str">
        <f>IF(OR(AL28="Cancelled",AH28="Failed"),"Exclude","Include")</f>
        <v>Include</v>
      </c>
      <c r="AW28" t="str">
        <f t="shared" si="20"/>
        <v>Match</v>
      </c>
      <c r="AX28" t="str">
        <f t="shared" si="21"/>
        <v>Match</v>
      </c>
    </row>
    <row r="29" spans="1:50">
      <c r="A29" t="s">
        <v>224</v>
      </c>
      <c r="B29">
        <f t="shared" si="9"/>
        <v>1</v>
      </c>
      <c r="C29" t="str">
        <f t="shared" si="10"/>
        <v/>
      </c>
      <c r="D29" s="3" t="s">
        <v>225</v>
      </c>
      <c r="E29" s="7">
        <v>45929</v>
      </c>
      <c r="F29" s="3" t="s">
        <v>226</v>
      </c>
      <c r="G29" s="7">
        <v>45935</v>
      </c>
      <c r="H29" s="7" t="str">
        <f t="shared" si="0"/>
        <v>Valid</v>
      </c>
      <c r="I29" s="9">
        <f t="shared" si="1"/>
        <v>6</v>
      </c>
      <c r="J29" s="9" t="str">
        <f t="shared" si="2"/>
        <v>Valid</v>
      </c>
      <c r="K29" t="s">
        <v>227</v>
      </c>
      <c r="L29" t="s">
        <v>60</v>
      </c>
      <c r="M29" t="s">
        <v>60</v>
      </c>
      <c r="N29" t="s">
        <v>40</v>
      </c>
      <c r="O29" s="3" t="str">
        <f t="shared" si="3"/>
        <v>Small Business</v>
      </c>
      <c r="P29" t="s">
        <v>61</v>
      </c>
      <c r="Q29" s="3" t="str">
        <f t="shared" si="4"/>
        <v>South</v>
      </c>
      <c r="R29" t="s">
        <v>228</v>
      </c>
      <c r="S29" t="s">
        <v>229</v>
      </c>
      <c r="T29" t="s">
        <v>29</v>
      </c>
      <c r="U29" s="3" t="str">
        <f t="shared" si="5"/>
        <v>Office Supplies</v>
      </c>
      <c r="V29" t="s">
        <v>30</v>
      </c>
      <c r="W29" t="s">
        <v>230</v>
      </c>
      <c r="X29" t="s">
        <v>32</v>
      </c>
      <c r="Y29" s="3" t="str">
        <f t="shared" si="6"/>
        <v>Second Class</v>
      </c>
      <c r="Z29">
        <v>5</v>
      </c>
      <c r="AA29">
        <v>1806.51</v>
      </c>
      <c r="AB29">
        <v>0.25</v>
      </c>
      <c r="AC29">
        <f t="shared" si="7"/>
        <v>0.25</v>
      </c>
      <c r="AD29" t="str">
        <f t="shared" si="11"/>
        <v>Valid</v>
      </c>
      <c r="AE29">
        <v>6774.41</v>
      </c>
      <c r="AF29">
        <v>4710.3599999999997</v>
      </c>
      <c r="AG29">
        <v>2064.0500000000002</v>
      </c>
      <c r="AH29" t="s">
        <v>199</v>
      </c>
      <c r="AI29" t="str">
        <f t="shared" si="12"/>
        <v>Exclude</v>
      </c>
      <c r="AJ29" t="str">
        <f t="shared" si="13"/>
        <v/>
      </c>
      <c r="AK29" t="s">
        <v>124</v>
      </c>
      <c r="AL29" t="str">
        <f t="shared" si="8"/>
        <v>Returned</v>
      </c>
      <c r="AM29" t="str">
        <f t="shared" si="14"/>
        <v>Include</v>
      </c>
      <c r="AN29">
        <f t="shared" si="15"/>
        <v>6774.4124999999995</v>
      </c>
      <c r="AO29">
        <f t="shared" si="16"/>
        <v>2064.0524999999998</v>
      </c>
      <c r="AP29">
        <f>IF(AN29=0,0,AO29/AN29)</f>
        <v>0.30468361647596748</v>
      </c>
      <c r="AQ29" t="str">
        <f t="shared" si="17"/>
        <v>September</v>
      </c>
      <c r="AR29">
        <f t="shared" si="18"/>
        <v>2025</v>
      </c>
      <c r="AS29" t="str">
        <f t="shared" si="19"/>
        <v>Clean</v>
      </c>
      <c r="AT29" t="str">
        <f>IF(OR(AC29&lt;0,AC29&gt;0.5),"Invalid Discount","Valid")</f>
        <v>Valid</v>
      </c>
      <c r="AU29" t="str">
        <f>IF(G29&lt;E29,"Invalid Shipping Record","Valid")</f>
        <v>Valid</v>
      </c>
      <c r="AV29" t="str">
        <f>IF(OR(AL29="Cancelled",AH29="Failed"),"Exclude","Include")</f>
        <v>Exclude</v>
      </c>
      <c r="AW29" t="str">
        <f t="shared" si="20"/>
        <v>Match</v>
      </c>
      <c r="AX29" t="str">
        <f t="shared" si="21"/>
        <v>Match</v>
      </c>
    </row>
    <row r="30" spans="1:50">
      <c r="A30" t="s">
        <v>231</v>
      </c>
      <c r="B30">
        <f t="shared" si="9"/>
        <v>1</v>
      </c>
      <c r="C30" t="str">
        <f t="shared" si="10"/>
        <v/>
      </c>
      <c r="D30" s="3" t="s">
        <v>212</v>
      </c>
      <c r="E30" s="7">
        <v>45576</v>
      </c>
      <c r="F30" s="3" t="s">
        <v>232</v>
      </c>
      <c r="G30" s="7">
        <v>45583</v>
      </c>
      <c r="H30" s="7" t="str">
        <f t="shared" si="0"/>
        <v>Valid</v>
      </c>
      <c r="I30" s="9">
        <f t="shared" si="1"/>
        <v>7</v>
      </c>
      <c r="J30" s="9" t="str">
        <f t="shared" si="2"/>
        <v>Valid</v>
      </c>
      <c r="K30" t="s">
        <v>233</v>
      </c>
      <c r="L30" t="s">
        <v>71</v>
      </c>
      <c r="M30" t="s">
        <v>71</v>
      </c>
      <c r="N30" t="s">
        <v>114</v>
      </c>
      <c r="O30" s="3" t="str">
        <f t="shared" si="3"/>
        <v>Home Office</v>
      </c>
      <c r="P30" t="s">
        <v>72</v>
      </c>
      <c r="Q30" s="3" t="str">
        <f t="shared" si="4"/>
        <v>West</v>
      </c>
      <c r="R30" t="s">
        <v>234</v>
      </c>
      <c r="S30" t="s">
        <v>235</v>
      </c>
      <c r="T30" t="s">
        <v>85</v>
      </c>
      <c r="U30" s="3" t="str">
        <f t="shared" si="5"/>
        <v>Technology</v>
      </c>
      <c r="V30" t="s">
        <v>222</v>
      </c>
      <c r="W30" t="s">
        <v>236</v>
      </c>
      <c r="X30" t="s">
        <v>32</v>
      </c>
      <c r="Y30" s="3" t="str">
        <f t="shared" si="6"/>
        <v>Second Class</v>
      </c>
      <c r="Z30">
        <v>2</v>
      </c>
      <c r="AA30">
        <v>1942.22</v>
      </c>
      <c r="AB30">
        <v>0.25</v>
      </c>
      <c r="AC30">
        <f t="shared" si="7"/>
        <v>0.25</v>
      </c>
      <c r="AD30" t="str">
        <f t="shared" si="11"/>
        <v>Valid</v>
      </c>
      <c r="AE30">
        <v>2913.33</v>
      </c>
      <c r="AF30">
        <v>2122.33</v>
      </c>
      <c r="AG30">
        <v>791</v>
      </c>
      <c r="AH30" t="s">
        <v>123</v>
      </c>
      <c r="AI30" t="str">
        <f t="shared" si="12"/>
        <v>Exclude</v>
      </c>
      <c r="AJ30" t="str">
        <f t="shared" si="13"/>
        <v>Refunded Order</v>
      </c>
      <c r="AK30" t="s">
        <v>77</v>
      </c>
      <c r="AL30" t="str">
        <f t="shared" si="8"/>
        <v>Cancelled</v>
      </c>
      <c r="AM30" t="str">
        <f t="shared" si="14"/>
        <v>Exclude</v>
      </c>
      <c r="AN30">
        <f t="shared" si="15"/>
        <v>2913.33</v>
      </c>
      <c r="AO30">
        <f t="shared" si="16"/>
        <v>791</v>
      </c>
      <c r="AP30">
        <f>IF(AN30=0,0,AO30/AN30)</f>
        <v>0.27151060813570727</v>
      </c>
      <c r="AQ30" t="str">
        <f t="shared" si="17"/>
        <v>October</v>
      </c>
      <c r="AR30">
        <f t="shared" si="18"/>
        <v>2024</v>
      </c>
      <c r="AS30" t="str">
        <f t="shared" si="19"/>
        <v>Clean</v>
      </c>
      <c r="AT30" t="str">
        <f>IF(OR(AC30&lt;0,AC30&gt;0.5),"Invalid Discount","Valid")</f>
        <v>Valid</v>
      </c>
      <c r="AU30" t="str">
        <f>IF(G30&lt;E30,"Invalid Shipping Record","Valid")</f>
        <v>Valid</v>
      </c>
      <c r="AV30" t="str">
        <f>IF(OR(AL30="Cancelled",AH30="Failed"),"Exclude","Include")</f>
        <v>Exclude</v>
      </c>
      <c r="AW30" t="str">
        <f t="shared" si="20"/>
        <v>Match</v>
      </c>
      <c r="AX30" t="str">
        <f t="shared" si="21"/>
        <v>Match</v>
      </c>
    </row>
    <row r="31" spans="1:50">
      <c r="A31" t="s">
        <v>237</v>
      </c>
      <c r="B31">
        <f t="shared" si="9"/>
        <v>1</v>
      </c>
      <c r="C31" t="str">
        <f t="shared" si="10"/>
        <v/>
      </c>
      <c r="D31" s="3" t="s">
        <v>238</v>
      </c>
      <c r="E31" s="7">
        <v>45882</v>
      </c>
      <c r="F31" s="3" t="s">
        <v>239</v>
      </c>
      <c r="G31" s="7">
        <v>45882</v>
      </c>
      <c r="H31" s="7" t="str">
        <f t="shared" si="0"/>
        <v>Valid</v>
      </c>
      <c r="I31" s="9">
        <f t="shared" si="1"/>
        <v>0</v>
      </c>
      <c r="J31" s="9" t="str">
        <f t="shared" si="2"/>
        <v>Valid</v>
      </c>
      <c r="K31" t="s">
        <v>240</v>
      </c>
      <c r="L31" t="s">
        <v>179</v>
      </c>
      <c r="M31" t="s">
        <v>179</v>
      </c>
      <c r="N31" t="s">
        <v>114</v>
      </c>
      <c r="O31" s="3" t="str">
        <f t="shared" si="3"/>
        <v>Home Office</v>
      </c>
      <c r="P31" t="s">
        <v>61</v>
      </c>
      <c r="Q31" s="3" t="str">
        <f t="shared" si="4"/>
        <v>South</v>
      </c>
      <c r="R31" t="s">
        <v>241</v>
      </c>
      <c r="S31" t="s">
        <v>242</v>
      </c>
      <c r="T31" t="s">
        <v>85</v>
      </c>
      <c r="U31" s="3" t="str">
        <f t="shared" si="5"/>
        <v>Technology</v>
      </c>
      <c r="V31" t="s">
        <v>222</v>
      </c>
      <c r="W31" t="s">
        <v>243</v>
      </c>
      <c r="X31" t="s">
        <v>66</v>
      </c>
      <c r="Y31" s="3" t="str">
        <f t="shared" si="6"/>
        <v>Standard Class</v>
      </c>
      <c r="Z31">
        <v>1</v>
      </c>
      <c r="AA31">
        <v>256.01</v>
      </c>
      <c r="AB31">
        <v>0.15</v>
      </c>
      <c r="AC31">
        <f t="shared" si="7"/>
        <v>0.15</v>
      </c>
      <c r="AD31" t="str">
        <f t="shared" si="11"/>
        <v>Valid</v>
      </c>
      <c r="AE31">
        <v>217.61</v>
      </c>
      <c r="AF31">
        <v>119.77</v>
      </c>
      <c r="AG31">
        <v>97.84</v>
      </c>
      <c r="AH31" t="s">
        <v>33</v>
      </c>
      <c r="AI31" t="str">
        <f t="shared" si="12"/>
        <v>Include</v>
      </c>
      <c r="AJ31" t="str">
        <f t="shared" si="13"/>
        <v/>
      </c>
      <c r="AK31" t="s">
        <v>34</v>
      </c>
      <c r="AL31" t="str">
        <f t="shared" si="8"/>
        <v>Completed</v>
      </c>
      <c r="AM31" t="str">
        <f t="shared" si="14"/>
        <v>Include</v>
      </c>
      <c r="AN31">
        <f t="shared" si="15"/>
        <v>217.60849999999999</v>
      </c>
      <c r="AO31">
        <f t="shared" si="16"/>
        <v>97.838499999999996</v>
      </c>
      <c r="AP31">
        <f>IF(AN31=0,0,AO31/AN31)</f>
        <v>0.44960789675035673</v>
      </c>
      <c r="AQ31" t="str">
        <f t="shared" si="17"/>
        <v>August</v>
      </c>
      <c r="AR31">
        <f t="shared" si="18"/>
        <v>2025</v>
      </c>
      <c r="AS31" t="str">
        <f t="shared" si="19"/>
        <v>Clean</v>
      </c>
      <c r="AT31" t="str">
        <f>IF(OR(AC31&lt;0,AC31&gt;0.5),"Invalid Discount","Valid")</f>
        <v>Valid</v>
      </c>
      <c r="AU31" t="str">
        <f>IF(G31&lt;E31,"Invalid Shipping Record","Valid")</f>
        <v>Valid</v>
      </c>
      <c r="AV31" t="str">
        <f>IF(OR(AL31="Cancelled",AH31="Failed"),"Exclude","Include")</f>
        <v>Include</v>
      </c>
      <c r="AW31" t="str">
        <f t="shared" si="20"/>
        <v>Match</v>
      </c>
      <c r="AX31" t="str">
        <f t="shared" si="21"/>
        <v>Match</v>
      </c>
    </row>
    <row r="32" spans="1:50">
      <c r="A32" t="s">
        <v>244</v>
      </c>
      <c r="B32">
        <f t="shared" si="9"/>
        <v>1</v>
      </c>
      <c r="C32" t="str">
        <f t="shared" si="10"/>
        <v/>
      </c>
      <c r="D32" s="3" t="s">
        <v>245</v>
      </c>
      <c r="E32" s="7">
        <v>45331</v>
      </c>
      <c r="F32" s="3" t="s">
        <v>246</v>
      </c>
      <c r="G32" s="7">
        <v>45334</v>
      </c>
      <c r="H32" s="7" t="str">
        <f t="shared" si="0"/>
        <v>Valid</v>
      </c>
      <c r="I32" s="9">
        <f t="shared" si="1"/>
        <v>3</v>
      </c>
      <c r="J32" s="9" t="str">
        <f t="shared" si="2"/>
        <v>Valid</v>
      </c>
      <c r="K32" t="s">
        <v>247</v>
      </c>
      <c r="L32" t="s">
        <v>71</v>
      </c>
      <c r="M32" t="s">
        <v>71</v>
      </c>
      <c r="N32" t="s">
        <v>107</v>
      </c>
      <c r="O32" s="3" t="str">
        <f t="shared" si="3"/>
        <v>Corporate</v>
      </c>
      <c r="P32" t="s">
        <v>72</v>
      </c>
      <c r="Q32" s="3" t="str">
        <f t="shared" si="4"/>
        <v>West</v>
      </c>
      <c r="R32" t="s">
        <v>248</v>
      </c>
      <c r="S32" t="s">
        <v>249</v>
      </c>
      <c r="T32" t="s">
        <v>29</v>
      </c>
      <c r="U32" s="3" t="str">
        <f t="shared" si="5"/>
        <v>Office Supplies</v>
      </c>
      <c r="V32" t="s">
        <v>108</v>
      </c>
      <c r="W32" t="s">
        <v>250</v>
      </c>
      <c r="X32" t="s">
        <v>55</v>
      </c>
      <c r="Y32" s="3" t="str">
        <f t="shared" si="6"/>
        <v>First Class</v>
      </c>
      <c r="Z32">
        <v>1</v>
      </c>
      <c r="AA32">
        <v>3421.77</v>
      </c>
      <c r="AB32">
        <v>0.1</v>
      </c>
      <c r="AC32">
        <f t="shared" si="7"/>
        <v>0.1</v>
      </c>
      <c r="AD32" t="str">
        <f t="shared" si="11"/>
        <v>Valid</v>
      </c>
      <c r="AE32">
        <v>3079.59</v>
      </c>
      <c r="AF32">
        <v>2001.89</v>
      </c>
      <c r="AG32">
        <v>1077.7</v>
      </c>
      <c r="AH32" t="s">
        <v>33</v>
      </c>
      <c r="AI32" t="str">
        <f t="shared" si="12"/>
        <v>Include</v>
      </c>
      <c r="AJ32" t="str">
        <f t="shared" si="13"/>
        <v/>
      </c>
      <c r="AK32" t="s">
        <v>34</v>
      </c>
      <c r="AL32" t="str">
        <f t="shared" si="8"/>
        <v>Completed</v>
      </c>
      <c r="AM32" t="str">
        <f t="shared" si="14"/>
        <v>Include</v>
      </c>
      <c r="AN32">
        <f t="shared" si="15"/>
        <v>3079.5929999999998</v>
      </c>
      <c r="AO32">
        <f t="shared" si="16"/>
        <v>1077.7029999999997</v>
      </c>
      <c r="AP32">
        <f>IF(AN32=0,0,AO32/AN32)</f>
        <v>0.34994981479695525</v>
      </c>
      <c r="AQ32" t="str">
        <f t="shared" si="17"/>
        <v>February</v>
      </c>
      <c r="AR32">
        <f t="shared" si="18"/>
        <v>2024</v>
      </c>
      <c r="AS32" t="str">
        <f t="shared" si="19"/>
        <v>Clean</v>
      </c>
      <c r="AT32" t="str">
        <f>IF(OR(AC32&lt;0,AC32&gt;0.5),"Invalid Discount","Valid")</f>
        <v>Valid</v>
      </c>
      <c r="AU32" t="str">
        <f>IF(G32&lt;E32,"Invalid Shipping Record","Valid")</f>
        <v>Valid</v>
      </c>
      <c r="AV32" t="str">
        <f>IF(OR(AL32="Cancelled",AH32="Failed"),"Exclude","Include")</f>
        <v>Include</v>
      </c>
      <c r="AW32" t="str">
        <f t="shared" si="20"/>
        <v>Match</v>
      </c>
      <c r="AX32" t="str">
        <f t="shared" si="21"/>
        <v>Match</v>
      </c>
    </row>
    <row r="33" spans="1:50">
      <c r="A33" t="s">
        <v>251</v>
      </c>
      <c r="B33">
        <f t="shared" si="9"/>
        <v>1</v>
      </c>
      <c r="C33" t="str">
        <f t="shared" si="10"/>
        <v/>
      </c>
      <c r="D33" s="3" t="s">
        <v>252</v>
      </c>
      <c r="E33" s="7">
        <v>45823</v>
      </c>
      <c r="F33" s="3" t="s">
        <v>253</v>
      </c>
      <c r="G33" s="7">
        <v>45827</v>
      </c>
      <c r="H33" s="7" t="str">
        <f t="shared" si="0"/>
        <v>Valid</v>
      </c>
      <c r="I33" s="9">
        <f t="shared" si="1"/>
        <v>4</v>
      </c>
      <c r="J33" s="9" t="str">
        <f t="shared" si="2"/>
        <v>Valid</v>
      </c>
      <c r="K33" t="s">
        <v>254</v>
      </c>
      <c r="L33" t="s">
        <v>24</v>
      </c>
      <c r="M33" t="s">
        <v>24</v>
      </c>
      <c r="N33" t="s">
        <v>40</v>
      </c>
      <c r="O33" s="3" t="str">
        <f t="shared" si="3"/>
        <v>Small Business</v>
      </c>
      <c r="P33" t="s">
        <v>72</v>
      </c>
      <c r="Q33" s="3" t="str">
        <f t="shared" si="4"/>
        <v>West</v>
      </c>
      <c r="R33" t="s">
        <v>83</v>
      </c>
      <c r="S33" t="s">
        <v>84</v>
      </c>
      <c r="T33" t="s">
        <v>29</v>
      </c>
      <c r="U33" s="3" t="str">
        <f t="shared" si="5"/>
        <v>Office Supplies</v>
      </c>
      <c r="V33" t="s">
        <v>30</v>
      </c>
      <c r="W33" t="s">
        <v>255</v>
      </c>
      <c r="X33" t="s">
        <v>32</v>
      </c>
      <c r="Y33" s="3" t="str">
        <f t="shared" si="6"/>
        <v>Second Class</v>
      </c>
      <c r="Z33">
        <v>9</v>
      </c>
      <c r="AA33">
        <v>3092.55</v>
      </c>
      <c r="AB33">
        <v>0</v>
      </c>
      <c r="AC33">
        <f t="shared" si="7"/>
        <v>0</v>
      </c>
      <c r="AD33" t="str">
        <f t="shared" si="11"/>
        <v>Valid</v>
      </c>
      <c r="AE33">
        <v>27832.95</v>
      </c>
      <c r="AF33">
        <v>17769.75</v>
      </c>
      <c r="AG33">
        <v>10063.200000000001</v>
      </c>
      <c r="AH33" t="s">
        <v>199</v>
      </c>
      <c r="AI33" t="str">
        <f t="shared" si="12"/>
        <v>Exclude</v>
      </c>
      <c r="AJ33" t="str">
        <f t="shared" si="13"/>
        <v/>
      </c>
      <c r="AK33" t="s">
        <v>124</v>
      </c>
      <c r="AL33" t="str">
        <f t="shared" si="8"/>
        <v>Returned</v>
      </c>
      <c r="AM33" t="str">
        <f t="shared" si="14"/>
        <v>Include</v>
      </c>
      <c r="AN33">
        <f t="shared" si="15"/>
        <v>27832.95</v>
      </c>
      <c r="AO33">
        <f t="shared" si="16"/>
        <v>10063.200000000001</v>
      </c>
      <c r="AP33">
        <f>IF(AN33=0,0,AO33/AN33)</f>
        <v>0.36155707533696574</v>
      </c>
      <c r="AQ33" t="str">
        <f t="shared" si="17"/>
        <v>June</v>
      </c>
      <c r="AR33">
        <f t="shared" si="18"/>
        <v>2025</v>
      </c>
      <c r="AS33" t="str">
        <f t="shared" si="19"/>
        <v>Clean</v>
      </c>
      <c r="AT33" t="str">
        <f>IF(OR(AC33&lt;0,AC33&gt;0.5),"Invalid Discount","Valid")</f>
        <v>Valid</v>
      </c>
      <c r="AU33" t="str">
        <f>IF(G33&lt;E33,"Invalid Shipping Record","Valid")</f>
        <v>Valid</v>
      </c>
      <c r="AV33" t="str">
        <f>IF(OR(AL33="Cancelled",AH33="Failed"),"Exclude","Include")</f>
        <v>Exclude</v>
      </c>
      <c r="AW33" t="str">
        <f t="shared" si="20"/>
        <v>Match</v>
      </c>
      <c r="AX33" t="str">
        <f t="shared" si="21"/>
        <v>Match</v>
      </c>
    </row>
    <row r="34" spans="1:50">
      <c r="A34" t="s">
        <v>256</v>
      </c>
      <c r="B34">
        <f t="shared" si="9"/>
        <v>1</v>
      </c>
      <c r="C34" t="str">
        <f t="shared" si="10"/>
        <v/>
      </c>
      <c r="D34" s="3" t="s">
        <v>257</v>
      </c>
      <c r="E34" s="7">
        <v>45618</v>
      </c>
      <c r="F34" s="3" t="s">
        <v>258</v>
      </c>
      <c r="G34" s="7">
        <v>45622</v>
      </c>
      <c r="H34" s="7" t="str">
        <f t="shared" si="0"/>
        <v>Valid</v>
      </c>
      <c r="I34" s="9">
        <f t="shared" si="1"/>
        <v>4</v>
      </c>
      <c r="J34" s="9" t="str">
        <f t="shared" si="2"/>
        <v>Valid</v>
      </c>
      <c r="K34" t="s">
        <v>259</v>
      </c>
      <c r="L34" t="s">
        <v>161</v>
      </c>
      <c r="M34" t="s">
        <v>161</v>
      </c>
      <c r="N34" t="s">
        <v>107</v>
      </c>
      <c r="O34" s="3" t="str">
        <f t="shared" si="3"/>
        <v>Corporate</v>
      </c>
      <c r="P34" t="s">
        <v>61</v>
      </c>
      <c r="Q34" s="3" t="str">
        <f t="shared" si="4"/>
        <v>South</v>
      </c>
      <c r="R34" t="s">
        <v>99</v>
      </c>
      <c r="S34" t="s">
        <v>100</v>
      </c>
      <c r="T34" t="s">
        <v>85</v>
      </c>
      <c r="U34" s="3" t="str">
        <f t="shared" si="5"/>
        <v>Technology</v>
      </c>
      <c r="V34" t="s">
        <v>222</v>
      </c>
      <c r="W34" t="s">
        <v>260</v>
      </c>
      <c r="X34" t="s">
        <v>32</v>
      </c>
      <c r="Y34" s="3" t="str">
        <f t="shared" si="6"/>
        <v>Second Class</v>
      </c>
      <c r="Z34">
        <v>3</v>
      </c>
      <c r="AA34">
        <v>4001.25</v>
      </c>
      <c r="AC34">
        <f t="shared" si="7"/>
        <v>0</v>
      </c>
      <c r="AD34" t="str">
        <f t="shared" si="11"/>
        <v>Valid</v>
      </c>
      <c r="AE34">
        <v>9002.81</v>
      </c>
      <c r="AF34">
        <v>7529.92</v>
      </c>
      <c r="AG34">
        <v>1472.89</v>
      </c>
      <c r="AH34" t="s">
        <v>33</v>
      </c>
      <c r="AI34" t="str">
        <f t="shared" si="12"/>
        <v>Include</v>
      </c>
      <c r="AJ34" t="str">
        <f t="shared" si="13"/>
        <v/>
      </c>
      <c r="AK34" t="s">
        <v>34</v>
      </c>
      <c r="AL34" t="str">
        <f t="shared" si="8"/>
        <v>Completed</v>
      </c>
      <c r="AM34" t="str">
        <f t="shared" si="14"/>
        <v>Include</v>
      </c>
      <c r="AN34">
        <f t="shared" si="15"/>
        <v>12003.75</v>
      </c>
      <c r="AO34">
        <f t="shared" si="16"/>
        <v>4473.83</v>
      </c>
      <c r="AP34">
        <f>IF(AN34=0,0,AO34/AN34)</f>
        <v>0.37270269707383108</v>
      </c>
      <c r="AQ34" t="str">
        <f t="shared" si="17"/>
        <v>November</v>
      </c>
      <c r="AR34">
        <f t="shared" si="18"/>
        <v>2024</v>
      </c>
      <c r="AS34" t="str">
        <f t="shared" si="19"/>
        <v>Clean</v>
      </c>
      <c r="AT34" t="str">
        <f>IF(OR(AC34&lt;0,AC34&gt;0.5),"Invalid Discount","Valid")</f>
        <v>Valid</v>
      </c>
      <c r="AU34" t="str">
        <f>IF(G34&lt;E34,"Invalid Shipping Record","Valid")</f>
        <v>Valid</v>
      </c>
      <c r="AV34" t="str">
        <f>IF(OR(AL34="Cancelled",AH34="Failed"),"Exclude","Include")</f>
        <v>Include</v>
      </c>
      <c r="AW34" t="str">
        <f t="shared" si="20"/>
        <v>Mismatch</v>
      </c>
      <c r="AX34" t="str">
        <f t="shared" si="21"/>
        <v>Mismatch</v>
      </c>
    </row>
    <row r="35" spans="1:50">
      <c r="A35" t="s">
        <v>261</v>
      </c>
      <c r="B35">
        <f t="shared" si="9"/>
        <v>1</v>
      </c>
      <c r="C35" t="str">
        <f t="shared" si="10"/>
        <v/>
      </c>
      <c r="D35" s="3" t="s">
        <v>262</v>
      </c>
      <c r="E35" s="7">
        <v>45495</v>
      </c>
      <c r="F35" s="3" t="s">
        <v>263</v>
      </c>
      <c r="G35" s="7">
        <v>45500</v>
      </c>
      <c r="H35" s="7" t="str">
        <f t="shared" si="0"/>
        <v>Valid</v>
      </c>
      <c r="I35" s="9">
        <f t="shared" si="1"/>
        <v>5</v>
      </c>
      <c r="J35" s="9" t="str">
        <f t="shared" si="2"/>
        <v>Valid</v>
      </c>
      <c r="K35" t="s">
        <v>264</v>
      </c>
      <c r="L35" t="s">
        <v>141</v>
      </c>
      <c r="M35" t="s">
        <v>141</v>
      </c>
      <c r="N35" t="s">
        <v>114</v>
      </c>
      <c r="O35" s="3" t="str">
        <f t="shared" si="3"/>
        <v>Home Office</v>
      </c>
      <c r="P35" t="s">
        <v>72</v>
      </c>
      <c r="Q35" s="3" t="str">
        <f t="shared" si="4"/>
        <v>West</v>
      </c>
      <c r="R35" t="s">
        <v>248</v>
      </c>
      <c r="S35" t="s">
        <v>249</v>
      </c>
      <c r="T35" t="s">
        <v>44</v>
      </c>
      <c r="U35" s="3" t="str">
        <f t="shared" si="5"/>
        <v>Furniture</v>
      </c>
      <c r="V35" t="s">
        <v>45</v>
      </c>
      <c r="W35" t="s">
        <v>265</v>
      </c>
      <c r="X35" t="s">
        <v>47</v>
      </c>
      <c r="Y35" s="3" t="str">
        <f t="shared" si="6"/>
        <v>Same Day</v>
      </c>
      <c r="Z35">
        <v>7</v>
      </c>
      <c r="AA35">
        <v>492.41</v>
      </c>
      <c r="AB35">
        <v>0.25</v>
      </c>
      <c r="AC35">
        <f t="shared" si="7"/>
        <v>0.25</v>
      </c>
      <c r="AD35" t="str">
        <f t="shared" si="11"/>
        <v>Valid</v>
      </c>
      <c r="AE35">
        <v>2585.15</v>
      </c>
      <c r="AF35">
        <v>2070.73</v>
      </c>
      <c r="AG35">
        <v>514.41999999999996</v>
      </c>
      <c r="AH35" t="s">
        <v>33</v>
      </c>
      <c r="AI35" t="str">
        <f t="shared" si="12"/>
        <v>Include</v>
      </c>
      <c r="AJ35" t="str">
        <f t="shared" si="13"/>
        <v/>
      </c>
      <c r="AK35" t="s">
        <v>34</v>
      </c>
      <c r="AL35" t="str">
        <f t="shared" si="8"/>
        <v>Completed</v>
      </c>
      <c r="AM35" t="str">
        <f t="shared" si="14"/>
        <v>Include</v>
      </c>
      <c r="AN35">
        <f t="shared" si="15"/>
        <v>2585.1525000000001</v>
      </c>
      <c r="AO35">
        <f t="shared" si="16"/>
        <v>514.42250000000013</v>
      </c>
      <c r="AP35">
        <f>IF(AN35=0,0,AO35/AN35)</f>
        <v>0.19899116203009304</v>
      </c>
      <c r="AQ35" t="str">
        <f t="shared" si="17"/>
        <v>July</v>
      </c>
      <c r="AR35">
        <f t="shared" si="18"/>
        <v>2024</v>
      </c>
      <c r="AS35" t="str">
        <f t="shared" si="19"/>
        <v>Clean</v>
      </c>
      <c r="AT35" t="str">
        <f>IF(OR(AC35&lt;0,AC35&gt;0.5),"Invalid Discount","Valid")</f>
        <v>Valid</v>
      </c>
      <c r="AU35" t="str">
        <f>IF(G35&lt;E35,"Invalid Shipping Record","Valid")</f>
        <v>Valid</v>
      </c>
      <c r="AV35" t="str">
        <f>IF(OR(AL35="Cancelled",AH35="Failed"),"Exclude","Include")</f>
        <v>Include</v>
      </c>
      <c r="AW35" t="str">
        <f t="shared" si="20"/>
        <v>Match</v>
      </c>
      <c r="AX35" t="str">
        <f t="shared" si="21"/>
        <v>Match</v>
      </c>
    </row>
    <row r="36" spans="1:50">
      <c r="A36" t="s">
        <v>266</v>
      </c>
      <c r="B36">
        <f t="shared" si="9"/>
        <v>1</v>
      </c>
      <c r="C36" t="str">
        <f t="shared" si="10"/>
        <v/>
      </c>
      <c r="D36" s="3" t="s">
        <v>267</v>
      </c>
      <c r="E36" s="7">
        <v>45688</v>
      </c>
      <c r="F36" s="3" t="s">
        <v>268</v>
      </c>
      <c r="G36" s="7">
        <v>45693</v>
      </c>
      <c r="H36" s="7" t="str">
        <f t="shared" si="0"/>
        <v>Valid</v>
      </c>
      <c r="I36" s="9">
        <f t="shared" si="1"/>
        <v>5</v>
      </c>
      <c r="J36" s="9" t="str">
        <f t="shared" si="2"/>
        <v>Valid</v>
      </c>
      <c r="K36" t="s">
        <v>269</v>
      </c>
      <c r="L36" t="s">
        <v>141</v>
      </c>
      <c r="M36" t="s">
        <v>141</v>
      </c>
      <c r="N36" t="s">
        <v>114</v>
      </c>
      <c r="O36" s="3" t="str">
        <f t="shared" si="3"/>
        <v>Home Office</v>
      </c>
      <c r="P36" t="s">
        <v>41</v>
      </c>
      <c r="Q36" s="3" t="str">
        <f t="shared" si="4"/>
        <v>East</v>
      </c>
      <c r="R36" t="s">
        <v>120</v>
      </c>
      <c r="S36" t="s">
        <v>121</v>
      </c>
      <c r="T36" t="s">
        <v>44</v>
      </c>
      <c r="U36" s="3" t="str">
        <f t="shared" si="5"/>
        <v>Furniture</v>
      </c>
      <c r="V36" t="s">
        <v>75</v>
      </c>
      <c r="W36" t="s">
        <v>270</v>
      </c>
      <c r="Y36" s="3" t="str">
        <f t="shared" si="6"/>
        <v>Unknown</v>
      </c>
      <c r="Z36">
        <v>2</v>
      </c>
      <c r="AA36">
        <v>4159.6899999999996</v>
      </c>
      <c r="AB36">
        <v>0.2</v>
      </c>
      <c r="AC36">
        <f t="shared" si="7"/>
        <v>0.2</v>
      </c>
      <c r="AD36" t="str">
        <f t="shared" si="11"/>
        <v>Valid</v>
      </c>
      <c r="AE36">
        <v>6655.5</v>
      </c>
      <c r="AF36">
        <v>4340.21</v>
      </c>
      <c r="AG36">
        <v>2607.3200000000002</v>
      </c>
      <c r="AH36" t="s">
        <v>33</v>
      </c>
      <c r="AI36" t="str">
        <f t="shared" si="12"/>
        <v>Include</v>
      </c>
      <c r="AJ36" t="str">
        <f t="shared" si="13"/>
        <v/>
      </c>
      <c r="AK36" t="s">
        <v>34</v>
      </c>
      <c r="AL36" t="str">
        <f t="shared" si="8"/>
        <v>Completed</v>
      </c>
      <c r="AM36" t="str">
        <f t="shared" si="14"/>
        <v>Include</v>
      </c>
      <c r="AN36">
        <f t="shared" si="15"/>
        <v>6655.5039999999999</v>
      </c>
      <c r="AO36">
        <f t="shared" si="16"/>
        <v>2315.2939999999999</v>
      </c>
      <c r="AP36">
        <f>IF(AN36=0,0,AO36/AN36)</f>
        <v>0.34787658455317583</v>
      </c>
      <c r="AQ36" t="str">
        <f t="shared" si="17"/>
        <v>January</v>
      </c>
      <c r="AR36">
        <f t="shared" si="18"/>
        <v>2025</v>
      </c>
      <c r="AS36" t="str">
        <f t="shared" si="19"/>
        <v>Warning</v>
      </c>
      <c r="AT36" t="str">
        <f>IF(OR(AC36&lt;0,AC36&gt;0.5),"Invalid Discount","Valid")</f>
        <v>Valid</v>
      </c>
      <c r="AU36" t="str">
        <f>IF(G36&lt;E36,"Invalid Shipping Record","Valid")</f>
        <v>Valid</v>
      </c>
      <c r="AV36" t="str">
        <f>IF(OR(AL36="Cancelled",AH36="Failed"),"Exclude","Include")</f>
        <v>Include</v>
      </c>
      <c r="AW36" t="str">
        <f t="shared" si="20"/>
        <v>Match</v>
      </c>
      <c r="AX36" t="str">
        <f t="shared" si="21"/>
        <v>Mismatch</v>
      </c>
    </row>
    <row r="37" spans="1:50">
      <c r="A37" t="s">
        <v>271</v>
      </c>
      <c r="B37">
        <f t="shared" si="9"/>
        <v>1</v>
      </c>
      <c r="C37" t="str">
        <f t="shared" si="10"/>
        <v/>
      </c>
      <c r="D37" s="3" t="s">
        <v>272</v>
      </c>
      <c r="E37" s="7">
        <v>45441</v>
      </c>
      <c r="F37" s="3" t="s">
        <v>273</v>
      </c>
      <c r="G37" s="7">
        <v>45441</v>
      </c>
      <c r="H37" s="7" t="str">
        <f t="shared" si="0"/>
        <v>Valid</v>
      </c>
      <c r="I37" s="9">
        <f t="shared" si="1"/>
        <v>0</v>
      </c>
      <c r="J37" s="9" t="str">
        <f t="shared" si="2"/>
        <v>Valid</v>
      </c>
      <c r="K37" t="s">
        <v>274</v>
      </c>
      <c r="L37" t="s">
        <v>167</v>
      </c>
      <c r="M37" t="s">
        <v>167</v>
      </c>
      <c r="N37" t="s">
        <v>40</v>
      </c>
      <c r="O37" s="3" t="str">
        <f t="shared" si="3"/>
        <v>Small Business</v>
      </c>
      <c r="P37" t="s">
        <v>72</v>
      </c>
      <c r="Q37" s="3" t="str">
        <f t="shared" si="4"/>
        <v>West</v>
      </c>
      <c r="R37" t="s">
        <v>234</v>
      </c>
      <c r="S37" t="s">
        <v>235</v>
      </c>
      <c r="T37" t="s">
        <v>44</v>
      </c>
      <c r="U37" s="3" t="str">
        <f t="shared" si="5"/>
        <v>Furniture</v>
      </c>
      <c r="V37" t="s">
        <v>203</v>
      </c>
      <c r="W37" t="s">
        <v>275</v>
      </c>
      <c r="X37" t="s">
        <v>32</v>
      </c>
      <c r="Y37" s="3" t="str">
        <f t="shared" si="6"/>
        <v>Second Class</v>
      </c>
      <c r="Z37">
        <v>8</v>
      </c>
      <c r="AA37">
        <v>2507.12</v>
      </c>
      <c r="AB37">
        <v>0.05</v>
      </c>
      <c r="AC37">
        <f t="shared" si="7"/>
        <v>0.05</v>
      </c>
      <c r="AD37" t="str">
        <f t="shared" si="11"/>
        <v>Valid</v>
      </c>
      <c r="AE37">
        <v>19054.11</v>
      </c>
      <c r="AF37">
        <v>15313.83</v>
      </c>
      <c r="AG37">
        <v>3740.28</v>
      </c>
      <c r="AH37" t="s">
        <v>136</v>
      </c>
      <c r="AI37" t="str">
        <f t="shared" si="12"/>
        <v>Include</v>
      </c>
      <c r="AJ37" t="str">
        <f t="shared" si="13"/>
        <v/>
      </c>
      <c r="AK37" t="s">
        <v>124</v>
      </c>
      <c r="AL37" t="str">
        <f t="shared" si="8"/>
        <v>Returned</v>
      </c>
      <c r="AM37" t="str">
        <f t="shared" si="14"/>
        <v>Include</v>
      </c>
      <c r="AN37">
        <f t="shared" si="15"/>
        <v>19054.111999999997</v>
      </c>
      <c r="AO37">
        <f t="shared" si="16"/>
        <v>3740.2819999999974</v>
      </c>
      <c r="AP37">
        <f>IF(AN37=0,0,AO37/AN37)</f>
        <v>0.19629789097492437</v>
      </c>
      <c r="AQ37" t="str">
        <f t="shared" si="17"/>
        <v>May</v>
      </c>
      <c r="AR37">
        <f t="shared" si="18"/>
        <v>2024</v>
      </c>
      <c r="AS37" t="str">
        <f t="shared" si="19"/>
        <v>Clean</v>
      </c>
      <c r="AT37" t="str">
        <f>IF(OR(AC37&lt;0,AC37&gt;0.5),"Invalid Discount","Valid")</f>
        <v>Valid</v>
      </c>
      <c r="AU37" t="str">
        <f>IF(G37&lt;E37,"Invalid Shipping Record","Valid")</f>
        <v>Valid</v>
      </c>
      <c r="AV37" t="str">
        <f>IF(OR(AL37="Cancelled",AH37="Failed"),"Exclude","Include")</f>
        <v>Include</v>
      </c>
      <c r="AW37" t="str">
        <f t="shared" si="20"/>
        <v>Match</v>
      </c>
      <c r="AX37" t="str">
        <f t="shared" si="21"/>
        <v>Match</v>
      </c>
    </row>
    <row r="38" spans="1:50">
      <c r="A38" t="s">
        <v>276</v>
      </c>
      <c r="B38">
        <f t="shared" si="9"/>
        <v>1</v>
      </c>
      <c r="C38" t="str">
        <f t="shared" si="10"/>
        <v/>
      </c>
      <c r="D38" s="3" t="s">
        <v>277</v>
      </c>
      <c r="E38" s="7">
        <v>45590</v>
      </c>
      <c r="F38" s="3" t="s">
        <v>278</v>
      </c>
      <c r="G38" s="7">
        <v>45593</v>
      </c>
      <c r="H38" s="7" t="str">
        <f t="shared" si="0"/>
        <v>Valid</v>
      </c>
      <c r="I38" s="9">
        <f t="shared" si="1"/>
        <v>3</v>
      </c>
      <c r="J38" s="9" t="str">
        <f t="shared" si="2"/>
        <v>Valid</v>
      </c>
      <c r="K38" t="s">
        <v>279</v>
      </c>
      <c r="L38" t="s">
        <v>179</v>
      </c>
      <c r="M38" t="s">
        <v>179</v>
      </c>
      <c r="N38" t="s">
        <v>107</v>
      </c>
      <c r="O38" s="3" t="str">
        <f t="shared" si="3"/>
        <v>Corporate</v>
      </c>
      <c r="P38" t="s">
        <v>72</v>
      </c>
      <c r="Q38" s="3" t="str">
        <f t="shared" si="4"/>
        <v>West</v>
      </c>
      <c r="R38" t="s">
        <v>73</v>
      </c>
      <c r="S38" t="s">
        <v>74</v>
      </c>
      <c r="T38" t="s">
        <v>44</v>
      </c>
      <c r="U38" s="3" t="str">
        <f t="shared" si="5"/>
        <v>Furniture</v>
      </c>
      <c r="V38" t="s">
        <v>203</v>
      </c>
      <c r="W38" t="s">
        <v>280</v>
      </c>
      <c r="X38" t="s">
        <v>32</v>
      </c>
      <c r="Y38" s="3" t="str">
        <f t="shared" si="6"/>
        <v>Second Class</v>
      </c>
      <c r="Z38">
        <v>3</v>
      </c>
      <c r="AA38">
        <v>3126.47</v>
      </c>
      <c r="AB38">
        <v>0</v>
      </c>
      <c r="AC38">
        <f t="shared" si="7"/>
        <v>0</v>
      </c>
      <c r="AD38" t="str">
        <f t="shared" si="11"/>
        <v>Valid</v>
      </c>
      <c r="AE38">
        <v>9379.41</v>
      </c>
      <c r="AF38">
        <v>6670.85</v>
      </c>
      <c r="AG38">
        <v>2708.56</v>
      </c>
      <c r="AH38" t="s">
        <v>33</v>
      </c>
      <c r="AI38" t="str">
        <f t="shared" si="12"/>
        <v>Include</v>
      </c>
      <c r="AJ38" t="str">
        <f t="shared" si="13"/>
        <v/>
      </c>
      <c r="AK38" t="s">
        <v>124</v>
      </c>
      <c r="AL38" t="str">
        <f t="shared" si="8"/>
        <v>Returned</v>
      </c>
      <c r="AM38" t="str">
        <f t="shared" si="14"/>
        <v>Include</v>
      </c>
      <c r="AN38">
        <f t="shared" si="15"/>
        <v>9379.41</v>
      </c>
      <c r="AO38">
        <f t="shared" si="16"/>
        <v>2708.5599999999995</v>
      </c>
      <c r="AP38">
        <f>IF(AN38=0,0,AO38/AN38)</f>
        <v>0.28877722585962223</v>
      </c>
      <c r="AQ38" t="str">
        <f t="shared" si="17"/>
        <v>October</v>
      </c>
      <c r="AR38">
        <f t="shared" si="18"/>
        <v>2024</v>
      </c>
      <c r="AS38" t="str">
        <f t="shared" si="19"/>
        <v>Clean</v>
      </c>
      <c r="AT38" t="str">
        <f>IF(OR(AC38&lt;0,AC38&gt;0.5),"Invalid Discount","Valid")</f>
        <v>Valid</v>
      </c>
      <c r="AU38" t="str">
        <f>IF(G38&lt;E38,"Invalid Shipping Record","Valid")</f>
        <v>Valid</v>
      </c>
      <c r="AV38" t="str">
        <f>IF(OR(AL38="Cancelled",AH38="Failed"),"Exclude","Include")</f>
        <v>Include</v>
      </c>
      <c r="AW38" t="str">
        <f t="shared" si="20"/>
        <v>Match</v>
      </c>
      <c r="AX38" t="str">
        <f t="shared" si="21"/>
        <v>Match</v>
      </c>
    </row>
    <row r="39" spans="1:50">
      <c r="A39" t="s">
        <v>281</v>
      </c>
      <c r="B39">
        <f t="shared" si="9"/>
        <v>1</v>
      </c>
      <c r="C39" t="str">
        <f t="shared" si="10"/>
        <v/>
      </c>
      <c r="D39" s="3" t="s">
        <v>282</v>
      </c>
      <c r="E39" s="7">
        <v>45867</v>
      </c>
      <c r="F39" s="3" t="s">
        <v>282</v>
      </c>
      <c r="G39" s="7">
        <v>45867</v>
      </c>
      <c r="H39" s="7" t="str">
        <f t="shared" si="0"/>
        <v>Valid</v>
      </c>
      <c r="I39" s="9">
        <f t="shared" si="1"/>
        <v>0</v>
      </c>
      <c r="J39" s="9" t="str">
        <f t="shared" si="2"/>
        <v>Valid</v>
      </c>
      <c r="K39" t="s">
        <v>283</v>
      </c>
      <c r="L39" t="s">
        <v>209</v>
      </c>
      <c r="M39" t="s">
        <v>209</v>
      </c>
      <c r="N39" t="s">
        <v>25</v>
      </c>
      <c r="O39" s="3" t="str">
        <f t="shared" si="3"/>
        <v>Consumer</v>
      </c>
      <c r="P39" t="s">
        <v>72</v>
      </c>
      <c r="Q39" s="3" t="str">
        <f t="shared" si="4"/>
        <v>West</v>
      </c>
      <c r="R39" t="s">
        <v>73</v>
      </c>
      <c r="S39" t="s">
        <v>74</v>
      </c>
      <c r="T39" t="s">
        <v>85</v>
      </c>
      <c r="U39" s="3" t="str">
        <f t="shared" si="5"/>
        <v>Technology</v>
      </c>
      <c r="V39" t="s">
        <v>93</v>
      </c>
      <c r="W39" t="s">
        <v>284</v>
      </c>
      <c r="X39" t="s">
        <v>285</v>
      </c>
      <c r="Y39" s="3" t="str">
        <f t="shared" si="6"/>
        <v>Standard Class</v>
      </c>
      <c r="Z39">
        <v>4</v>
      </c>
      <c r="AA39">
        <v>1327.54</v>
      </c>
      <c r="AB39">
        <v>0.2</v>
      </c>
      <c r="AC39">
        <f t="shared" si="7"/>
        <v>0.2</v>
      </c>
      <c r="AD39" t="str">
        <f t="shared" si="11"/>
        <v>Valid</v>
      </c>
      <c r="AE39">
        <v>4248.13</v>
      </c>
      <c r="AF39">
        <v>3321.09</v>
      </c>
      <c r="AG39">
        <v>927.04</v>
      </c>
      <c r="AH39" t="s">
        <v>33</v>
      </c>
      <c r="AI39" t="str">
        <f t="shared" si="12"/>
        <v>Include</v>
      </c>
      <c r="AJ39" t="str">
        <f t="shared" si="13"/>
        <v/>
      </c>
      <c r="AK39" t="s">
        <v>34</v>
      </c>
      <c r="AL39" t="str">
        <f t="shared" si="8"/>
        <v>Completed</v>
      </c>
      <c r="AM39" t="str">
        <f t="shared" si="14"/>
        <v>Include</v>
      </c>
      <c r="AN39">
        <f t="shared" si="15"/>
        <v>4248.1279999999997</v>
      </c>
      <c r="AO39">
        <f t="shared" si="16"/>
        <v>927.03799999999956</v>
      </c>
      <c r="AP39">
        <f>IF(AN39=0,0,AO39/AN39)</f>
        <v>0.21822270892025844</v>
      </c>
      <c r="AQ39" t="str">
        <f t="shared" si="17"/>
        <v>July</v>
      </c>
      <c r="AR39">
        <f t="shared" si="18"/>
        <v>2025</v>
      </c>
      <c r="AS39" t="str">
        <f t="shared" si="19"/>
        <v>Clean</v>
      </c>
      <c r="AT39" t="str">
        <f>IF(OR(AC39&lt;0,AC39&gt;0.5),"Invalid Discount","Valid")</f>
        <v>Valid</v>
      </c>
      <c r="AU39" t="str">
        <f>IF(G39&lt;E39,"Invalid Shipping Record","Valid")</f>
        <v>Valid</v>
      </c>
      <c r="AV39" t="str">
        <f>IF(OR(AL39="Cancelled",AH39="Failed"),"Exclude","Include")</f>
        <v>Include</v>
      </c>
      <c r="AW39" t="str">
        <f t="shared" si="20"/>
        <v>Match</v>
      </c>
      <c r="AX39" t="str">
        <f t="shared" si="21"/>
        <v>Match</v>
      </c>
    </row>
    <row r="40" spans="1:50">
      <c r="A40" t="s">
        <v>286</v>
      </c>
      <c r="B40">
        <f t="shared" si="9"/>
        <v>1</v>
      </c>
      <c r="C40" t="str">
        <f t="shared" si="10"/>
        <v/>
      </c>
      <c r="D40" s="3" t="s">
        <v>287</v>
      </c>
      <c r="E40" s="7">
        <v>45460</v>
      </c>
      <c r="F40" s="3" t="s">
        <v>288</v>
      </c>
      <c r="G40" s="7">
        <v>45465</v>
      </c>
      <c r="H40" s="7" t="str">
        <f t="shared" si="0"/>
        <v>Valid</v>
      </c>
      <c r="I40" s="9">
        <f t="shared" si="1"/>
        <v>5</v>
      </c>
      <c r="J40" s="9" t="str">
        <f t="shared" si="2"/>
        <v>Valid</v>
      </c>
      <c r="K40" t="s">
        <v>289</v>
      </c>
      <c r="L40" t="s">
        <v>161</v>
      </c>
      <c r="M40" t="s">
        <v>161</v>
      </c>
      <c r="N40" t="s">
        <v>107</v>
      </c>
      <c r="O40" s="3" t="str">
        <f t="shared" si="3"/>
        <v>Corporate</v>
      </c>
      <c r="P40" t="s">
        <v>72</v>
      </c>
      <c r="Q40" s="3" t="str">
        <f t="shared" si="4"/>
        <v>West</v>
      </c>
      <c r="R40" t="s">
        <v>234</v>
      </c>
      <c r="S40" t="s">
        <v>235</v>
      </c>
      <c r="T40" t="s">
        <v>85</v>
      </c>
      <c r="U40" s="3" t="str">
        <f t="shared" si="5"/>
        <v>Technology</v>
      </c>
      <c r="V40" t="s">
        <v>222</v>
      </c>
      <c r="W40" t="s">
        <v>290</v>
      </c>
      <c r="X40" t="s">
        <v>55</v>
      </c>
      <c r="Y40" s="3" t="str">
        <f t="shared" si="6"/>
        <v>First Class</v>
      </c>
      <c r="Z40">
        <v>7</v>
      </c>
      <c r="AA40">
        <v>2210.6799999999998</v>
      </c>
      <c r="AB40">
        <v>0.1</v>
      </c>
      <c r="AC40">
        <f t="shared" si="7"/>
        <v>0.1</v>
      </c>
      <c r="AD40" t="str">
        <f t="shared" si="11"/>
        <v>Valid</v>
      </c>
      <c r="AE40">
        <v>13927.28</v>
      </c>
      <c r="AF40">
        <v>10504.87</v>
      </c>
      <c r="AG40">
        <v>3422.41</v>
      </c>
      <c r="AH40" t="s">
        <v>33</v>
      </c>
      <c r="AI40" t="str">
        <f t="shared" si="12"/>
        <v>Include</v>
      </c>
      <c r="AJ40" t="str">
        <f t="shared" si="13"/>
        <v/>
      </c>
      <c r="AK40" t="s">
        <v>34</v>
      </c>
      <c r="AL40" t="str">
        <f t="shared" si="8"/>
        <v>Completed</v>
      </c>
      <c r="AM40" t="str">
        <f t="shared" si="14"/>
        <v>Include</v>
      </c>
      <c r="AN40">
        <f t="shared" si="15"/>
        <v>13927.284</v>
      </c>
      <c r="AO40">
        <f t="shared" si="16"/>
        <v>3422.4139999999989</v>
      </c>
      <c r="AP40">
        <f>IF(AN40=0,0,AO40/AN40)</f>
        <v>0.24573448778670692</v>
      </c>
      <c r="AQ40" t="str">
        <f t="shared" si="17"/>
        <v>June</v>
      </c>
      <c r="AR40">
        <f t="shared" si="18"/>
        <v>2024</v>
      </c>
      <c r="AS40" t="str">
        <f t="shared" si="19"/>
        <v>Clean</v>
      </c>
      <c r="AT40" t="str">
        <f>IF(OR(AC40&lt;0,AC40&gt;0.5),"Invalid Discount","Valid")</f>
        <v>Valid</v>
      </c>
      <c r="AU40" t="str">
        <f>IF(G40&lt;E40,"Invalid Shipping Record","Valid")</f>
        <v>Valid</v>
      </c>
      <c r="AV40" t="str">
        <f>IF(OR(AL40="Cancelled",AH40="Failed"),"Exclude","Include")</f>
        <v>Include</v>
      </c>
      <c r="AW40" t="str">
        <f t="shared" si="20"/>
        <v>Match</v>
      </c>
      <c r="AX40" t="str">
        <f t="shared" si="21"/>
        <v>Match</v>
      </c>
    </row>
    <row r="41" spans="1:50">
      <c r="A41" t="s">
        <v>291</v>
      </c>
      <c r="B41">
        <f t="shared" si="9"/>
        <v>1</v>
      </c>
      <c r="C41" t="str">
        <f t="shared" si="10"/>
        <v/>
      </c>
      <c r="D41" s="3" t="s">
        <v>292</v>
      </c>
      <c r="E41" s="7">
        <v>45637</v>
      </c>
      <c r="F41" s="3" t="s">
        <v>293</v>
      </c>
      <c r="G41" s="7">
        <v>45637</v>
      </c>
      <c r="H41" s="7" t="str">
        <f t="shared" si="0"/>
        <v>Valid</v>
      </c>
      <c r="I41" s="9">
        <f t="shared" si="1"/>
        <v>0</v>
      </c>
      <c r="J41" s="9" t="str">
        <f t="shared" si="2"/>
        <v>Valid</v>
      </c>
      <c r="K41" t="s">
        <v>294</v>
      </c>
      <c r="L41" t="s">
        <v>39</v>
      </c>
      <c r="M41" t="s">
        <v>39</v>
      </c>
      <c r="N41" t="s">
        <v>40</v>
      </c>
      <c r="O41" s="3" t="str">
        <f t="shared" si="3"/>
        <v>Small Business</v>
      </c>
      <c r="P41" t="s">
        <v>72</v>
      </c>
      <c r="Q41" s="3" t="str">
        <f t="shared" si="4"/>
        <v>West</v>
      </c>
      <c r="R41" t="s">
        <v>83</v>
      </c>
      <c r="S41" t="s">
        <v>84</v>
      </c>
      <c r="T41" t="s">
        <v>85</v>
      </c>
      <c r="U41" s="3" t="str">
        <f t="shared" si="5"/>
        <v>Technology</v>
      </c>
      <c r="V41" t="s">
        <v>93</v>
      </c>
      <c r="W41" t="s">
        <v>295</v>
      </c>
      <c r="X41" t="s">
        <v>55</v>
      </c>
      <c r="Y41" s="3" t="str">
        <f t="shared" si="6"/>
        <v>First Class</v>
      </c>
      <c r="Z41">
        <v>4</v>
      </c>
      <c r="AA41">
        <v>1370.92</v>
      </c>
      <c r="AB41">
        <v>0.1</v>
      </c>
      <c r="AC41">
        <f t="shared" si="7"/>
        <v>0.1</v>
      </c>
      <c r="AD41" t="str">
        <f t="shared" si="11"/>
        <v>Valid</v>
      </c>
      <c r="AE41">
        <v>4935.3100000000004</v>
      </c>
      <c r="AF41">
        <v>3374.77</v>
      </c>
      <c r="AG41">
        <v>1560.54</v>
      </c>
      <c r="AH41" t="s">
        <v>136</v>
      </c>
      <c r="AI41" t="str">
        <f t="shared" si="12"/>
        <v>Include</v>
      </c>
      <c r="AJ41" t="str">
        <f t="shared" si="13"/>
        <v/>
      </c>
      <c r="AK41" t="s">
        <v>124</v>
      </c>
      <c r="AL41" t="str">
        <f t="shared" si="8"/>
        <v>Returned</v>
      </c>
      <c r="AM41" t="str">
        <f t="shared" si="14"/>
        <v>Include</v>
      </c>
      <c r="AN41">
        <f t="shared" si="15"/>
        <v>4935.3120000000008</v>
      </c>
      <c r="AO41">
        <f t="shared" si="16"/>
        <v>1560.5420000000008</v>
      </c>
      <c r="AP41">
        <f>IF(AN41=0,0,AO41/AN41)</f>
        <v>0.31619925954022776</v>
      </c>
      <c r="AQ41" t="str">
        <f t="shared" si="17"/>
        <v>December</v>
      </c>
      <c r="AR41">
        <f t="shared" si="18"/>
        <v>2024</v>
      </c>
      <c r="AS41" t="str">
        <f t="shared" si="19"/>
        <v>Clean</v>
      </c>
      <c r="AT41" t="str">
        <f>IF(OR(AC41&lt;0,AC41&gt;0.5),"Invalid Discount","Valid")</f>
        <v>Valid</v>
      </c>
      <c r="AU41" t="str">
        <f>IF(G41&lt;E41,"Invalid Shipping Record","Valid")</f>
        <v>Valid</v>
      </c>
      <c r="AV41" t="str">
        <f>IF(OR(AL41="Cancelled",AH41="Failed"),"Exclude","Include")</f>
        <v>Include</v>
      </c>
      <c r="AW41" t="str">
        <f t="shared" si="20"/>
        <v>Match</v>
      </c>
      <c r="AX41" t="str">
        <f t="shared" si="21"/>
        <v>Match</v>
      </c>
    </row>
    <row r="42" spans="1:50">
      <c r="A42" t="s">
        <v>296</v>
      </c>
      <c r="B42">
        <f t="shared" si="9"/>
        <v>1</v>
      </c>
      <c r="C42" t="str">
        <f t="shared" si="10"/>
        <v/>
      </c>
      <c r="D42" s="3" t="s">
        <v>297</v>
      </c>
      <c r="E42" s="7">
        <v>45575</v>
      </c>
      <c r="F42" s="3" t="s">
        <v>298</v>
      </c>
      <c r="G42" s="7">
        <v>45581</v>
      </c>
      <c r="H42" s="7" t="str">
        <f t="shared" si="0"/>
        <v>Valid</v>
      </c>
      <c r="I42" s="9">
        <f t="shared" si="1"/>
        <v>6</v>
      </c>
      <c r="J42" s="9" t="str">
        <f t="shared" si="2"/>
        <v>Valid</v>
      </c>
      <c r="K42" t="s">
        <v>299</v>
      </c>
      <c r="L42" t="s">
        <v>52</v>
      </c>
      <c r="M42" t="s">
        <v>52</v>
      </c>
      <c r="N42" t="s">
        <v>114</v>
      </c>
      <c r="O42" s="3" t="str">
        <f t="shared" si="3"/>
        <v>Home Office</v>
      </c>
      <c r="P42" t="s">
        <v>72</v>
      </c>
      <c r="Q42" s="3" t="str">
        <f t="shared" si="4"/>
        <v>West</v>
      </c>
      <c r="R42" t="s">
        <v>27</v>
      </c>
      <c r="S42" t="s">
        <v>134</v>
      </c>
      <c r="T42" t="s">
        <v>85</v>
      </c>
      <c r="U42" s="3" t="str">
        <f t="shared" si="5"/>
        <v>Technology</v>
      </c>
      <c r="V42" t="s">
        <v>93</v>
      </c>
      <c r="W42" t="s">
        <v>300</v>
      </c>
      <c r="X42" t="s">
        <v>66</v>
      </c>
      <c r="Y42" s="3" t="str">
        <f t="shared" si="6"/>
        <v>Standard Class</v>
      </c>
      <c r="Z42">
        <v>7</v>
      </c>
      <c r="AA42">
        <v>2509.27</v>
      </c>
      <c r="AB42">
        <v>0.2</v>
      </c>
      <c r="AC42">
        <f t="shared" si="7"/>
        <v>0.2</v>
      </c>
      <c r="AD42" t="str">
        <f t="shared" si="11"/>
        <v>Valid</v>
      </c>
      <c r="AE42">
        <v>14051.91</v>
      </c>
      <c r="AF42">
        <v>11990.37</v>
      </c>
      <c r="AG42">
        <v>2061.54</v>
      </c>
      <c r="AH42" t="s">
        <v>33</v>
      </c>
      <c r="AI42" t="str">
        <f t="shared" si="12"/>
        <v>Include</v>
      </c>
      <c r="AJ42" t="str">
        <f t="shared" si="13"/>
        <v/>
      </c>
      <c r="AK42" t="s">
        <v>34</v>
      </c>
      <c r="AL42" t="str">
        <f t="shared" si="8"/>
        <v>Completed</v>
      </c>
      <c r="AM42" t="str">
        <f t="shared" si="14"/>
        <v>Include</v>
      </c>
      <c r="AN42">
        <f t="shared" si="15"/>
        <v>14051.912</v>
      </c>
      <c r="AO42">
        <f t="shared" si="16"/>
        <v>2061.5419999999995</v>
      </c>
      <c r="AP42">
        <f>IF(AN42=0,0,AO42/AN42)</f>
        <v>0.14670900301681361</v>
      </c>
      <c r="AQ42" t="str">
        <f t="shared" si="17"/>
        <v>October</v>
      </c>
      <c r="AR42">
        <f t="shared" si="18"/>
        <v>2024</v>
      </c>
      <c r="AS42" t="str">
        <f t="shared" si="19"/>
        <v>Clean</v>
      </c>
      <c r="AT42" t="str">
        <f>IF(OR(AC42&lt;0,AC42&gt;0.5),"Invalid Discount","Valid")</f>
        <v>Valid</v>
      </c>
      <c r="AU42" t="str">
        <f>IF(G42&lt;E42,"Invalid Shipping Record","Valid")</f>
        <v>Valid</v>
      </c>
      <c r="AV42" t="str">
        <f>IF(OR(AL42="Cancelled",AH42="Failed"),"Exclude","Include")</f>
        <v>Include</v>
      </c>
      <c r="AW42" t="str">
        <f t="shared" si="20"/>
        <v>Match</v>
      </c>
      <c r="AX42" t="str">
        <f t="shared" si="21"/>
        <v>Match</v>
      </c>
    </row>
    <row r="43" spans="1:50">
      <c r="A43" t="s">
        <v>301</v>
      </c>
      <c r="B43">
        <f t="shared" si="9"/>
        <v>1</v>
      </c>
      <c r="C43" t="str">
        <f t="shared" si="10"/>
        <v/>
      </c>
      <c r="D43" s="3" t="s">
        <v>302</v>
      </c>
      <c r="E43" s="7">
        <v>45363</v>
      </c>
      <c r="F43" s="3" t="s">
        <v>303</v>
      </c>
      <c r="G43" s="7">
        <v>45368</v>
      </c>
      <c r="H43" s="7" t="str">
        <f t="shared" si="0"/>
        <v>Valid</v>
      </c>
      <c r="I43" s="9">
        <f t="shared" si="1"/>
        <v>5</v>
      </c>
      <c r="J43" s="9" t="str">
        <f t="shared" si="2"/>
        <v>Valid</v>
      </c>
      <c r="K43" t="s">
        <v>304</v>
      </c>
      <c r="L43" t="s">
        <v>161</v>
      </c>
      <c r="M43" t="s">
        <v>161</v>
      </c>
      <c r="N43" t="s">
        <v>40</v>
      </c>
      <c r="O43" s="3" t="str">
        <f t="shared" si="3"/>
        <v>Small Business</v>
      </c>
      <c r="P43" t="s">
        <v>41</v>
      </c>
      <c r="Q43" s="3" t="str">
        <f t="shared" si="4"/>
        <v>East</v>
      </c>
      <c r="R43" t="s">
        <v>42</v>
      </c>
      <c r="S43" t="s">
        <v>43</v>
      </c>
      <c r="T43" t="s">
        <v>44</v>
      </c>
      <c r="U43" s="3" t="str">
        <f t="shared" si="5"/>
        <v>Furniture</v>
      </c>
      <c r="V43" t="s">
        <v>203</v>
      </c>
      <c r="W43" t="s">
        <v>305</v>
      </c>
      <c r="X43" t="s">
        <v>47</v>
      </c>
      <c r="Y43" s="3" t="str">
        <f t="shared" si="6"/>
        <v>Same Day</v>
      </c>
      <c r="Z43">
        <v>8</v>
      </c>
      <c r="AA43">
        <v>855.81</v>
      </c>
      <c r="AB43">
        <v>0</v>
      </c>
      <c r="AC43">
        <f t="shared" si="7"/>
        <v>0</v>
      </c>
      <c r="AD43" t="str">
        <f t="shared" si="11"/>
        <v>Valid</v>
      </c>
      <c r="AE43">
        <v>6846.48</v>
      </c>
      <c r="AF43">
        <v>4239.8900000000003</v>
      </c>
      <c r="AG43">
        <v>2606.59</v>
      </c>
      <c r="AH43" t="s">
        <v>136</v>
      </c>
      <c r="AI43" t="str">
        <f t="shared" si="12"/>
        <v>Exclude</v>
      </c>
      <c r="AJ43" t="str">
        <f t="shared" si="13"/>
        <v/>
      </c>
      <c r="AK43" t="s">
        <v>77</v>
      </c>
      <c r="AL43" t="str">
        <f t="shared" si="8"/>
        <v>Cancelled</v>
      </c>
      <c r="AM43" t="str">
        <f t="shared" si="14"/>
        <v>Exclude</v>
      </c>
      <c r="AN43">
        <f t="shared" si="15"/>
        <v>6846.48</v>
      </c>
      <c r="AO43">
        <f t="shared" si="16"/>
        <v>2606.5899999999992</v>
      </c>
      <c r="AP43">
        <f>IF(AN43=0,0,AO43/AN43)</f>
        <v>0.38071972750961069</v>
      </c>
      <c r="AQ43" t="str">
        <f t="shared" si="17"/>
        <v>March</v>
      </c>
      <c r="AR43">
        <f t="shared" si="18"/>
        <v>2024</v>
      </c>
      <c r="AS43" t="str">
        <f t="shared" si="19"/>
        <v>Clean</v>
      </c>
      <c r="AT43" t="str">
        <f>IF(OR(AC43&lt;0,AC43&gt;0.5),"Invalid Discount","Valid")</f>
        <v>Valid</v>
      </c>
      <c r="AU43" t="str">
        <f>IF(G43&lt;E43,"Invalid Shipping Record","Valid")</f>
        <v>Valid</v>
      </c>
      <c r="AV43" t="str">
        <f>IF(OR(AL43="Cancelled",AH43="Failed"),"Exclude","Include")</f>
        <v>Exclude</v>
      </c>
      <c r="AW43" t="str">
        <f t="shared" si="20"/>
        <v>Match</v>
      </c>
      <c r="AX43" t="str">
        <f t="shared" si="21"/>
        <v>Match</v>
      </c>
    </row>
    <row r="44" spans="1:50">
      <c r="A44" t="s">
        <v>306</v>
      </c>
      <c r="B44">
        <f t="shared" si="9"/>
        <v>1</v>
      </c>
      <c r="C44" t="str">
        <f t="shared" si="10"/>
        <v/>
      </c>
      <c r="D44" s="3" t="s">
        <v>307</v>
      </c>
      <c r="E44" s="7">
        <v>45940</v>
      </c>
      <c r="F44" s="3" t="s">
        <v>308</v>
      </c>
      <c r="G44" s="7">
        <v>45945</v>
      </c>
      <c r="H44" s="7" t="str">
        <f t="shared" si="0"/>
        <v>Valid</v>
      </c>
      <c r="I44" s="9">
        <f t="shared" si="1"/>
        <v>5</v>
      </c>
      <c r="J44" s="9" t="str">
        <f t="shared" si="2"/>
        <v>Valid</v>
      </c>
      <c r="K44" t="s">
        <v>309</v>
      </c>
      <c r="L44" t="s">
        <v>60</v>
      </c>
      <c r="M44" t="s">
        <v>60</v>
      </c>
      <c r="N44" t="s">
        <v>107</v>
      </c>
      <c r="O44" s="3" t="str">
        <f t="shared" si="3"/>
        <v>Corporate</v>
      </c>
      <c r="P44" t="s">
        <v>41</v>
      </c>
      <c r="Q44" s="3" t="str">
        <f t="shared" si="4"/>
        <v>East</v>
      </c>
      <c r="R44" t="s">
        <v>310</v>
      </c>
      <c r="S44" t="s">
        <v>311</v>
      </c>
      <c r="T44" t="s">
        <v>85</v>
      </c>
      <c r="U44" s="3" t="str">
        <f t="shared" si="5"/>
        <v>Technology</v>
      </c>
      <c r="V44" t="s">
        <v>222</v>
      </c>
      <c r="W44" t="s">
        <v>312</v>
      </c>
      <c r="X44" t="s">
        <v>66</v>
      </c>
      <c r="Y44" s="3" t="str">
        <f t="shared" si="6"/>
        <v>Standard Class</v>
      </c>
      <c r="Z44">
        <v>8</v>
      </c>
      <c r="AA44">
        <v>979.87</v>
      </c>
      <c r="AB44">
        <v>0.05</v>
      </c>
      <c r="AC44">
        <f t="shared" si="7"/>
        <v>0.05</v>
      </c>
      <c r="AD44" t="str">
        <f t="shared" si="11"/>
        <v>Valid</v>
      </c>
      <c r="AE44">
        <v>7447.01</v>
      </c>
      <c r="AF44">
        <v>4496.22</v>
      </c>
      <c r="AG44">
        <v>2950.79</v>
      </c>
      <c r="AH44" t="s">
        <v>33</v>
      </c>
      <c r="AI44" t="str">
        <f t="shared" si="12"/>
        <v>Include</v>
      </c>
      <c r="AJ44" t="str">
        <f t="shared" si="13"/>
        <v/>
      </c>
      <c r="AK44" t="s">
        <v>34</v>
      </c>
      <c r="AL44" t="str">
        <f t="shared" si="8"/>
        <v>Completed</v>
      </c>
      <c r="AM44" t="str">
        <f t="shared" si="14"/>
        <v>Include</v>
      </c>
      <c r="AN44">
        <f t="shared" si="15"/>
        <v>7447.0119999999997</v>
      </c>
      <c r="AO44">
        <f t="shared" si="16"/>
        <v>2950.7919999999995</v>
      </c>
      <c r="AP44">
        <f>IF(AN44=0,0,AO44/AN44)</f>
        <v>0.39623838393170302</v>
      </c>
      <c r="AQ44" t="str">
        <f t="shared" si="17"/>
        <v>October</v>
      </c>
      <c r="AR44">
        <f t="shared" si="18"/>
        <v>2025</v>
      </c>
      <c r="AS44" t="str">
        <f t="shared" si="19"/>
        <v>Clean</v>
      </c>
      <c r="AT44" t="str">
        <f>IF(OR(AC44&lt;0,AC44&gt;0.5),"Invalid Discount","Valid")</f>
        <v>Valid</v>
      </c>
      <c r="AU44" t="str">
        <f>IF(G44&lt;E44,"Invalid Shipping Record","Valid")</f>
        <v>Valid</v>
      </c>
      <c r="AV44" t="str">
        <f>IF(OR(AL44="Cancelled",AH44="Failed"),"Exclude","Include")</f>
        <v>Include</v>
      </c>
      <c r="AW44" t="str">
        <f t="shared" si="20"/>
        <v>Match</v>
      </c>
      <c r="AX44" t="str">
        <f t="shared" si="21"/>
        <v>Match</v>
      </c>
    </row>
    <row r="45" spans="1:50">
      <c r="A45" t="s">
        <v>313</v>
      </c>
      <c r="B45">
        <f t="shared" si="9"/>
        <v>1</v>
      </c>
      <c r="C45" t="str">
        <f t="shared" si="10"/>
        <v/>
      </c>
      <c r="D45" s="3" t="s">
        <v>314</v>
      </c>
      <c r="E45" s="7">
        <v>45481</v>
      </c>
      <c r="F45" s="3" t="s">
        <v>315</v>
      </c>
      <c r="G45" s="7">
        <v>45487</v>
      </c>
      <c r="H45" s="7" t="str">
        <f t="shared" si="0"/>
        <v>Valid</v>
      </c>
      <c r="I45" s="9">
        <f t="shared" si="1"/>
        <v>6</v>
      </c>
      <c r="J45" s="9" t="str">
        <f t="shared" si="2"/>
        <v>Valid</v>
      </c>
      <c r="K45" t="s">
        <v>316</v>
      </c>
      <c r="L45" t="s">
        <v>141</v>
      </c>
      <c r="M45" t="s">
        <v>141</v>
      </c>
      <c r="N45" t="s">
        <v>40</v>
      </c>
      <c r="O45" s="3" t="str">
        <f t="shared" si="3"/>
        <v>Small Business</v>
      </c>
      <c r="P45" t="s">
        <v>41</v>
      </c>
      <c r="Q45" s="3" t="str">
        <f t="shared" si="4"/>
        <v>East</v>
      </c>
      <c r="R45" t="s">
        <v>42</v>
      </c>
      <c r="S45" t="s">
        <v>43</v>
      </c>
      <c r="T45" t="s">
        <v>44</v>
      </c>
      <c r="U45" s="3" t="str">
        <f t="shared" si="5"/>
        <v>Furniture</v>
      </c>
      <c r="V45" t="s">
        <v>64</v>
      </c>
      <c r="W45" t="s">
        <v>317</v>
      </c>
      <c r="X45" t="s">
        <v>47</v>
      </c>
      <c r="Y45" s="3" t="str">
        <f t="shared" si="6"/>
        <v>Same Day</v>
      </c>
      <c r="Z45">
        <v>3</v>
      </c>
      <c r="AA45">
        <v>1010.23</v>
      </c>
      <c r="AB45">
        <v>0</v>
      </c>
      <c r="AC45">
        <f t="shared" si="7"/>
        <v>0</v>
      </c>
      <c r="AD45" t="str">
        <f t="shared" si="11"/>
        <v>Valid</v>
      </c>
      <c r="AE45">
        <v>3030.69</v>
      </c>
      <c r="AF45">
        <v>1721.08</v>
      </c>
      <c r="AG45">
        <v>1309.6099999999999</v>
      </c>
      <c r="AH45" t="s">
        <v>33</v>
      </c>
      <c r="AI45" t="str">
        <f t="shared" si="12"/>
        <v>Include</v>
      </c>
      <c r="AJ45" t="str">
        <f t="shared" si="13"/>
        <v/>
      </c>
      <c r="AK45" t="s">
        <v>34</v>
      </c>
      <c r="AL45" t="str">
        <f t="shared" si="8"/>
        <v>Completed</v>
      </c>
      <c r="AM45" t="str">
        <f t="shared" si="14"/>
        <v>Include</v>
      </c>
      <c r="AN45">
        <f t="shared" si="15"/>
        <v>3030.69</v>
      </c>
      <c r="AO45">
        <f t="shared" si="16"/>
        <v>1309.6100000000001</v>
      </c>
      <c r="AP45">
        <f>IF(AN45=0,0,AO45/AN45)</f>
        <v>0.43211611877163292</v>
      </c>
      <c r="AQ45" t="str">
        <f t="shared" si="17"/>
        <v>July</v>
      </c>
      <c r="AR45">
        <f t="shared" si="18"/>
        <v>2024</v>
      </c>
      <c r="AS45" t="str">
        <f t="shared" si="19"/>
        <v>Clean</v>
      </c>
      <c r="AT45" t="str">
        <f>IF(OR(AC45&lt;0,AC45&gt;0.5),"Invalid Discount","Valid")</f>
        <v>Valid</v>
      </c>
      <c r="AU45" t="str">
        <f>IF(G45&lt;E45,"Invalid Shipping Record","Valid")</f>
        <v>Valid</v>
      </c>
      <c r="AV45" t="str">
        <f>IF(OR(AL45="Cancelled",AH45="Failed"),"Exclude","Include")</f>
        <v>Include</v>
      </c>
      <c r="AW45" t="str">
        <f t="shared" si="20"/>
        <v>Match</v>
      </c>
      <c r="AX45" t="str">
        <f t="shared" si="21"/>
        <v>Match</v>
      </c>
    </row>
    <row r="46" spans="1:50">
      <c r="A46" t="s">
        <v>318</v>
      </c>
      <c r="B46">
        <f t="shared" si="9"/>
        <v>1</v>
      </c>
      <c r="C46" t="str">
        <f t="shared" si="10"/>
        <v/>
      </c>
      <c r="D46" s="3" t="s">
        <v>319</v>
      </c>
      <c r="E46" s="7">
        <v>45465</v>
      </c>
      <c r="F46" s="3" t="s">
        <v>320</v>
      </c>
      <c r="G46" s="7">
        <v>45468</v>
      </c>
      <c r="H46" s="7" t="str">
        <f t="shared" si="0"/>
        <v>Valid</v>
      </c>
      <c r="I46" s="9">
        <f t="shared" si="1"/>
        <v>3</v>
      </c>
      <c r="J46" s="9" t="str">
        <f t="shared" si="2"/>
        <v>Valid</v>
      </c>
      <c r="K46" t="s">
        <v>321</v>
      </c>
      <c r="L46" t="s">
        <v>179</v>
      </c>
      <c r="M46" t="s">
        <v>179</v>
      </c>
      <c r="N46" t="s">
        <v>40</v>
      </c>
      <c r="O46" s="3" t="str">
        <f t="shared" si="3"/>
        <v>Small Business</v>
      </c>
      <c r="P46" t="s">
        <v>26</v>
      </c>
      <c r="Q46" s="3" t="str">
        <f t="shared" si="4"/>
        <v>North</v>
      </c>
      <c r="R46" t="s">
        <v>322</v>
      </c>
      <c r="S46" t="s">
        <v>323</v>
      </c>
      <c r="T46" t="s">
        <v>44</v>
      </c>
      <c r="U46" s="3" t="str">
        <f t="shared" si="5"/>
        <v>Furniture</v>
      </c>
      <c r="V46" t="s">
        <v>75</v>
      </c>
      <c r="W46" t="s">
        <v>324</v>
      </c>
      <c r="X46" t="s">
        <v>66</v>
      </c>
      <c r="Y46" s="3" t="str">
        <f t="shared" si="6"/>
        <v>Standard Class</v>
      </c>
      <c r="Z46">
        <v>9</v>
      </c>
      <c r="AA46">
        <v>3329.77</v>
      </c>
      <c r="AB46">
        <v>0.1</v>
      </c>
      <c r="AC46">
        <f t="shared" si="7"/>
        <v>0.1</v>
      </c>
      <c r="AD46" t="str">
        <f t="shared" si="11"/>
        <v>Valid</v>
      </c>
      <c r="AE46">
        <v>26971.14</v>
      </c>
      <c r="AF46">
        <v>17376.2</v>
      </c>
      <c r="AG46">
        <v>9594.94</v>
      </c>
      <c r="AH46" t="s">
        <v>33</v>
      </c>
      <c r="AI46" t="str">
        <f t="shared" si="12"/>
        <v>Include</v>
      </c>
      <c r="AJ46" t="str">
        <f t="shared" si="13"/>
        <v/>
      </c>
      <c r="AK46" t="s">
        <v>34</v>
      </c>
      <c r="AL46" t="str">
        <f t="shared" si="8"/>
        <v>Completed</v>
      </c>
      <c r="AM46" t="str">
        <f t="shared" si="14"/>
        <v>Include</v>
      </c>
      <c r="AN46">
        <f t="shared" si="15"/>
        <v>26971.137000000002</v>
      </c>
      <c r="AO46">
        <f t="shared" si="16"/>
        <v>9594.9370000000017</v>
      </c>
      <c r="AP46">
        <f>IF(AN46=0,0,AO46/AN46)</f>
        <v>0.35574833200394929</v>
      </c>
      <c r="AQ46" t="str">
        <f t="shared" si="17"/>
        <v>June</v>
      </c>
      <c r="AR46">
        <f t="shared" si="18"/>
        <v>2024</v>
      </c>
      <c r="AS46" t="str">
        <f t="shared" si="19"/>
        <v>Clean</v>
      </c>
      <c r="AT46" t="str">
        <f>IF(OR(AC46&lt;0,AC46&gt;0.5),"Invalid Discount","Valid")</f>
        <v>Valid</v>
      </c>
      <c r="AU46" t="str">
        <f>IF(G46&lt;E46,"Invalid Shipping Record","Valid")</f>
        <v>Valid</v>
      </c>
      <c r="AV46" t="str">
        <f>IF(OR(AL46="Cancelled",AH46="Failed"),"Exclude","Include")</f>
        <v>Include</v>
      </c>
      <c r="AW46" t="str">
        <f t="shared" si="20"/>
        <v>Match</v>
      </c>
      <c r="AX46" t="str">
        <f t="shared" si="21"/>
        <v>Match</v>
      </c>
    </row>
    <row r="47" spans="1:50">
      <c r="A47" t="s">
        <v>325</v>
      </c>
      <c r="B47">
        <f t="shared" si="9"/>
        <v>1</v>
      </c>
      <c r="C47" t="str">
        <f t="shared" si="10"/>
        <v/>
      </c>
      <c r="D47" s="3" t="s">
        <v>326</v>
      </c>
      <c r="E47" s="7">
        <v>45309</v>
      </c>
      <c r="F47" s="3" t="s">
        <v>327</v>
      </c>
      <c r="G47" s="7">
        <v>45315</v>
      </c>
      <c r="H47" s="7" t="str">
        <f t="shared" si="0"/>
        <v>Valid</v>
      </c>
      <c r="I47" s="9">
        <f t="shared" si="1"/>
        <v>6</v>
      </c>
      <c r="J47" s="9" t="str">
        <f t="shared" si="2"/>
        <v>Valid</v>
      </c>
      <c r="K47" t="s">
        <v>328</v>
      </c>
      <c r="L47" t="s">
        <v>52</v>
      </c>
      <c r="M47" t="s">
        <v>52</v>
      </c>
      <c r="N47" t="s">
        <v>114</v>
      </c>
      <c r="O47" s="3" t="str">
        <f t="shared" si="3"/>
        <v>Home Office</v>
      </c>
      <c r="P47" t="s">
        <v>41</v>
      </c>
      <c r="Q47" s="3" t="str">
        <f t="shared" si="4"/>
        <v>East</v>
      </c>
      <c r="R47" t="s">
        <v>185</v>
      </c>
      <c r="S47" t="s">
        <v>186</v>
      </c>
      <c r="T47" t="s">
        <v>29</v>
      </c>
      <c r="U47" s="3" t="str">
        <f t="shared" si="5"/>
        <v>Office Supplies</v>
      </c>
      <c r="V47" t="s">
        <v>53</v>
      </c>
      <c r="W47" t="s">
        <v>329</v>
      </c>
      <c r="X47" t="s">
        <v>32</v>
      </c>
      <c r="Y47" s="3" t="str">
        <f t="shared" si="6"/>
        <v>Second Class</v>
      </c>
      <c r="Z47">
        <v>8</v>
      </c>
      <c r="AA47">
        <v>3927.82</v>
      </c>
      <c r="AB47">
        <v>0.05</v>
      </c>
      <c r="AC47">
        <f t="shared" si="7"/>
        <v>0.05</v>
      </c>
      <c r="AD47" t="str">
        <f t="shared" si="11"/>
        <v>Valid</v>
      </c>
      <c r="AE47">
        <v>29851.43</v>
      </c>
      <c r="AF47">
        <v>17487.48</v>
      </c>
      <c r="AG47">
        <v>12363.95</v>
      </c>
      <c r="AH47" t="s">
        <v>136</v>
      </c>
      <c r="AI47" t="str">
        <f t="shared" si="12"/>
        <v>Include</v>
      </c>
      <c r="AJ47" t="str">
        <f t="shared" si="13"/>
        <v/>
      </c>
      <c r="AK47" t="s">
        <v>124</v>
      </c>
      <c r="AL47" t="str">
        <f t="shared" si="8"/>
        <v>Returned</v>
      </c>
      <c r="AM47" t="str">
        <f t="shared" si="14"/>
        <v>Include</v>
      </c>
      <c r="AN47">
        <f t="shared" si="15"/>
        <v>29851.432000000001</v>
      </c>
      <c r="AO47">
        <f t="shared" si="16"/>
        <v>12363.952000000001</v>
      </c>
      <c r="AP47">
        <f>IF(AN47=0,0,AO47/AN47)</f>
        <v>0.41418287739094062</v>
      </c>
      <c r="AQ47" t="str">
        <f t="shared" si="17"/>
        <v>January</v>
      </c>
      <c r="AR47">
        <f t="shared" si="18"/>
        <v>2024</v>
      </c>
      <c r="AS47" t="str">
        <f t="shared" si="19"/>
        <v>Clean</v>
      </c>
      <c r="AT47" t="str">
        <f>IF(OR(AC47&lt;0,AC47&gt;0.5),"Invalid Discount","Valid")</f>
        <v>Valid</v>
      </c>
      <c r="AU47" t="str">
        <f>IF(G47&lt;E47,"Invalid Shipping Record","Valid")</f>
        <v>Valid</v>
      </c>
      <c r="AV47" t="str">
        <f>IF(OR(AL47="Cancelled",AH47="Failed"),"Exclude","Include")</f>
        <v>Include</v>
      </c>
      <c r="AW47" t="str">
        <f t="shared" si="20"/>
        <v>Match</v>
      </c>
      <c r="AX47" t="str">
        <f t="shared" si="21"/>
        <v>Match</v>
      </c>
    </row>
    <row r="48" spans="1:50">
      <c r="A48" t="s">
        <v>330</v>
      </c>
      <c r="B48">
        <f t="shared" si="9"/>
        <v>1</v>
      </c>
      <c r="C48" t="str">
        <f t="shared" si="10"/>
        <v/>
      </c>
      <c r="D48" s="3" t="s">
        <v>331</v>
      </c>
      <c r="E48" s="7">
        <v>45492</v>
      </c>
      <c r="F48" s="3" t="s">
        <v>331</v>
      </c>
      <c r="G48" s="7">
        <v>45492</v>
      </c>
      <c r="H48" s="7" t="str">
        <f t="shared" si="0"/>
        <v>Valid</v>
      </c>
      <c r="I48" s="9">
        <f t="shared" si="1"/>
        <v>0</v>
      </c>
      <c r="J48" s="9" t="str">
        <f t="shared" si="2"/>
        <v>Valid</v>
      </c>
      <c r="K48" t="s">
        <v>332</v>
      </c>
      <c r="L48" t="s">
        <v>71</v>
      </c>
      <c r="M48" t="s">
        <v>71</v>
      </c>
      <c r="N48" t="s">
        <v>40</v>
      </c>
      <c r="O48" s="3" t="str">
        <f t="shared" si="3"/>
        <v>Small Business</v>
      </c>
      <c r="P48" t="s">
        <v>61</v>
      </c>
      <c r="Q48" s="3" t="str">
        <f t="shared" si="4"/>
        <v>South</v>
      </c>
      <c r="R48" t="s">
        <v>241</v>
      </c>
      <c r="S48" t="s">
        <v>242</v>
      </c>
      <c r="T48" t="s">
        <v>44</v>
      </c>
      <c r="U48" s="3" t="str">
        <f t="shared" si="5"/>
        <v>Furniture</v>
      </c>
      <c r="V48" t="s">
        <v>203</v>
      </c>
      <c r="W48" t="s">
        <v>333</v>
      </c>
      <c r="X48" t="s">
        <v>66</v>
      </c>
      <c r="Y48" s="3" t="str">
        <f t="shared" si="6"/>
        <v>Standard Class</v>
      </c>
      <c r="Z48">
        <v>9</v>
      </c>
      <c r="AA48">
        <v>2386.79</v>
      </c>
      <c r="AB48">
        <v>0.25</v>
      </c>
      <c r="AC48">
        <f t="shared" si="7"/>
        <v>0.25</v>
      </c>
      <c r="AD48" t="str">
        <f t="shared" si="11"/>
        <v>Valid</v>
      </c>
      <c r="AE48">
        <v>16110.83</v>
      </c>
      <c r="AF48">
        <v>10680.03</v>
      </c>
      <c r="AG48">
        <v>5430.8</v>
      </c>
      <c r="AH48" t="s">
        <v>123</v>
      </c>
      <c r="AI48" t="str">
        <f t="shared" si="12"/>
        <v>Include</v>
      </c>
      <c r="AJ48" t="str">
        <f t="shared" si="13"/>
        <v>Refunded Order</v>
      </c>
      <c r="AK48" t="s">
        <v>124</v>
      </c>
      <c r="AL48" t="str">
        <f t="shared" si="8"/>
        <v>Returned</v>
      </c>
      <c r="AM48" t="str">
        <f t="shared" si="14"/>
        <v>Include</v>
      </c>
      <c r="AN48">
        <f t="shared" si="15"/>
        <v>16110.8325</v>
      </c>
      <c r="AO48">
        <f t="shared" si="16"/>
        <v>5430.8024999999998</v>
      </c>
      <c r="AP48">
        <f>IF(AN48=0,0,AO48/AN48)</f>
        <v>0.33709012243780695</v>
      </c>
      <c r="AQ48" t="str">
        <f t="shared" si="17"/>
        <v>July</v>
      </c>
      <c r="AR48">
        <f t="shared" si="18"/>
        <v>2024</v>
      </c>
      <c r="AS48" t="str">
        <f t="shared" si="19"/>
        <v>Clean</v>
      </c>
      <c r="AT48" t="str">
        <f>IF(OR(AC48&lt;0,AC48&gt;0.5),"Invalid Discount","Valid")</f>
        <v>Valid</v>
      </c>
      <c r="AU48" t="str">
        <f>IF(G48&lt;E48,"Invalid Shipping Record","Valid")</f>
        <v>Valid</v>
      </c>
      <c r="AV48" t="str">
        <f>IF(OR(AL48="Cancelled",AH48="Failed"),"Exclude","Include")</f>
        <v>Include</v>
      </c>
      <c r="AW48" t="str">
        <f t="shared" si="20"/>
        <v>Match</v>
      </c>
      <c r="AX48" t="str">
        <f t="shared" si="21"/>
        <v>Match</v>
      </c>
    </row>
    <row r="49" spans="1:50">
      <c r="A49" t="s">
        <v>334</v>
      </c>
      <c r="B49">
        <f t="shared" si="9"/>
        <v>1</v>
      </c>
      <c r="C49" t="str">
        <f t="shared" si="10"/>
        <v/>
      </c>
      <c r="D49" s="3" t="s">
        <v>335</v>
      </c>
      <c r="E49" s="7">
        <v>45516</v>
      </c>
      <c r="F49" s="3" t="s">
        <v>336</v>
      </c>
      <c r="G49" s="7">
        <v>45516</v>
      </c>
      <c r="H49" s="7" t="str">
        <f t="shared" si="0"/>
        <v>Valid</v>
      </c>
      <c r="I49" s="9">
        <f t="shared" si="1"/>
        <v>0</v>
      </c>
      <c r="J49" s="9" t="str">
        <f t="shared" si="2"/>
        <v>Valid</v>
      </c>
      <c r="K49" t="s">
        <v>337</v>
      </c>
      <c r="L49" t="s">
        <v>147</v>
      </c>
      <c r="M49" t="s">
        <v>147</v>
      </c>
      <c r="N49" t="s">
        <v>107</v>
      </c>
      <c r="O49" s="3" t="str">
        <f t="shared" si="3"/>
        <v>Corporate</v>
      </c>
      <c r="P49" t="s">
        <v>61</v>
      </c>
      <c r="Q49" s="3" t="str">
        <f t="shared" si="4"/>
        <v>South</v>
      </c>
      <c r="R49" t="s">
        <v>338</v>
      </c>
      <c r="S49" t="s">
        <v>339</v>
      </c>
      <c r="T49" t="s">
        <v>29</v>
      </c>
      <c r="U49" s="3" t="str">
        <f t="shared" si="5"/>
        <v>Office Supplies</v>
      </c>
      <c r="V49" t="s">
        <v>155</v>
      </c>
      <c r="W49" t="s">
        <v>340</v>
      </c>
      <c r="X49" t="s">
        <v>66</v>
      </c>
      <c r="Y49" s="3" t="str">
        <f t="shared" si="6"/>
        <v>Standard Class</v>
      </c>
      <c r="Z49">
        <v>8</v>
      </c>
      <c r="AA49">
        <v>2445.31</v>
      </c>
      <c r="AB49">
        <v>0.1</v>
      </c>
      <c r="AC49">
        <f t="shared" si="7"/>
        <v>0.1</v>
      </c>
      <c r="AD49" t="str">
        <f t="shared" si="11"/>
        <v>Valid</v>
      </c>
      <c r="AE49">
        <v>17606.23</v>
      </c>
      <c r="AF49">
        <v>12438.96</v>
      </c>
      <c r="AG49">
        <v>5167.2700000000004</v>
      </c>
      <c r="AH49" t="s">
        <v>33</v>
      </c>
      <c r="AI49" t="str">
        <f t="shared" si="12"/>
        <v>Include</v>
      </c>
      <c r="AJ49" t="str">
        <f t="shared" si="13"/>
        <v/>
      </c>
      <c r="AK49" t="s">
        <v>34</v>
      </c>
      <c r="AL49" t="str">
        <f t="shared" si="8"/>
        <v>Completed</v>
      </c>
      <c r="AM49" t="str">
        <f t="shared" si="14"/>
        <v>Include</v>
      </c>
      <c r="AN49">
        <f t="shared" si="15"/>
        <v>17606.232</v>
      </c>
      <c r="AO49">
        <f t="shared" si="16"/>
        <v>5167.2720000000008</v>
      </c>
      <c r="AP49">
        <f>IF(AN49=0,0,AO49/AN49)</f>
        <v>0.29349107747756592</v>
      </c>
      <c r="AQ49" t="str">
        <f t="shared" si="17"/>
        <v>August</v>
      </c>
      <c r="AR49">
        <f t="shared" si="18"/>
        <v>2024</v>
      </c>
      <c r="AS49" t="str">
        <f t="shared" si="19"/>
        <v>Clean</v>
      </c>
      <c r="AT49" t="str">
        <f>IF(OR(AC49&lt;0,AC49&gt;0.5),"Invalid Discount","Valid")</f>
        <v>Valid</v>
      </c>
      <c r="AU49" t="str">
        <f>IF(G49&lt;E49,"Invalid Shipping Record","Valid")</f>
        <v>Valid</v>
      </c>
      <c r="AV49" t="str">
        <f>IF(OR(AL49="Cancelled",AH49="Failed"),"Exclude","Include")</f>
        <v>Include</v>
      </c>
      <c r="AW49" t="str">
        <f t="shared" si="20"/>
        <v>Match</v>
      </c>
      <c r="AX49" t="str">
        <f t="shared" si="21"/>
        <v>Match</v>
      </c>
    </row>
    <row r="50" spans="1:50">
      <c r="A50" t="s">
        <v>341</v>
      </c>
      <c r="B50">
        <f t="shared" si="9"/>
        <v>1</v>
      </c>
      <c r="C50" t="str">
        <f t="shared" si="10"/>
        <v/>
      </c>
      <c r="D50" s="3" t="s">
        <v>342</v>
      </c>
      <c r="E50" s="7">
        <v>45687</v>
      </c>
      <c r="F50" s="3" t="s">
        <v>343</v>
      </c>
      <c r="G50" s="7">
        <v>45693</v>
      </c>
      <c r="H50" s="7" t="str">
        <f t="shared" si="0"/>
        <v>Valid</v>
      </c>
      <c r="I50" s="9">
        <f t="shared" si="1"/>
        <v>6</v>
      </c>
      <c r="J50" s="9" t="str">
        <f t="shared" si="2"/>
        <v>Valid</v>
      </c>
      <c r="K50" t="s">
        <v>344</v>
      </c>
      <c r="L50" t="s">
        <v>92</v>
      </c>
      <c r="M50" t="s">
        <v>92</v>
      </c>
      <c r="N50" t="s">
        <v>107</v>
      </c>
      <c r="O50" s="3" t="str">
        <f t="shared" si="3"/>
        <v>Corporate</v>
      </c>
      <c r="P50" t="s">
        <v>72</v>
      </c>
      <c r="Q50" s="3" t="str">
        <f t="shared" si="4"/>
        <v>West</v>
      </c>
      <c r="R50" t="s">
        <v>73</v>
      </c>
      <c r="S50" t="s">
        <v>74</v>
      </c>
      <c r="T50" t="s">
        <v>44</v>
      </c>
      <c r="U50" s="3" t="str">
        <f t="shared" si="5"/>
        <v>Furniture</v>
      </c>
      <c r="V50" t="s">
        <v>75</v>
      </c>
      <c r="W50" t="s">
        <v>345</v>
      </c>
      <c r="X50" t="s">
        <v>32</v>
      </c>
      <c r="Y50" s="3" t="str">
        <f t="shared" si="6"/>
        <v>Second Class</v>
      </c>
      <c r="Z50">
        <v>7</v>
      </c>
      <c r="AA50">
        <v>4063.66</v>
      </c>
      <c r="AB50">
        <v>0</v>
      </c>
      <c r="AC50">
        <f t="shared" si="7"/>
        <v>0</v>
      </c>
      <c r="AD50" t="str">
        <f t="shared" si="11"/>
        <v>Valid</v>
      </c>
      <c r="AE50">
        <v>28445.62</v>
      </c>
      <c r="AF50">
        <v>20938.59</v>
      </c>
      <c r="AG50">
        <v>7507.03</v>
      </c>
      <c r="AH50" t="s">
        <v>33</v>
      </c>
      <c r="AI50" t="str">
        <f t="shared" si="12"/>
        <v>Include</v>
      </c>
      <c r="AJ50" t="str">
        <f t="shared" si="13"/>
        <v/>
      </c>
      <c r="AK50" t="s">
        <v>34</v>
      </c>
      <c r="AL50" t="str">
        <f t="shared" si="8"/>
        <v>Completed</v>
      </c>
      <c r="AM50" t="str">
        <f t="shared" si="14"/>
        <v>Include</v>
      </c>
      <c r="AN50">
        <f t="shared" si="15"/>
        <v>28445.62</v>
      </c>
      <c r="AO50">
        <f t="shared" si="16"/>
        <v>7507.0299999999988</v>
      </c>
      <c r="AP50">
        <f>IF(AN50=0,0,AO50/AN50)</f>
        <v>0.26390811660986818</v>
      </c>
      <c r="AQ50" t="str">
        <f t="shared" si="17"/>
        <v>January</v>
      </c>
      <c r="AR50">
        <f t="shared" si="18"/>
        <v>2025</v>
      </c>
      <c r="AS50" t="str">
        <f t="shared" si="19"/>
        <v>Clean</v>
      </c>
      <c r="AT50" t="str">
        <f>IF(OR(AC50&lt;0,AC50&gt;0.5),"Invalid Discount","Valid")</f>
        <v>Valid</v>
      </c>
      <c r="AU50" t="str">
        <f>IF(G50&lt;E50,"Invalid Shipping Record","Valid")</f>
        <v>Valid</v>
      </c>
      <c r="AV50" t="str">
        <f>IF(OR(AL50="Cancelled",AH50="Failed"),"Exclude","Include")</f>
        <v>Include</v>
      </c>
      <c r="AW50" t="str">
        <f t="shared" si="20"/>
        <v>Match</v>
      </c>
      <c r="AX50" t="str">
        <f t="shared" si="21"/>
        <v>Match</v>
      </c>
    </row>
    <row r="51" spans="1:50">
      <c r="A51" t="s">
        <v>346</v>
      </c>
      <c r="B51">
        <f t="shared" si="9"/>
        <v>1</v>
      </c>
      <c r="C51" t="str">
        <f t="shared" si="10"/>
        <v/>
      </c>
      <c r="D51" s="3" t="s">
        <v>347</v>
      </c>
      <c r="E51" s="7">
        <v>45388</v>
      </c>
      <c r="F51" s="3" t="s">
        <v>348</v>
      </c>
      <c r="G51" s="7">
        <v>45395</v>
      </c>
      <c r="H51" s="7" t="str">
        <f t="shared" si="0"/>
        <v>Valid</v>
      </c>
      <c r="I51" s="9">
        <f t="shared" si="1"/>
        <v>7</v>
      </c>
      <c r="J51" s="9" t="str">
        <f t="shared" si="2"/>
        <v>Valid</v>
      </c>
      <c r="K51" t="s">
        <v>349</v>
      </c>
      <c r="L51" t="s">
        <v>161</v>
      </c>
      <c r="M51" t="s">
        <v>161</v>
      </c>
      <c r="N51" t="s">
        <v>114</v>
      </c>
      <c r="O51" s="3" t="str">
        <f t="shared" si="3"/>
        <v>Home Office</v>
      </c>
      <c r="P51" t="s">
        <v>26</v>
      </c>
      <c r="Q51" s="3" t="str">
        <f t="shared" si="4"/>
        <v>North</v>
      </c>
      <c r="R51" t="s">
        <v>173</v>
      </c>
      <c r="S51" t="s">
        <v>174</v>
      </c>
      <c r="T51" t="s">
        <v>85</v>
      </c>
      <c r="U51" s="3" t="str">
        <f t="shared" si="5"/>
        <v>Technology</v>
      </c>
      <c r="V51" t="s">
        <v>93</v>
      </c>
      <c r="W51" t="s">
        <v>350</v>
      </c>
      <c r="X51" t="s">
        <v>32</v>
      </c>
      <c r="Y51" s="3" t="str">
        <f t="shared" si="6"/>
        <v>Second Class</v>
      </c>
      <c r="Z51">
        <v>9</v>
      </c>
      <c r="AA51">
        <v>792.11</v>
      </c>
      <c r="AB51">
        <v>0.05</v>
      </c>
      <c r="AC51">
        <f t="shared" si="7"/>
        <v>0.05</v>
      </c>
      <c r="AD51" t="str">
        <f t="shared" si="11"/>
        <v>Valid</v>
      </c>
      <c r="AE51">
        <v>6772.54</v>
      </c>
      <c r="AF51">
        <v>5755.46</v>
      </c>
      <c r="AG51">
        <v>1017.08</v>
      </c>
      <c r="AH51" t="s">
        <v>33</v>
      </c>
      <c r="AI51" t="str">
        <f t="shared" si="12"/>
        <v>Include</v>
      </c>
      <c r="AJ51" t="str">
        <f t="shared" si="13"/>
        <v/>
      </c>
      <c r="AK51" t="s">
        <v>34</v>
      </c>
      <c r="AL51" t="str">
        <f t="shared" si="8"/>
        <v>Completed</v>
      </c>
      <c r="AM51" t="str">
        <f t="shared" si="14"/>
        <v>Include</v>
      </c>
      <c r="AN51">
        <f t="shared" si="15"/>
        <v>6772.5404999999992</v>
      </c>
      <c r="AO51">
        <f t="shared" si="16"/>
        <v>1017.0804999999991</v>
      </c>
      <c r="AP51">
        <f>IF(AN51=0,0,AO51/AN51)</f>
        <v>0.15017710119267641</v>
      </c>
      <c r="AQ51" t="str">
        <f t="shared" si="17"/>
        <v>April</v>
      </c>
      <c r="AR51">
        <f t="shared" si="18"/>
        <v>2024</v>
      </c>
      <c r="AS51" t="str">
        <f t="shared" si="19"/>
        <v>Clean</v>
      </c>
      <c r="AT51" t="str">
        <f>IF(OR(AC51&lt;0,AC51&gt;0.5),"Invalid Discount","Valid")</f>
        <v>Valid</v>
      </c>
      <c r="AU51" t="str">
        <f>IF(G51&lt;E51,"Invalid Shipping Record","Valid")</f>
        <v>Valid</v>
      </c>
      <c r="AV51" t="str">
        <f>IF(OR(AL51="Cancelled",AH51="Failed"),"Exclude","Include")</f>
        <v>Include</v>
      </c>
      <c r="AW51" t="str">
        <f t="shared" si="20"/>
        <v>Match</v>
      </c>
      <c r="AX51" t="str">
        <f t="shared" si="21"/>
        <v>Match</v>
      </c>
    </row>
    <row r="52" spans="1:50">
      <c r="A52" t="s">
        <v>351</v>
      </c>
      <c r="B52">
        <f t="shared" si="9"/>
        <v>1</v>
      </c>
      <c r="C52" t="str">
        <f t="shared" si="10"/>
        <v/>
      </c>
      <c r="D52" s="3" t="s">
        <v>352</v>
      </c>
      <c r="E52" s="7">
        <v>45788</v>
      </c>
      <c r="F52" s="3" t="s">
        <v>353</v>
      </c>
      <c r="G52" s="7">
        <v>45796</v>
      </c>
      <c r="H52" s="7" t="str">
        <f t="shared" si="0"/>
        <v>Valid</v>
      </c>
      <c r="I52" s="9">
        <f t="shared" si="1"/>
        <v>8</v>
      </c>
      <c r="J52" s="9" t="str">
        <f t="shared" si="2"/>
        <v>Valid</v>
      </c>
      <c r="K52" t="s">
        <v>354</v>
      </c>
      <c r="L52" t="s">
        <v>167</v>
      </c>
      <c r="M52" t="s">
        <v>167</v>
      </c>
      <c r="N52" t="s">
        <v>25</v>
      </c>
      <c r="O52" s="3" t="str">
        <f t="shared" si="3"/>
        <v>Consumer</v>
      </c>
      <c r="P52" t="s">
        <v>41</v>
      </c>
      <c r="Q52" s="3" t="str">
        <f t="shared" si="4"/>
        <v>East</v>
      </c>
      <c r="R52" t="s">
        <v>120</v>
      </c>
      <c r="S52" t="s">
        <v>121</v>
      </c>
      <c r="T52" t="s">
        <v>85</v>
      </c>
      <c r="U52" s="3" t="str">
        <f t="shared" si="5"/>
        <v>Technology</v>
      </c>
      <c r="V52" t="s">
        <v>93</v>
      </c>
      <c r="W52" t="s">
        <v>355</v>
      </c>
      <c r="X52" t="s">
        <v>66</v>
      </c>
      <c r="Y52" s="3" t="str">
        <f t="shared" si="6"/>
        <v>Standard Class</v>
      </c>
      <c r="Z52">
        <v>1</v>
      </c>
      <c r="AA52">
        <v>2382.8000000000002</v>
      </c>
      <c r="AB52">
        <v>0.15</v>
      </c>
      <c r="AC52">
        <f t="shared" si="7"/>
        <v>0.15</v>
      </c>
      <c r="AD52" t="str">
        <f t="shared" si="11"/>
        <v>Valid</v>
      </c>
      <c r="AE52">
        <v>2025.38</v>
      </c>
      <c r="AF52">
        <v>1140.6500000000001</v>
      </c>
      <c r="AG52">
        <v>884.73</v>
      </c>
      <c r="AH52" t="s">
        <v>33</v>
      </c>
      <c r="AI52" t="str">
        <f t="shared" si="12"/>
        <v>Include</v>
      </c>
      <c r="AJ52" t="str">
        <f t="shared" si="13"/>
        <v/>
      </c>
      <c r="AK52" t="s">
        <v>34</v>
      </c>
      <c r="AL52" t="str">
        <f t="shared" si="8"/>
        <v>Completed</v>
      </c>
      <c r="AM52" t="str">
        <f t="shared" si="14"/>
        <v>Include</v>
      </c>
      <c r="AN52">
        <f t="shared" si="15"/>
        <v>2025.38</v>
      </c>
      <c r="AO52">
        <f t="shared" si="16"/>
        <v>884.73</v>
      </c>
      <c r="AP52">
        <f>IF(AN52=0,0,AO52/AN52)</f>
        <v>0.43682173221815163</v>
      </c>
      <c r="AQ52" t="str">
        <f t="shared" si="17"/>
        <v>May</v>
      </c>
      <c r="AR52">
        <f t="shared" si="18"/>
        <v>2025</v>
      </c>
      <c r="AS52" t="str">
        <f t="shared" si="19"/>
        <v>Clean</v>
      </c>
      <c r="AT52" t="str">
        <f>IF(OR(AC52&lt;0,AC52&gt;0.5),"Invalid Discount","Valid")</f>
        <v>Valid</v>
      </c>
      <c r="AU52" t="str">
        <f>IF(G52&lt;E52,"Invalid Shipping Record","Valid")</f>
        <v>Valid</v>
      </c>
      <c r="AV52" t="str">
        <f>IF(OR(AL52="Cancelled",AH52="Failed"),"Exclude","Include")</f>
        <v>Include</v>
      </c>
      <c r="AW52" t="str">
        <f t="shared" si="20"/>
        <v>Match</v>
      </c>
      <c r="AX52" t="str">
        <f t="shared" si="21"/>
        <v>Match</v>
      </c>
    </row>
    <row r="53" spans="1:50">
      <c r="A53" t="s">
        <v>356</v>
      </c>
      <c r="B53">
        <f t="shared" si="9"/>
        <v>1</v>
      </c>
      <c r="C53" t="str">
        <f t="shared" si="10"/>
        <v/>
      </c>
      <c r="D53" s="3" t="s">
        <v>357</v>
      </c>
      <c r="E53" s="7">
        <v>45406</v>
      </c>
      <c r="F53" s="3" t="s">
        <v>358</v>
      </c>
      <c r="G53" s="7">
        <v>45411</v>
      </c>
      <c r="H53" s="7" t="str">
        <f t="shared" si="0"/>
        <v>Valid</v>
      </c>
      <c r="I53" s="9">
        <f t="shared" si="1"/>
        <v>5</v>
      </c>
      <c r="J53" s="9" t="str">
        <f t="shared" si="2"/>
        <v>Valid</v>
      </c>
      <c r="K53" t="s">
        <v>359</v>
      </c>
      <c r="L53" t="s">
        <v>71</v>
      </c>
      <c r="M53" t="s">
        <v>71</v>
      </c>
      <c r="N53" t="s">
        <v>107</v>
      </c>
      <c r="O53" s="3" t="str">
        <f t="shared" si="3"/>
        <v>Corporate</v>
      </c>
      <c r="P53" t="s">
        <v>61</v>
      </c>
      <c r="Q53" s="3" t="str">
        <f t="shared" si="4"/>
        <v>South</v>
      </c>
      <c r="R53" t="s">
        <v>62</v>
      </c>
      <c r="S53" t="s">
        <v>63</v>
      </c>
      <c r="T53" t="s">
        <v>29</v>
      </c>
      <c r="U53" s="3" t="str">
        <f t="shared" si="5"/>
        <v>Office Supplies</v>
      </c>
      <c r="V53" t="s">
        <v>53</v>
      </c>
      <c r="W53" t="s">
        <v>360</v>
      </c>
      <c r="X53" t="s">
        <v>66</v>
      </c>
      <c r="Y53" s="3" t="str">
        <f t="shared" si="6"/>
        <v>Standard Class</v>
      </c>
      <c r="Z53">
        <v>6</v>
      </c>
      <c r="AA53">
        <v>1528.08</v>
      </c>
      <c r="AB53">
        <v>0</v>
      </c>
      <c r="AC53">
        <f t="shared" si="7"/>
        <v>0</v>
      </c>
      <c r="AD53" t="str">
        <f t="shared" si="11"/>
        <v>Valid</v>
      </c>
      <c r="AE53">
        <v>9168.48</v>
      </c>
      <c r="AF53">
        <v>7439.77</v>
      </c>
      <c r="AG53">
        <v>1728.71</v>
      </c>
      <c r="AH53" t="s">
        <v>33</v>
      </c>
      <c r="AI53" t="str">
        <f t="shared" si="12"/>
        <v>Include</v>
      </c>
      <c r="AJ53" t="str">
        <f t="shared" si="13"/>
        <v/>
      </c>
      <c r="AK53" t="s">
        <v>34</v>
      </c>
      <c r="AL53" t="str">
        <f t="shared" si="8"/>
        <v>Completed</v>
      </c>
      <c r="AM53" t="str">
        <f t="shared" si="14"/>
        <v>Include</v>
      </c>
      <c r="AN53">
        <f t="shared" si="15"/>
        <v>9168.48</v>
      </c>
      <c r="AO53">
        <f t="shared" si="16"/>
        <v>1728.7099999999991</v>
      </c>
      <c r="AP53">
        <f>IF(AN53=0,0,AO53/AN53)</f>
        <v>0.18854924698532355</v>
      </c>
      <c r="AQ53" t="str">
        <f t="shared" si="17"/>
        <v>April</v>
      </c>
      <c r="AR53">
        <f t="shared" si="18"/>
        <v>2024</v>
      </c>
      <c r="AS53" t="str">
        <f t="shared" si="19"/>
        <v>Clean</v>
      </c>
      <c r="AT53" t="str">
        <f>IF(OR(AC53&lt;0,AC53&gt;0.5),"Invalid Discount","Valid")</f>
        <v>Valid</v>
      </c>
      <c r="AU53" t="str">
        <f>IF(G53&lt;E53,"Invalid Shipping Record","Valid")</f>
        <v>Valid</v>
      </c>
      <c r="AV53" t="str">
        <f>IF(OR(AL53="Cancelled",AH53="Failed"),"Exclude","Include")</f>
        <v>Include</v>
      </c>
      <c r="AW53" t="str">
        <f t="shared" si="20"/>
        <v>Match</v>
      </c>
      <c r="AX53" t="str">
        <f t="shared" si="21"/>
        <v>Match</v>
      </c>
    </row>
    <row r="54" spans="1:50">
      <c r="A54" t="s">
        <v>361</v>
      </c>
      <c r="B54">
        <f t="shared" si="9"/>
        <v>1</v>
      </c>
      <c r="C54" t="str">
        <f t="shared" si="10"/>
        <v/>
      </c>
      <c r="D54" s="3" t="s">
        <v>362</v>
      </c>
      <c r="E54" s="7">
        <v>45591</v>
      </c>
      <c r="F54" s="3" t="s">
        <v>363</v>
      </c>
      <c r="G54" s="7">
        <v>45593</v>
      </c>
      <c r="H54" s="7" t="str">
        <f t="shared" si="0"/>
        <v>Valid</v>
      </c>
      <c r="I54" s="9">
        <f t="shared" si="1"/>
        <v>2</v>
      </c>
      <c r="J54" s="9" t="str">
        <f t="shared" si="2"/>
        <v>Valid</v>
      </c>
      <c r="K54" t="s">
        <v>364</v>
      </c>
      <c r="L54" t="s">
        <v>365</v>
      </c>
      <c r="M54" t="s">
        <v>365</v>
      </c>
      <c r="N54" t="s">
        <v>40</v>
      </c>
      <c r="O54" s="3" t="str">
        <f t="shared" si="3"/>
        <v>Small Business</v>
      </c>
      <c r="P54" t="s">
        <v>26</v>
      </c>
      <c r="Q54" s="3" t="str">
        <f t="shared" si="4"/>
        <v>North</v>
      </c>
      <c r="R54" t="s">
        <v>27</v>
      </c>
      <c r="S54" t="s">
        <v>28</v>
      </c>
      <c r="T54" t="s">
        <v>44</v>
      </c>
      <c r="U54" s="3" t="str">
        <f t="shared" si="5"/>
        <v>Furniture</v>
      </c>
      <c r="V54" t="s">
        <v>75</v>
      </c>
      <c r="W54" t="s">
        <v>366</v>
      </c>
      <c r="X54" t="s">
        <v>55</v>
      </c>
      <c r="Y54" s="3" t="str">
        <f t="shared" si="6"/>
        <v>First Class</v>
      </c>
      <c r="Z54">
        <v>9</v>
      </c>
      <c r="AA54">
        <v>1399.63</v>
      </c>
      <c r="AB54">
        <v>0</v>
      </c>
      <c r="AC54">
        <f t="shared" si="7"/>
        <v>0</v>
      </c>
      <c r="AD54" t="str">
        <f t="shared" si="11"/>
        <v>Valid</v>
      </c>
      <c r="AE54">
        <v>12596.67</v>
      </c>
      <c r="AF54">
        <v>10603.29</v>
      </c>
      <c r="AG54">
        <v>1993.38</v>
      </c>
      <c r="AH54" t="s">
        <v>199</v>
      </c>
      <c r="AI54" t="str">
        <f t="shared" si="12"/>
        <v>Exclude</v>
      </c>
      <c r="AJ54" t="str">
        <f t="shared" si="13"/>
        <v/>
      </c>
      <c r="AK54" t="s">
        <v>77</v>
      </c>
      <c r="AL54" t="str">
        <f t="shared" si="8"/>
        <v>Cancelled</v>
      </c>
      <c r="AM54" t="str">
        <f t="shared" si="14"/>
        <v>Exclude</v>
      </c>
      <c r="AN54">
        <f t="shared" si="15"/>
        <v>12596.670000000002</v>
      </c>
      <c r="AO54">
        <f t="shared" si="16"/>
        <v>1993.380000000001</v>
      </c>
      <c r="AP54">
        <f>IF(AN54=0,0,AO54/AN54)</f>
        <v>0.15824658421630483</v>
      </c>
      <c r="AQ54" t="str">
        <f t="shared" si="17"/>
        <v>October</v>
      </c>
      <c r="AR54">
        <f t="shared" si="18"/>
        <v>2024</v>
      </c>
      <c r="AS54" t="str">
        <f t="shared" si="19"/>
        <v>Clean</v>
      </c>
      <c r="AT54" t="str">
        <f>IF(OR(AC54&lt;0,AC54&gt;0.5),"Invalid Discount","Valid")</f>
        <v>Valid</v>
      </c>
      <c r="AU54" t="str">
        <f>IF(G54&lt;E54,"Invalid Shipping Record","Valid")</f>
        <v>Valid</v>
      </c>
      <c r="AV54" t="str">
        <f>IF(OR(AL54="Cancelled",AH54="Failed"),"Exclude","Include")</f>
        <v>Exclude</v>
      </c>
      <c r="AW54" t="str">
        <f t="shared" si="20"/>
        <v>Match</v>
      </c>
      <c r="AX54" t="str">
        <f t="shared" si="21"/>
        <v>Match</v>
      </c>
    </row>
    <row r="55" spans="1:50">
      <c r="A55" t="s">
        <v>367</v>
      </c>
      <c r="B55">
        <f t="shared" si="9"/>
        <v>1</v>
      </c>
      <c r="C55" t="str">
        <f t="shared" si="10"/>
        <v/>
      </c>
      <c r="D55" s="3" t="s">
        <v>368</v>
      </c>
      <c r="E55" s="7">
        <v>45747</v>
      </c>
      <c r="F55" s="3" t="s">
        <v>369</v>
      </c>
      <c r="G55" s="7">
        <v>45747</v>
      </c>
      <c r="H55" s="7" t="str">
        <f t="shared" si="0"/>
        <v>Valid</v>
      </c>
      <c r="I55" s="9">
        <f t="shared" si="1"/>
        <v>0</v>
      </c>
      <c r="J55" s="9" t="str">
        <f t="shared" si="2"/>
        <v>Valid</v>
      </c>
      <c r="K55" t="s">
        <v>370</v>
      </c>
      <c r="L55" t="s">
        <v>365</v>
      </c>
      <c r="M55" t="s">
        <v>365</v>
      </c>
      <c r="N55" t="s">
        <v>114</v>
      </c>
      <c r="O55" s="3" t="str">
        <f t="shared" si="3"/>
        <v>Home Office</v>
      </c>
      <c r="P55" t="s">
        <v>72</v>
      </c>
      <c r="Q55" s="3" t="str">
        <f t="shared" si="4"/>
        <v>West</v>
      </c>
      <c r="R55" t="s">
        <v>234</v>
      </c>
      <c r="S55" t="s">
        <v>235</v>
      </c>
      <c r="T55" t="s">
        <v>29</v>
      </c>
      <c r="U55" s="3" t="str">
        <f t="shared" si="5"/>
        <v>Office Supplies</v>
      </c>
      <c r="V55" t="s">
        <v>155</v>
      </c>
      <c r="W55" t="s">
        <v>371</v>
      </c>
      <c r="X55" t="s">
        <v>55</v>
      </c>
      <c r="Y55" s="3" t="str">
        <f t="shared" si="6"/>
        <v>First Class</v>
      </c>
      <c r="Z55">
        <v>5</v>
      </c>
      <c r="AA55">
        <v>1207.47</v>
      </c>
      <c r="AB55">
        <v>0.15</v>
      </c>
      <c r="AC55">
        <f t="shared" si="7"/>
        <v>0.15</v>
      </c>
      <c r="AD55" t="str">
        <f t="shared" si="11"/>
        <v>Valid</v>
      </c>
      <c r="AE55">
        <v>5131.75</v>
      </c>
      <c r="AF55">
        <v>2838.68</v>
      </c>
      <c r="AG55">
        <v>2293.0700000000002</v>
      </c>
      <c r="AH55" t="s">
        <v>33</v>
      </c>
      <c r="AI55" t="str">
        <f t="shared" si="12"/>
        <v>Include</v>
      </c>
      <c r="AJ55" t="str">
        <f t="shared" si="13"/>
        <v/>
      </c>
      <c r="AK55" t="s">
        <v>34</v>
      </c>
      <c r="AL55" t="str">
        <f t="shared" si="8"/>
        <v>Completed</v>
      </c>
      <c r="AM55" t="str">
        <f t="shared" si="14"/>
        <v>Include</v>
      </c>
      <c r="AN55">
        <f t="shared" si="15"/>
        <v>5131.7475000000004</v>
      </c>
      <c r="AO55">
        <f t="shared" si="16"/>
        <v>2293.0675000000006</v>
      </c>
      <c r="AP55">
        <f>IF(AN55=0,0,AO55/AN55)</f>
        <v>0.44683950252813498</v>
      </c>
      <c r="AQ55" t="str">
        <f t="shared" si="17"/>
        <v>March</v>
      </c>
      <c r="AR55">
        <f t="shared" si="18"/>
        <v>2025</v>
      </c>
      <c r="AS55" t="str">
        <f t="shared" si="19"/>
        <v>Clean</v>
      </c>
      <c r="AT55" t="str">
        <f>IF(OR(AC55&lt;0,AC55&gt;0.5),"Invalid Discount","Valid")</f>
        <v>Valid</v>
      </c>
      <c r="AU55" t="str">
        <f>IF(G55&lt;E55,"Invalid Shipping Record","Valid")</f>
        <v>Valid</v>
      </c>
      <c r="AV55" t="str">
        <f>IF(OR(AL55="Cancelled",AH55="Failed"),"Exclude","Include")</f>
        <v>Include</v>
      </c>
      <c r="AW55" t="str">
        <f t="shared" si="20"/>
        <v>Match</v>
      </c>
      <c r="AX55" t="str">
        <f t="shared" si="21"/>
        <v>Match</v>
      </c>
    </row>
    <row r="56" spans="1:50">
      <c r="A56" t="s">
        <v>372</v>
      </c>
      <c r="B56">
        <f t="shared" si="9"/>
        <v>1</v>
      </c>
      <c r="C56" t="str">
        <f t="shared" si="10"/>
        <v/>
      </c>
      <c r="D56" s="3" t="s">
        <v>373</v>
      </c>
      <c r="E56" s="7">
        <v>45807</v>
      </c>
      <c r="F56" s="3" t="s">
        <v>374</v>
      </c>
      <c r="G56" s="7">
        <v>45810</v>
      </c>
      <c r="H56" s="7" t="str">
        <f t="shared" si="0"/>
        <v>Valid</v>
      </c>
      <c r="I56" s="9">
        <f t="shared" si="1"/>
        <v>3</v>
      </c>
      <c r="J56" s="9" t="str">
        <f t="shared" si="2"/>
        <v>Valid</v>
      </c>
      <c r="K56" t="s">
        <v>375</v>
      </c>
      <c r="L56" t="s">
        <v>60</v>
      </c>
      <c r="M56" t="s">
        <v>60</v>
      </c>
      <c r="N56" t="s">
        <v>107</v>
      </c>
      <c r="O56" s="3" t="str">
        <f t="shared" si="3"/>
        <v>Corporate</v>
      </c>
      <c r="P56" t="s">
        <v>61</v>
      </c>
      <c r="Q56" s="3" t="str">
        <f t="shared" si="4"/>
        <v>South</v>
      </c>
      <c r="R56" t="s">
        <v>338</v>
      </c>
      <c r="S56" t="s">
        <v>339</v>
      </c>
      <c r="T56" t="s">
        <v>29</v>
      </c>
      <c r="U56" s="3" t="str">
        <f t="shared" si="5"/>
        <v>Office Supplies</v>
      </c>
      <c r="V56" t="s">
        <v>108</v>
      </c>
      <c r="W56" t="s">
        <v>376</v>
      </c>
      <c r="X56" t="s">
        <v>47</v>
      </c>
      <c r="Y56" s="3" t="str">
        <f t="shared" si="6"/>
        <v>Same Day</v>
      </c>
      <c r="Z56">
        <v>8</v>
      </c>
      <c r="AA56">
        <v>474.37</v>
      </c>
      <c r="AB56">
        <v>0.1</v>
      </c>
      <c r="AC56">
        <f t="shared" si="7"/>
        <v>0.1</v>
      </c>
      <c r="AD56" t="str">
        <f t="shared" si="11"/>
        <v>Valid</v>
      </c>
      <c r="AE56">
        <v>3415.46</v>
      </c>
      <c r="AF56">
        <v>1993.23</v>
      </c>
      <c r="AG56">
        <v>1422.23</v>
      </c>
      <c r="AH56" t="s">
        <v>199</v>
      </c>
      <c r="AI56" t="str">
        <f t="shared" si="12"/>
        <v>Exclude</v>
      </c>
      <c r="AJ56" t="str">
        <f t="shared" si="13"/>
        <v/>
      </c>
      <c r="AK56" t="s">
        <v>77</v>
      </c>
      <c r="AL56" t="str">
        <f t="shared" si="8"/>
        <v>Cancelled</v>
      </c>
      <c r="AM56" t="str">
        <f t="shared" si="14"/>
        <v>Exclude</v>
      </c>
      <c r="AN56">
        <f t="shared" si="15"/>
        <v>3415.4639999999999</v>
      </c>
      <c r="AO56">
        <f t="shared" si="16"/>
        <v>1422.2339999999999</v>
      </c>
      <c r="AP56">
        <f>IF(AN56=0,0,AO56/AN56)</f>
        <v>0.4164101861416194</v>
      </c>
      <c r="AQ56" t="str">
        <f t="shared" si="17"/>
        <v>May</v>
      </c>
      <c r="AR56">
        <f t="shared" si="18"/>
        <v>2025</v>
      </c>
      <c r="AS56" t="str">
        <f t="shared" si="19"/>
        <v>Clean</v>
      </c>
      <c r="AT56" t="str">
        <f>IF(OR(AC56&lt;0,AC56&gt;0.5),"Invalid Discount","Valid")</f>
        <v>Valid</v>
      </c>
      <c r="AU56" t="str">
        <f>IF(G56&lt;E56,"Invalid Shipping Record","Valid")</f>
        <v>Valid</v>
      </c>
      <c r="AV56" t="str">
        <f>IF(OR(AL56="Cancelled",AH56="Failed"),"Exclude","Include")</f>
        <v>Exclude</v>
      </c>
      <c r="AW56" t="str">
        <f t="shared" si="20"/>
        <v>Match</v>
      </c>
      <c r="AX56" t="str">
        <f t="shared" si="21"/>
        <v>Match</v>
      </c>
    </row>
    <row r="57" spans="1:50">
      <c r="A57" t="s">
        <v>377</v>
      </c>
      <c r="B57">
        <f t="shared" si="9"/>
        <v>1</v>
      </c>
      <c r="C57" t="str">
        <f t="shared" si="10"/>
        <v/>
      </c>
      <c r="D57" s="3" t="s">
        <v>378</v>
      </c>
      <c r="E57" s="7">
        <v>45839</v>
      </c>
      <c r="F57" s="3" t="s">
        <v>379</v>
      </c>
      <c r="G57" s="7">
        <v>45841</v>
      </c>
      <c r="H57" s="7" t="str">
        <f t="shared" si="0"/>
        <v>Valid</v>
      </c>
      <c r="I57" s="9">
        <f t="shared" si="1"/>
        <v>2</v>
      </c>
      <c r="J57" s="9" t="str">
        <f t="shared" si="2"/>
        <v>Valid</v>
      </c>
      <c r="K57" t="s">
        <v>380</v>
      </c>
      <c r="L57" t="s">
        <v>39</v>
      </c>
      <c r="M57" t="s">
        <v>39</v>
      </c>
      <c r="N57" t="s">
        <v>40</v>
      </c>
      <c r="O57" s="3" t="str">
        <f t="shared" si="3"/>
        <v>Small Business</v>
      </c>
      <c r="P57" t="s">
        <v>61</v>
      </c>
      <c r="Q57" s="3" t="str">
        <f t="shared" si="4"/>
        <v>South</v>
      </c>
      <c r="R57" t="s">
        <v>99</v>
      </c>
      <c r="S57" t="s">
        <v>100</v>
      </c>
      <c r="T57" t="s">
        <v>85</v>
      </c>
      <c r="U57" s="3" t="str">
        <f t="shared" si="5"/>
        <v>Technology</v>
      </c>
      <c r="V57" t="s">
        <v>381</v>
      </c>
      <c r="W57" t="s">
        <v>382</v>
      </c>
      <c r="X57" t="s">
        <v>47</v>
      </c>
      <c r="Y57" s="3" t="str">
        <f t="shared" si="6"/>
        <v>Same Day</v>
      </c>
      <c r="Z57">
        <v>3</v>
      </c>
      <c r="AA57">
        <v>1516.24</v>
      </c>
      <c r="AB57">
        <v>0.25</v>
      </c>
      <c r="AC57">
        <f t="shared" si="7"/>
        <v>0.25</v>
      </c>
      <c r="AD57" t="str">
        <f t="shared" si="11"/>
        <v>Valid</v>
      </c>
      <c r="AE57">
        <v>3411.54</v>
      </c>
      <c r="AF57">
        <v>2803.13</v>
      </c>
      <c r="AG57">
        <v>608.41</v>
      </c>
      <c r="AH57" t="s">
        <v>33</v>
      </c>
      <c r="AI57" t="str">
        <f t="shared" si="12"/>
        <v>Include</v>
      </c>
      <c r="AJ57" t="str">
        <f t="shared" si="13"/>
        <v/>
      </c>
      <c r="AK57" t="s">
        <v>34</v>
      </c>
      <c r="AL57" t="str">
        <f t="shared" si="8"/>
        <v>Completed</v>
      </c>
      <c r="AM57" t="str">
        <f t="shared" si="14"/>
        <v>Include</v>
      </c>
      <c r="AN57">
        <f t="shared" si="15"/>
        <v>3411.54</v>
      </c>
      <c r="AO57">
        <f t="shared" si="16"/>
        <v>608.40999999999985</v>
      </c>
      <c r="AP57">
        <f>IF(AN57=0,0,AO57/AN57)</f>
        <v>0.17833881472883209</v>
      </c>
      <c r="AQ57" t="str">
        <f t="shared" si="17"/>
        <v>July</v>
      </c>
      <c r="AR57">
        <f t="shared" si="18"/>
        <v>2025</v>
      </c>
      <c r="AS57" t="str">
        <f t="shared" si="19"/>
        <v>Clean</v>
      </c>
      <c r="AT57" t="str">
        <f>IF(OR(AC57&lt;0,AC57&gt;0.5),"Invalid Discount","Valid")</f>
        <v>Valid</v>
      </c>
      <c r="AU57" t="str">
        <f>IF(G57&lt;E57,"Invalid Shipping Record","Valid")</f>
        <v>Valid</v>
      </c>
      <c r="AV57" t="str">
        <f>IF(OR(AL57="Cancelled",AH57="Failed"),"Exclude","Include")</f>
        <v>Include</v>
      </c>
      <c r="AW57" t="str">
        <f t="shared" si="20"/>
        <v>Match</v>
      </c>
      <c r="AX57" t="str">
        <f t="shared" si="21"/>
        <v>Match</v>
      </c>
    </row>
    <row r="58" spans="1:50">
      <c r="A58" t="s">
        <v>383</v>
      </c>
      <c r="B58">
        <f t="shared" si="9"/>
        <v>1</v>
      </c>
      <c r="C58" t="str">
        <f t="shared" si="10"/>
        <v/>
      </c>
      <c r="D58" s="3" t="s">
        <v>384</v>
      </c>
      <c r="E58" s="7">
        <v>45662</v>
      </c>
      <c r="F58" s="3" t="s">
        <v>385</v>
      </c>
      <c r="G58" s="7">
        <v>45663</v>
      </c>
      <c r="H58" s="7" t="str">
        <f t="shared" si="0"/>
        <v>Valid</v>
      </c>
      <c r="I58" s="9">
        <f t="shared" si="1"/>
        <v>1</v>
      </c>
      <c r="J58" s="9" t="str">
        <f t="shared" si="2"/>
        <v>Valid</v>
      </c>
      <c r="K58" t="s">
        <v>386</v>
      </c>
      <c r="L58" t="s">
        <v>24</v>
      </c>
      <c r="M58" t="s">
        <v>24</v>
      </c>
      <c r="N58" t="s">
        <v>25</v>
      </c>
      <c r="O58" s="3" t="str">
        <f t="shared" si="3"/>
        <v>Consumer</v>
      </c>
      <c r="P58" t="s">
        <v>61</v>
      </c>
      <c r="Q58" s="3" t="str">
        <f t="shared" si="4"/>
        <v>South</v>
      </c>
      <c r="R58" t="s">
        <v>228</v>
      </c>
      <c r="S58" t="s">
        <v>229</v>
      </c>
      <c r="T58" t="s">
        <v>29</v>
      </c>
      <c r="U58" s="3" t="str">
        <f t="shared" si="5"/>
        <v>Office Supplies</v>
      </c>
      <c r="V58" t="s">
        <v>197</v>
      </c>
      <c r="W58" t="s">
        <v>387</v>
      </c>
      <c r="X58" t="s">
        <v>32</v>
      </c>
      <c r="Y58" s="3" t="str">
        <f t="shared" si="6"/>
        <v>Second Class</v>
      </c>
      <c r="Z58">
        <v>3</v>
      </c>
      <c r="AA58">
        <v>3155.61</v>
      </c>
      <c r="AB58">
        <v>0</v>
      </c>
      <c r="AC58">
        <f t="shared" si="7"/>
        <v>0</v>
      </c>
      <c r="AD58" t="str">
        <f t="shared" si="11"/>
        <v>Valid</v>
      </c>
      <c r="AE58">
        <v>9466.83</v>
      </c>
      <c r="AF58">
        <v>6557.83</v>
      </c>
      <c r="AG58">
        <v>2909</v>
      </c>
      <c r="AH58" t="s">
        <v>123</v>
      </c>
      <c r="AI58" t="str">
        <f t="shared" si="12"/>
        <v>Exclude</v>
      </c>
      <c r="AJ58" t="str">
        <f t="shared" si="13"/>
        <v>Refunded Order</v>
      </c>
      <c r="AK58" t="s">
        <v>77</v>
      </c>
      <c r="AL58" t="str">
        <f t="shared" si="8"/>
        <v>Cancelled</v>
      </c>
      <c r="AM58" t="str">
        <f t="shared" si="14"/>
        <v>Exclude</v>
      </c>
      <c r="AN58">
        <f t="shared" si="15"/>
        <v>9466.83</v>
      </c>
      <c r="AO58">
        <f t="shared" si="16"/>
        <v>2909</v>
      </c>
      <c r="AP58">
        <f>IF(AN58=0,0,AO58/AN58)</f>
        <v>0.30728343067320318</v>
      </c>
      <c r="AQ58" t="str">
        <f t="shared" si="17"/>
        <v>January</v>
      </c>
      <c r="AR58">
        <f t="shared" si="18"/>
        <v>2025</v>
      </c>
      <c r="AS58" t="str">
        <f t="shared" si="19"/>
        <v>Clean</v>
      </c>
      <c r="AT58" t="str">
        <f>IF(OR(AC58&lt;0,AC58&gt;0.5),"Invalid Discount","Valid")</f>
        <v>Valid</v>
      </c>
      <c r="AU58" t="str">
        <f>IF(G58&lt;E58,"Invalid Shipping Record","Valid")</f>
        <v>Valid</v>
      </c>
      <c r="AV58" t="str">
        <f>IF(OR(AL58="Cancelled",AH58="Failed"),"Exclude","Include")</f>
        <v>Exclude</v>
      </c>
      <c r="AW58" t="str">
        <f t="shared" si="20"/>
        <v>Match</v>
      </c>
      <c r="AX58" t="str">
        <f t="shared" si="21"/>
        <v>Match</v>
      </c>
    </row>
    <row r="59" spans="1:50">
      <c r="A59" t="s">
        <v>388</v>
      </c>
      <c r="B59">
        <f t="shared" si="9"/>
        <v>1</v>
      </c>
      <c r="C59" t="str">
        <f t="shared" si="10"/>
        <v/>
      </c>
      <c r="D59" s="3" t="s">
        <v>389</v>
      </c>
      <c r="E59" s="7">
        <v>45329</v>
      </c>
      <c r="F59" s="3" t="s">
        <v>390</v>
      </c>
      <c r="G59" s="7">
        <v>45337</v>
      </c>
      <c r="H59" s="7" t="str">
        <f t="shared" si="0"/>
        <v>Valid</v>
      </c>
      <c r="I59" s="9">
        <f t="shared" si="1"/>
        <v>8</v>
      </c>
      <c r="J59" s="9" t="str">
        <f t="shared" si="2"/>
        <v>Valid</v>
      </c>
      <c r="K59" t="s">
        <v>391</v>
      </c>
      <c r="L59" t="s">
        <v>141</v>
      </c>
      <c r="M59" t="s">
        <v>141</v>
      </c>
      <c r="N59" t="s">
        <v>25</v>
      </c>
      <c r="O59" s="3" t="str">
        <f t="shared" si="3"/>
        <v>Consumer</v>
      </c>
      <c r="P59" t="s">
        <v>72</v>
      </c>
      <c r="Q59" s="3" t="str">
        <f t="shared" si="4"/>
        <v>West</v>
      </c>
      <c r="R59" t="s">
        <v>248</v>
      </c>
      <c r="S59" t="s">
        <v>249</v>
      </c>
      <c r="T59" t="s">
        <v>44</v>
      </c>
      <c r="U59" s="3" t="str">
        <f t="shared" si="5"/>
        <v>Furniture</v>
      </c>
      <c r="V59" t="s">
        <v>75</v>
      </c>
      <c r="W59" t="s">
        <v>392</v>
      </c>
      <c r="X59" t="s">
        <v>47</v>
      </c>
      <c r="Y59" s="3" t="str">
        <f t="shared" si="6"/>
        <v>Same Day</v>
      </c>
      <c r="Z59">
        <v>5</v>
      </c>
      <c r="AA59">
        <v>255.87</v>
      </c>
      <c r="AB59">
        <v>0</v>
      </c>
      <c r="AC59">
        <f t="shared" si="7"/>
        <v>0</v>
      </c>
      <c r="AD59" t="str">
        <f t="shared" si="11"/>
        <v>Valid</v>
      </c>
      <c r="AE59">
        <v>1279.3499999999999</v>
      </c>
      <c r="AF59">
        <v>1091.54</v>
      </c>
      <c r="AG59">
        <v>187.81</v>
      </c>
      <c r="AH59" t="s">
        <v>33</v>
      </c>
      <c r="AI59" t="str">
        <f t="shared" si="12"/>
        <v>Include</v>
      </c>
      <c r="AJ59" t="str">
        <f t="shared" si="13"/>
        <v/>
      </c>
      <c r="AK59" t="s">
        <v>34</v>
      </c>
      <c r="AL59" t="str">
        <f t="shared" si="8"/>
        <v>Completed</v>
      </c>
      <c r="AM59" t="str">
        <f t="shared" si="14"/>
        <v>Include</v>
      </c>
      <c r="AN59">
        <f t="shared" si="15"/>
        <v>1279.3499999999999</v>
      </c>
      <c r="AO59">
        <f t="shared" si="16"/>
        <v>187.80999999999995</v>
      </c>
      <c r="AP59">
        <f>IF(AN59=0,0,AO59/AN59)</f>
        <v>0.14680110993864068</v>
      </c>
      <c r="AQ59" t="str">
        <f t="shared" si="17"/>
        <v>February</v>
      </c>
      <c r="AR59">
        <f t="shared" si="18"/>
        <v>2024</v>
      </c>
      <c r="AS59" t="str">
        <f t="shared" si="19"/>
        <v>Clean</v>
      </c>
      <c r="AT59" t="str">
        <f>IF(OR(AC59&lt;0,AC59&gt;0.5),"Invalid Discount","Valid")</f>
        <v>Valid</v>
      </c>
      <c r="AU59" t="str">
        <f>IF(G59&lt;E59,"Invalid Shipping Record","Valid")</f>
        <v>Valid</v>
      </c>
      <c r="AV59" t="str">
        <f>IF(OR(AL59="Cancelled",AH59="Failed"),"Exclude","Include")</f>
        <v>Include</v>
      </c>
      <c r="AW59" t="str">
        <f t="shared" si="20"/>
        <v>Match</v>
      </c>
      <c r="AX59" t="str">
        <f t="shared" si="21"/>
        <v>Match</v>
      </c>
    </row>
    <row r="60" spans="1:50">
      <c r="A60" t="s">
        <v>393</v>
      </c>
      <c r="B60">
        <f t="shared" si="9"/>
        <v>1</v>
      </c>
      <c r="C60" t="str">
        <f t="shared" si="10"/>
        <v/>
      </c>
      <c r="D60" s="3" t="s">
        <v>394</v>
      </c>
      <c r="E60" s="7">
        <v>45536</v>
      </c>
      <c r="F60" s="3" t="s">
        <v>395</v>
      </c>
      <c r="G60" s="7">
        <v>45542</v>
      </c>
      <c r="H60" s="7" t="str">
        <f t="shared" si="0"/>
        <v>Valid</v>
      </c>
      <c r="I60" s="9">
        <f t="shared" si="1"/>
        <v>6</v>
      </c>
      <c r="J60" s="9" t="str">
        <f t="shared" si="2"/>
        <v>Valid</v>
      </c>
      <c r="K60" t="s">
        <v>396</v>
      </c>
      <c r="L60" t="s">
        <v>52</v>
      </c>
      <c r="M60" t="s">
        <v>52</v>
      </c>
      <c r="N60" t="s">
        <v>114</v>
      </c>
      <c r="O60" s="3" t="str">
        <f t="shared" si="3"/>
        <v>Home Office</v>
      </c>
      <c r="P60" t="s">
        <v>26</v>
      </c>
      <c r="Q60" s="3" t="str">
        <f t="shared" si="4"/>
        <v>North</v>
      </c>
      <c r="R60" t="s">
        <v>27</v>
      </c>
      <c r="S60" t="s">
        <v>28</v>
      </c>
      <c r="T60" t="s">
        <v>29</v>
      </c>
      <c r="U60" s="3" t="str">
        <f t="shared" si="5"/>
        <v>Office Supplies</v>
      </c>
      <c r="V60" t="s">
        <v>155</v>
      </c>
      <c r="W60" t="s">
        <v>397</v>
      </c>
      <c r="Y60" s="3" t="str">
        <f t="shared" si="6"/>
        <v>Unknown</v>
      </c>
      <c r="Z60">
        <v>9</v>
      </c>
      <c r="AA60">
        <v>1389.48</v>
      </c>
      <c r="AB60">
        <v>0.1</v>
      </c>
      <c r="AC60">
        <f t="shared" si="7"/>
        <v>0.1</v>
      </c>
      <c r="AD60" t="str">
        <f t="shared" si="11"/>
        <v>Valid</v>
      </c>
      <c r="AE60">
        <v>11254.79</v>
      </c>
      <c r="AF60">
        <v>6578.06</v>
      </c>
      <c r="AG60">
        <v>4676.7299999999996</v>
      </c>
      <c r="AH60" t="s">
        <v>136</v>
      </c>
      <c r="AI60" t="str">
        <f t="shared" si="12"/>
        <v>Include</v>
      </c>
      <c r="AJ60" t="str">
        <f t="shared" si="13"/>
        <v/>
      </c>
      <c r="AK60" t="s">
        <v>124</v>
      </c>
      <c r="AL60" t="str">
        <f t="shared" si="8"/>
        <v>Returned</v>
      </c>
      <c r="AM60" t="str">
        <f t="shared" si="14"/>
        <v>Include</v>
      </c>
      <c r="AN60">
        <f t="shared" si="15"/>
        <v>11254.788</v>
      </c>
      <c r="AO60">
        <f t="shared" si="16"/>
        <v>4676.7280000000001</v>
      </c>
      <c r="AP60">
        <f>IF(AN60=0,0,AO60/AN60)</f>
        <v>0.41553230500654476</v>
      </c>
      <c r="AQ60" t="str">
        <f t="shared" si="17"/>
        <v>September</v>
      </c>
      <c r="AR60">
        <f t="shared" si="18"/>
        <v>2024</v>
      </c>
      <c r="AS60" t="str">
        <f t="shared" si="19"/>
        <v>Warning</v>
      </c>
      <c r="AT60" t="str">
        <f>IF(OR(AC60&lt;0,AC60&gt;0.5),"Invalid Discount","Valid")</f>
        <v>Valid</v>
      </c>
      <c r="AU60" t="str">
        <f>IF(G60&lt;E60,"Invalid Shipping Record","Valid")</f>
        <v>Valid</v>
      </c>
      <c r="AV60" t="str">
        <f>IF(OR(AL60="Cancelled",AH60="Failed"),"Exclude","Include")</f>
        <v>Include</v>
      </c>
      <c r="AW60" t="str">
        <f t="shared" si="20"/>
        <v>Match</v>
      </c>
      <c r="AX60" t="str">
        <f t="shared" si="21"/>
        <v>Match</v>
      </c>
    </row>
    <row r="61" spans="1:50">
      <c r="A61" t="s">
        <v>398</v>
      </c>
      <c r="B61">
        <f t="shared" si="9"/>
        <v>1</v>
      </c>
      <c r="C61" t="str">
        <f t="shared" si="10"/>
        <v/>
      </c>
      <c r="D61" s="3" t="s">
        <v>399</v>
      </c>
      <c r="E61" s="7">
        <v>45493</v>
      </c>
      <c r="F61" s="3" t="s">
        <v>400</v>
      </c>
      <c r="G61" s="7">
        <v>45498</v>
      </c>
      <c r="H61" s="7" t="str">
        <f t="shared" si="0"/>
        <v>Valid</v>
      </c>
      <c r="I61" s="9">
        <f t="shared" si="1"/>
        <v>5</v>
      </c>
      <c r="J61" s="9" t="str">
        <f t="shared" si="2"/>
        <v>Valid</v>
      </c>
      <c r="K61" t="s">
        <v>401</v>
      </c>
      <c r="L61" t="s">
        <v>141</v>
      </c>
      <c r="M61" t="s">
        <v>141</v>
      </c>
      <c r="N61" t="s">
        <v>107</v>
      </c>
      <c r="O61" s="3" t="str">
        <f t="shared" si="3"/>
        <v>Corporate</v>
      </c>
      <c r="P61" t="s">
        <v>41</v>
      </c>
      <c r="Q61" s="3" t="str">
        <f t="shared" si="4"/>
        <v>East</v>
      </c>
      <c r="R61" t="s">
        <v>215</v>
      </c>
      <c r="S61" t="s">
        <v>216</v>
      </c>
      <c r="T61" t="s">
        <v>29</v>
      </c>
      <c r="U61" s="3" t="str">
        <f t="shared" si="5"/>
        <v>Office Supplies</v>
      </c>
      <c r="V61" t="s">
        <v>108</v>
      </c>
      <c r="W61" t="s">
        <v>402</v>
      </c>
      <c r="X61" t="s">
        <v>47</v>
      </c>
      <c r="Y61" s="3" t="str">
        <f t="shared" si="6"/>
        <v>Same Day</v>
      </c>
      <c r="Z61">
        <v>5</v>
      </c>
      <c r="AA61">
        <v>4133.8500000000004</v>
      </c>
      <c r="AB61">
        <v>0.2</v>
      </c>
      <c r="AC61">
        <f t="shared" si="7"/>
        <v>0.2</v>
      </c>
      <c r="AD61" t="str">
        <f t="shared" si="11"/>
        <v>Valid</v>
      </c>
      <c r="AE61">
        <v>16535.400000000001</v>
      </c>
      <c r="AF61">
        <v>12990.21</v>
      </c>
      <c r="AG61">
        <v>3545.19</v>
      </c>
      <c r="AH61" t="s">
        <v>33</v>
      </c>
      <c r="AI61" t="str">
        <f t="shared" si="12"/>
        <v>Exclude</v>
      </c>
      <c r="AJ61" t="str">
        <f t="shared" si="13"/>
        <v/>
      </c>
      <c r="AK61" t="s">
        <v>77</v>
      </c>
      <c r="AL61" t="str">
        <f t="shared" si="8"/>
        <v>Cancelled</v>
      </c>
      <c r="AM61" t="str">
        <f t="shared" si="14"/>
        <v>Exclude</v>
      </c>
      <c r="AN61">
        <f t="shared" si="15"/>
        <v>16535.400000000001</v>
      </c>
      <c r="AO61">
        <f t="shared" si="16"/>
        <v>3545.1900000000023</v>
      </c>
      <c r="AP61">
        <f>IF(AN61=0,0,AO61/AN61)</f>
        <v>0.21440001451431487</v>
      </c>
      <c r="AQ61" t="str">
        <f t="shared" si="17"/>
        <v>July</v>
      </c>
      <c r="AR61">
        <f t="shared" si="18"/>
        <v>2024</v>
      </c>
      <c r="AS61" t="str">
        <f t="shared" si="19"/>
        <v>Clean</v>
      </c>
      <c r="AT61" t="str">
        <f>IF(OR(AC61&lt;0,AC61&gt;0.5),"Invalid Discount","Valid")</f>
        <v>Valid</v>
      </c>
      <c r="AU61" t="str">
        <f>IF(G61&lt;E61,"Invalid Shipping Record","Valid")</f>
        <v>Valid</v>
      </c>
      <c r="AV61" t="str">
        <f>IF(OR(AL61="Cancelled",AH61="Failed"),"Exclude","Include")</f>
        <v>Exclude</v>
      </c>
      <c r="AW61" t="str">
        <f t="shared" si="20"/>
        <v>Match</v>
      </c>
      <c r="AX61" t="str">
        <f t="shared" si="21"/>
        <v>Match</v>
      </c>
    </row>
    <row r="62" spans="1:50">
      <c r="A62" t="s">
        <v>403</v>
      </c>
      <c r="B62">
        <f t="shared" si="9"/>
        <v>1</v>
      </c>
      <c r="C62" t="str">
        <f t="shared" si="10"/>
        <v/>
      </c>
      <c r="D62" s="3" t="s">
        <v>404</v>
      </c>
      <c r="E62" s="7">
        <v>45486</v>
      </c>
      <c r="F62" s="3" t="s">
        <v>405</v>
      </c>
      <c r="G62" s="7">
        <v>45492</v>
      </c>
      <c r="H62" s="7" t="str">
        <f t="shared" si="0"/>
        <v>Valid</v>
      </c>
      <c r="I62" s="9">
        <f t="shared" si="1"/>
        <v>6</v>
      </c>
      <c r="J62" s="9" t="str">
        <f t="shared" si="2"/>
        <v>Valid</v>
      </c>
      <c r="K62" t="s">
        <v>406</v>
      </c>
      <c r="L62" t="s">
        <v>71</v>
      </c>
      <c r="M62" t="s">
        <v>71</v>
      </c>
      <c r="N62" t="s">
        <v>107</v>
      </c>
      <c r="O62" s="3" t="str">
        <f t="shared" si="3"/>
        <v>Corporate</v>
      </c>
      <c r="P62" t="s">
        <v>41</v>
      </c>
      <c r="Q62" s="3" t="str">
        <f t="shared" si="4"/>
        <v>East</v>
      </c>
      <c r="R62" t="s">
        <v>215</v>
      </c>
      <c r="S62" t="s">
        <v>216</v>
      </c>
      <c r="T62" t="s">
        <v>29</v>
      </c>
      <c r="U62" s="3" t="str">
        <f t="shared" si="5"/>
        <v>Office Supplies</v>
      </c>
      <c r="V62" t="s">
        <v>108</v>
      </c>
      <c r="W62" t="s">
        <v>407</v>
      </c>
      <c r="X62" t="s">
        <v>47</v>
      </c>
      <c r="Y62" s="3" t="str">
        <f t="shared" si="6"/>
        <v>Same Day</v>
      </c>
      <c r="Z62">
        <v>3</v>
      </c>
      <c r="AA62">
        <v>275.76</v>
      </c>
      <c r="AB62">
        <v>0.2</v>
      </c>
      <c r="AC62">
        <f t="shared" si="7"/>
        <v>0.2</v>
      </c>
      <c r="AD62" t="str">
        <f t="shared" si="11"/>
        <v>Valid</v>
      </c>
      <c r="AE62">
        <v>661.82</v>
      </c>
      <c r="AF62">
        <v>481.47</v>
      </c>
      <c r="AG62">
        <v>180.35</v>
      </c>
      <c r="AH62" t="s">
        <v>123</v>
      </c>
      <c r="AI62" t="str">
        <f t="shared" si="12"/>
        <v>Exclude</v>
      </c>
      <c r="AJ62" t="str">
        <f t="shared" si="13"/>
        <v>Refunded Order</v>
      </c>
      <c r="AK62" t="s">
        <v>77</v>
      </c>
      <c r="AL62" t="str">
        <f t="shared" si="8"/>
        <v>Cancelled</v>
      </c>
      <c r="AM62" t="str">
        <f t="shared" si="14"/>
        <v>Exclude</v>
      </c>
      <c r="AN62">
        <f t="shared" si="15"/>
        <v>661.82400000000007</v>
      </c>
      <c r="AO62">
        <f t="shared" si="16"/>
        <v>180.35400000000004</v>
      </c>
      <c r="AP62">
        <f>IF(AN62=0,0,AO62/AN62)</f>
        <v>0.27251051639106472</v>
      </c>
      <c r="AQ62" t="str">
        <f t="shared" si="17"/>
        <v>July</v>
      </c>
      <c r="AR62">
        <f t="shared" si="18"/>
        <v>2024</v>
      </c>
      <c r="AS62" t="str">
        <f t="shared" si="19"/>
        <v>Clean</v>
      </c>
      <c r="AT62" t="str">
        <f>IF(OR(AC62&lt;0,AC62&gt;0.5),"Invalid Discount","Valid")</f>
        <v>Valid</v>
      </c>
      <c r="AU62" t="str">
        <f>IF(G62&lt;E62,"Invalid Shipping Record","Valid")</f>
        <v>Valid</v>
      </c>
      <c r="AV62" t="str">
        <f>IF(OR(AL62="Cancelled",AH62="Failed"),"Exclude","Include")</f>
        <v>Exclude</v>
      </c>
      <c r="AW62" t="str">
        <f t="shared" si="20"/>
        <v>Match</v>
      </c>
      <c r="AX62" t="str">
        <f t="shared" si="21"/>
        <v>Match</v>
      </c>
    </row>
    <row r="63" spans="1:50">
      <c r="A63" t="s">
        <v>408</v>
      </c>
      <c r="B63">
        <f t="shared" si="9"/>
        <v>1</v>
      </c>
      <c r="C63" t="str">
        <f t="shared" si="10"/>
        <v/>
      </c>
      <c r="D63" s="3" t="s">
        <v>409</v>
      </c>
      <c r="E63" s="7">
        <v>45398</v>
      </c>
      <c r="F63" s="3" t="s">
        <v>410</v>
      </c>
      <c r="G63" s="7">
        <v>45398</v>
      </c>
      <c r="H63" s="7" t="str">
        <f t="shared" si="0"/>
        <v>Valid</v>
      </c>
      <c r="I63" s="9">
        <f t="shared" si="1"/>
        <v>0</v>
      </c>
      <c r="J63" s="9" t="str">
        <f t="shared" si="2"/>
        <v>Valid</v>
      </c>
      <c r="K63" t="s">
        <v>411</v>
      </c>
      <c r="L63" t="s">
        <v>82</v>
      </c>
      <c r="M63" t="s">
        <v>82</v>
      </c>
      <c r="N63" t="s">
        <v>114</v>
      </c>
      <c r="O63" s="3" t="str">
        <f t="shared" si="3"/>
        <v>Home Office</v>
      </c>
      <c r="P63" t="s">
        <v>41</v>
      </c>
      <c r="Q63" s="3" t="str">
        <f t="shared" si="4"/>
        <v>East</v>
      </c>
      <c r="R63" t="s">
        <v>185</v>
      </c>
      <c r="S63" t="s">
        <v>186</v>
      </c>
      <c r="T63" t="s">
        <v>44</v>
      </c>
      <c r="U63" s="3" t="str">
        <f t="shared" si="5"/>
        <v>Furniture</v>
      </c>
      <c r="V63" t="s">
        <v>203</v>
      </c>
      <c r="W63" t="s">
        <v>412</v>
      </c>
      <c r="X63" t="s">
        <v>66</v>
      </c>
      <c r="Y63" s="3" t="str">
        <f t="shared" si="6"/>
        <v>Standard Class</v>
      </c>
      <c r="Z63">
        <v>1</v>
      </c>
      <c r="AA63">
        <v>949.59</v>
      </c>
      <c r="AB63">
        <v>0</v>
      </c>
      <c r="AC63">
        <f t="shared" si="7"/>
        <v>0</v>
      </c>
      <c r="AD63" t="str">
        <f t="shared" si="11"/>
        <v>Valid</v>
      </c>
      <c r="AE63">
        <v>949.59</v>
      </c>
      <c r="AF63">
        <v>751.25</v>
      </c>
      <c r="AG63">
        <v>198.34</v>
      </c>
      <c r="AH63" t="s">
        <v>33</v>
      </c>
      <c r="AI63" t="str">
        <f t="shared" si="12"/>
        <v>Include</v>
      </c>
      <c r="AJ63" t="str">
        <f t="shared" si="13"/>
        <v/>
      </c>
      <c r="AK63" t="s">
        <v>34</v>
      </c>
      <c r="AL63" t="str">
        <f t="shared" si="8"/>
        <v>Completed</v>
      </c>
      <c r="AM63" t="str">
        <f t="shared" si="14"/>
        <v>Include</v>
      </c>
      <c r="AN63">
        <f t="shared" si="15"/>
        <v>949.59</v>
      </c>
      <c r="AO63">
        <f t="shared" si="16"/>
        <v>198.34000000000003</v>
      </c>
      <c r="AP63">
        <f>IF(AN63=0,0,AO63/AN63)</f>
        <v>0.20886909087079689</v>
      </c>
      <c r="AQ63" t="str">
        <f t="shared" si="17"/>
        <v>April</v>
      </c>
      <c r="AR63">
        <f t="shared" si="18"/>
        <v>2024</v>
      </c>
      <c r="AS63" t="str">
        <f t="shared" si="19"/>
        <v>Clean</v>
      </c>
      <c r="AT63" t="str">
        <f>IF(OR(AC63&lt;0,AC63&gt;0.5),"Invalid Discount","Valid")</f>
        <v>Valid</v>
      </c>
      <c r="AU63" t="str">
        <f>IF(G63&lt;E63,"Invalid Shipping Record","Valid")</f>
        <v>Valid</v>
      </c>
      <c r="AV63" t="str">
        <f>IF(OR(AL63="Cancelled",AH63="Failed"),"Exclude","Include")</f>
        <v>Include</v>
      </c>
      <c r="AW63" t="str">
        <f t="shared" si="20"/>
        <v>Match</v>
      </c>
      <c r="AX63" t="str">
        <f t="shared" si="21"/>
        <v>Match</v>
      </c>
    </row>
    <row r="64" spans="1:50">
      <c r="A64" t="s">
        <v>413</v>
      </c>
      <c r="B64">
        <f t="shared" si="9"/>
        <v>1</v>
      </c>
      <c r="C64" t="str">
        <f t="shared" si="10"/>
        <v/>
      </c>
      <c r="D64" s="3" t="s">
        <v>414</v>
      </c>
      <c r="E64" s="7">
        <v>45595</v>
      </c>
      <c r="F64" s="3" t="s">
        <v>415</v>
      </c>
      <c r="G64" s="7">
        <v>45598</v>
      </c>
      <c r="H64" s="7" t="str">
        <f t="shared" si="0"/>
        <v>Valid</v>
      </c>
      <c r="I64" s="9">
        <f t="shared" si="1"/>
        <v>3</v>
      </c>
      <c r="J64" s="9" t="str">
        <f t="shared" si="2"/>
        <v>Valid</v>
      </c>
      <c r="K64" t="s">
        <v>416</v>
      </c>
      <c r="L64" t="s">
        <v>167</v>
      </c>
      <c r="M64" t="s">
        <v>167</v>
      </c>
      <c r="N64" t="s">
        <v>114</v>
      </c>
      <c r="O64" s="3" t="str">
        <f t="shared" si="3"/>
        <v>Home Office</v>
      </c>
      <c r="P64" t="s">
        <v>26</v>
      </c>
      <c r="Q64" s="3" t="str">
        <f t="shared" si="4"/>
        <v>North</v>
      </c>
      <c r="R64" t="s">
        <v>27</v>
      </c>
      <c r="S64" t="s">
        <v>28</v>
      </c>
      <c r="T64" t="s">
        <v>85</v>
      </c>
      <c r="U64" s="3" t="str">
        <f t="shared" si="5"/>
        <v>Technology</v>
      </c>
      <c r="V64" t="s">
        <v>222</v>
      </c>
      <c r="W64" t="s">
        <v>417</v>
      </c>
      <c r="X64" t="s">
        <v>66</v>
      </c>
      <c r="Y64" s="3" t="str">
        <f t="shared" si="6"/>
        <v>Standard Class</v>
      </c>
      <c r="Z64">
        <v>9</v>
      </c>
      <c r="AA64">
        <v>3042.29</v>
      </c>
      <c r="AB64">
        <v>0.2</v>
      </c>
      <c r="AC64">
        <f t="shared" si="7"/>
        <v>0.2</v>
      </c>
      <c r="AD64" t="str">
        <f t="shared" si="11"/>
        <v>Valid</v>
      </c>
      <c r="AE64">
        <v>21904.49</v>
      </c>
      <c r="AF64">
        <v>13570.55</v>
      </c>
      <c r="AG64">
        <v>8333.94</v>
      </c>
      <c r="AH64" t="s">
        <v>33</v>
      </c>
      <c r="AI64" t="str">
        <f t="shared" si="12"/>
        <v>Include</v>
      </c>
      <c r="AJ64" t="str">
        <f t="shared" si="13"/>
        <v/>
      </c>
      <c r="AK64" t="s">
        <v>34</v>
      </c>
      <c r="AL64" t="str">
        <f t="shared" si="8"/>
        <v>Completed</v>
      </c>
      <c r="AM64" t="str">
        <f t="shared" si="14"/>
        <v>Include</v>
      </c>
      <c r="AN64">
        <f t="shared" si="15"/>
        <v>21904.488000000001</v>
      </c>
      <c r="AO64">
        <f t="shared" si="16"/>
        <v>8333.9380000000019</v>
      </c>
      <c r="AP64">
        <f>IF(AN64=0,0,AO64/AN64)</f>
        <v>0.38046714445003244</v>
      </c>
      <c r="AQ64" t="str">
        <f t="shared" si="17"/>
        <v>October</v>
      </c>
      <c r="AR64">
        <f t="shared" si="18"/>
        <v>2024</v>
      </c>
      <c r="AS64" t="str">
        <f t="shared" si="19"/>
        <v>Clean</v>
      </c>
      <c r="AT64" t="str">
        <f>IF(OR(AC64&lt;0,AC64&gt;0.5),"Invalid Discount","Valid")</f>
        <v>Valid</v>
      </c>
      <c r="AU64" t="str">
        <f>IF(G64&lt;E64,"Invalid Shipping Record","Valid")</f>
        <v>Valid</v>
      </c>
      <c r="AV64" t="str">
        <f>IF(OR(AL64="Cancelled",AH64="Failed"),"Exclude","Include")</f>
        <v>Include</v>
      </c>
      <c r="AW64" t="str">
        <f t="shared" si="20"/>
        <v>Match</v>
      </c>
      <c r="AX64" t="str">
        <f t="shared" si="21"/>
        <v>Match</v>
      </c>
    </row>
    <row r="65" spans="1:50">
      <c r="A65" t="s">
        <v>418</v>
      </c>
      <c r="B65">
        <f t="shared" si="9"/>
        <v>1</v>
      </c>
      <c r="C65" t="str">
        <f t="shared" si="10"/>
        <v/>
      </c>
      <c r="D65" s="3" t="s">
        <v>419</v>
      </c>
      <c r="E65" s="7">
        <v>45316</v>
      </c>
      <c r="F65" s="3" t="s">
        <v>420</v>
      </c>
      <c r="G65" s="7">
        <v>45323</v>
      </c>
      <c r="H65" s="7" t="str">
        <f t="shared" si="0"/>
        <v>Valid</v>
      </c>
      <c r="I65" s="9">
        <f t="shared" si="1"/>
        <v>7</v>
      </c>
      <c r="J65" s="9" t="str">
        <f t="shared" si="2"/>
        <v>Valid</v>
      </c>
      <c r="K65" t="s">
        <v>421</v>
      </c>
      <c r="L65" t="s">
        <v>167</v>
      </c>
      <c r="M65" t="s">
        <v>167</v>
      </c>
      <c r="N65" t="s">
        <v>114</v>
      </c>
      <c r="O65" s="3" t="str">
        <f t="shared" si="3"/>
        <v>Home Office</v>
      </c>
      <c r="P65" t="s">
        <v>26</v>
      </c>
      <c r="Q65" s="3" t="str">
        <f t="shared" si="4"/>
        <v>North</v>
      </c>
      <c r="R65" t="s">
        <v>322</v>
      </c>
      <c r="S65" t="s">
        <v>323</v>
      </c>
      <c r="T65" t="s">
        <v>29</v>
      </c>
      <c r="U65" s="3" t="str">
        <f t="shared" si="5"/>
        <v>Office Supplies</v>
      </c>
      <c r="V65" t="s">
        <v>197</v>
      </c>
      <c r="W65" t="s">
        <v>422</v>
      </c>
      <c r="X65" t="s">
        <v>47</v>
      </c>
      <c r="Y65" s="3" t="str">
        <f t="shared" si="6"/>
        <v>Same Day</v>
      </c>
      <c r="Z65">
        <v>2</v>
      </c>
      <c r="AA65">
        <v>2832.77</v>
      </c>
      <c r="AB65">
        <v>0.15</v>
      </c>
      <c r="AC65">
        <f t="shared" si="7"/>
        <v>0.15</v>
      </c>
      <c r="AD65" t="str">
        <f t="shared" si="11"/>
        <v>Valid</v>
      </c>
      <c r="AE65">
        <v>4815.71</v>
      </c>
      <c r="AF65">
        <v>3027.75</v>
      </c>
      <c r="AG65">
        <v>1917.47</v>
      </c>
      <c r="AH65" t="s">
        <v>33</v>
      </c>
      <c r="AI65" t="str">
        <f t="shared" si="12"/>
        <v>Include</v>
      </c>
      <c r="AJ65" t="str">
        <f t="shared" si="13"/>
        <v/>
      </c>
      <c r="AK65" t="s">
        <v>34</v>
      </c>
      <c r="AL65" t="str">
        <f t="shared" si="8"/>
        <v>Completed</v>
      </c>
      <c r="AM65" t="str">
        <f t="shared" si="14"/>
        <v>Include</v>
      </c>
      <c r="AN65">
        <f t="shared" si="15"/>
        <v>4815.7089999999998</v>
      </c>
      <c r="AO65">
        <f t="shared" si="16"/>
        <v>1787.9589999999998</v>
      </c>
      <c r="AP65">
        <f>IF(AN65=0,0,AO65/AN65)</f>
        <v>0.37127637903369992</v>
      </c>
      <c r="AQ65" t="str">
        <f t="shared" si="17"/>
        <v>January</v>
      </c>
      <c r="AR65">
        <f t="shared" si="18"/>
        <v>2024</v>
      </c>
      <c r="AS65" t="str">
        <f t="shared" si="19"/>
        <v>Clean</v>
      </c>
      <c r="AT65" t="str">
        <f>IF(OR(AC65&lt;0,AC65&gt;0.5),"Invalid Discount","Valid")</f>
        <v>Valid</v>
      </c>
      <c r="AU65" t="str">
        <f>IF(G65&lt;E65,"Invalid Shipping Record","Valid")</f>
        <v>Valid</v>
      </c>
      <c r="AV65" t="str">
        <f>IF(OR(AL65="Cancelled",AH65="Failed"),"Exclude","Include")</f>
        <v>Include</v>
      </c>
      <c r="AW65" t="str">
        <f t="shared" si="20"/>
        <v>Match</v>
      </c>
      <c r="AX65" t="str">
        <f t="shared" si="21"/>
        <v>Mismatch</v>
      </c>
    </row>
    <row r="66" spans="1:50">
      <c r="A66" t="s">
        <v>423</v>
      </c>
      <c r="B66">
        <f t="shared" si="9"/>
        <v>1</v>
      </c>
      <c r="C66" t="str">
        <f t="shared" si="10"/>
        <v/>
      </c>
      <c r="D66" s="3" t="s">
        <v>424</v>
      </c>
      <c r="E66" s="7">
        <v>45649</v>
      </c>
      <c r="F66" s="3" t="s">
        <v>425</v>
      </c>
      <c r="G66" s="7">
        <v>45655</v>
      </c>
      <c r="H66" s="7" t="str">
        <f t="shared" ref="H66:H129" si="22">IF(G66&lt;E66,"Invalid Shipping Record","Valid")</f>
        <v>Valid</v>
      </c>
      <c r="I66" s="9">
        <f t="shared" ref="I66:I129" si="23">G66-E66</f>
        <v>6</v>
      </c>
      <c r="J66" s="9" t="str">
        <f t="shared" ref="J66:J129" si="24">IF(OR(E66="",G66=""),"Missing Date",IF(OR(NOT(ISNUMBER(E66)),NOT(ISNUMBER(G66))),"Invalid Date",IF(G66&lt;E66,"Invalid Shipping Record","Valid")))</f>
        <v>Valid</v>
      </c>
      <c r="K66" t="s">
        <v>426</v>
      </c>
      <c r="L66" t="s">
        <v>161</v>
      </c>
      <c r="M66" t="s">
        <v>161</v>
      </c>
      <c r="N66" t="s">
        <v>107</v>
      </c>
      <c r="O66" s="3" t="str">
        <f t="shared" ref="O66:O129" si="25">PROPER(TRIM(N66))</f>
        <v>Corporate</v>
      </c>
      <c r="P66" t="s">
        <v>41</v>
      </c>
      <c r="Q66" s="3" t="str">
        <f t="shared" ref="Q66:Q129" si="26">IF(TRIM(P66)="","Unknown",PROPER(TRIM(P66)))</f>
        <v>East</v>
      </c>
      <c r="R66" t="s">
        <v>310</v>
      </c>
      <c r="S66" t="s">
        <v>311</v>
      </c>
      <c r="T66" t="s">
        <v>29</v>
      </c>
      <c r="U66" s="3" t="str">
        <f t="shared" ref="U66:U129" si="27">PROPER(TRIM(T66))</f>
        <v>Office Supplies</v>
      </c>
      <c r="V66" t="s">
        <v>30</v>
      </c>
      <c r="W66" t="s">
        <v>427</v>
      </c>
      <c r="X66" t="s">
        <v>55</v>
      </c>
      <c r="Y66" s="3" t="str">
        <f t="shared" ref="Y66:Y129" si="28">IF(TRIM(X66)="","Unknown",PROPER(TRIM(X66)))</f>
        <v>First Class</v>
      </c>
      <c r="Z66">
        <v>7</v>
      </c>
      <c r="AA66">
        <v>447.84</v>
      </c>
      <c r="AB66">
        <v>0</v>
      </c>
      <c r="AC66">
        <f t="shared" ref="AC66:AC129" si="29">IF(AND(AB66=" ",Z66=" ",AA66=" ",AF66=" "),0,AB66)</f>
        <v>0</v>
      </c>
      <c r="AD66" t="str">
        <f t="shared" si="11"/>
        <v>Valid</v>
      </c>
      <c r="AE66">
        <v>3134.88</v>
      </c>
      <c r="AF66">
        <v>2367.63</v>
      </c>
      <c r="AG66">
        <v>767.25</v>
      </c>
      <c r="AH66" t="s">
        <v>123</v>
      </c>
      <c r="AI66" t="str">
        <f t="shared" si="12"/>
        <v>Include</v>
      </c>
      <c r="AJ66" t="str">
        <f t="shared" si="13"/>
        <v>Refunded Order</v>
      </c>
      <c r="AK66" t="s">
        <v>124</v>
      </c>
      <c r="AL66" t="str">
        <f t="shared" ref="AL66:AL129" si="30">PROPER(TRIM(AK66))</f>
        <v>Returned</v>
      </c>
      <c r="AM66" t="str">
        <f t="shared" si="14"/>
        <v>Include</v>
      </c>
      <c r="AN66">
        <f t="shared" si="15"/>
        <v>3134.8799999999997</v>
      </c>
      <c r="AO66">
        <f t="shared" si="16"/>
        <v>767.24999999999955</v>
      </c>
      <c r="AP66">
        <f>IF(AN66=0,0,AO66/AN66)</f>
        <v>0.24474621038125849</v>
      </c>
      <c r="AQ66" t="str">
        <f t="shared" si="17"/>
        <v>December</v>
      </c>
      <c r="AR66">
        <f t="shared" si="18"/>
        <v>2024</v>
      </c>
      <c r="AS66" t="str">
        <f t="shared" si="19"/>
        <v>Clean</v>
      </c>
      <c r="AT66" t="str">
        <f>IF(OR(AC66&lt;0,AC66&gt;0.5),"Invalid Discount","Valid")</f>
        <v>Valid</v>
      </c>
      <c r="AU66" t="str">
        <f>IF(G66&lt;E66,"Invalid Shipping Record","Valid")</f>
        <v>Valid</v>
      </c>
      <c r="AV66" t="str">
        <f>IF(OR(AL66="Cancelled",AH66="Failed"),"Exclude","Include")</f>
        <v>Include</v>
      </c>
      <c r="AW66" t="str">
        <f t="shared" si="20"/>
        <v>Match</v>
      </c>
      <c r="AX66" t="str">
        <f t="shared" si="21"/>
        <v>Match</v>
      </c>
    </row>
    <row r="67" spans="1:50">
      <c r="A67" t="s">
        <v>428</v>
      </c>
      <c r="B67">
        <f t="shared" ref="B67:B91" si="31">COUNTIF($A:$A,A67)</f>
        <v>1</v>
      </c>
      <c r="C67" t="str">
        <f t="shared" ref="C67:C130" si="32">IF(B67&gt;1,"Review Required","")</f>
        <v/>
      </c>
      <c r="D67" s="3" t="s">
        <v>429</v>
      </c>
      <c r="E67" s="7">
        <v>45404</v>
      </c>
      <c r="F67" s="3" t="s">
        <v>430</v>
      </c>
      <c r="G67" s="7">
        <v>45409</v>
      </c>
      <c r="H67" s="7" t="str">
        <f t="shared" si="22"/>
        <v>Valid</v>
      </c>
      <c r="I67" s="9">
        <f t="shared" si="23"/>
        <v>5</v>
      </c>
      <c r="J67" s="9" t="str">
        <f t="shared" si="24"/>
        <v>Valid</v>
      </c>
      <c r="K67" t="s">
        <v>431</v>
      </c>
      <c r="L67" t="s">
        <v>39</v>
      </c>
      <c r="M67" t="s">
        <v>39</v>
      </c>
      <c r="N67" t="s">
        <v>114</v>
      </c>
      <c r="O67" s="3" t="str">
        <f t="shared" si="25"/>
        <v>Home Office</v>
      </c>
      <c r="P67" t="s">
        <v>72</v>
      </c>
      <c r="Q67" s="3" t="str">
        <f t="shared" si="26"/>
        <v>West</v>
      </c>
      <c r="R67" t="s">
        <v>73</v>
      </c>
      <c r="S67" t="s">
        <v>74</v>
      </c>
      <c r="T67" t="s">
        <v>29</v>
      </c>
      <c r="U67" s="3" t="str">
        <f t="shared" si="27"/>
        <v>Office Supplies</v>
      </c>
      <c r="V67" t="s">
        <v>30</v>
      </c>
      <c r="W67" t="s">
        <v>432</v>
      </c>
      <c r="X67" t="s">
        <v>32</v>
      </c>
      <c r="Y67" s="3" t="str">
        <f t="shared" si="28"/>
        <v>Second Class</v>
      </c>
      <c r="Z67">
        <v>1</v>
      </c>
      <c r="AA67">
        <v>4280.1899999999996</v>
      </c>
      <c r="AB67">
        <v>0.05</v>
      </c>
      <c r="AC67">
        <f t="shared" si="29"/>
        <v>0.05</v>
      </c>
      <c r="AD67" t="str">
        <f t="shared" ref="AD67:AD130" si="33">IF(AC67&lt;0,"Invalid Discount","Valid")</f>
        <v>Valid</v>
      </c>
      <c r="AE67">
        <v>4066.18</v>
      </c>
      <c r="AF67">
        <v>2628.92</v>
      </c>
      <c r="AG67">
        <v>1437.26</v>
      </c>
      <c r="AH67" t="s">
        <v>33</v>
      </c>
      <c r="AI67" t="str">
        <f t="shared" ref="AI67:AI130" si="34">IF(OR(AH67="Failed",AL67="Cancelled"),"Exclude","Include")</f>
        <v>Include</v>
      </c>
      <c r="AJ67" t="str">
        <f t="shared" ref="AJ67:AJ130" si="35">IF(AH67="Refunded","Refunded Order","")</f>
        <v/>
      </c>
      <c r="AK67" t="s">
        <v>34</v>
      </c>
      <c r="AL67" t="str">
        <f t="shared" si="30"/>
        <v>Completed</v>
      </c>
      <c r="AM67" t="str">
        <f t="shared" ref="AM67:AM130" si="36">IF(AL67="Cancelled","Exclude","Include")</f>
        <v>Include</v>
      </c>
      <c r="AN67">
        <f t="shared" ref="AN67:AN130" si="37">Z67*AA67*(1-AC67)</f>
        <v>4066.1804999999995</v>
      </c>
      <c r="AO67">
        <f t="shared" ref="AO67:AO130" si="38">AN67-AF67</f>
        <v>1437.2604999999994</v>
      </c>
      <c r="AP67">
        <f>IF(AN67=0,0,AO67/AN67)</f>
        <v>0.35346696980126674</v>
      </c>
      <c r="AQ67" t="str">
        <f t="shared" ref="AQ67:AQ130" si="39">TEXT(E67,"mmmm")</f>
        <v>April</v>
      </c>
      <c r="AR67">
        <f t="shared" ref="AR67:AR130" si="40">YEAR(E67)</f>
        <v>2024</v>
      </c>
      <c r="AS67" t="str">
        <f t="shared" ref="AS67:AS130" si="41">IF(OR(AC67&lt;0,AC67&gt;1,G67&lt;E67),"Invalid",IF(OR(Q67="Unknown",Y67="Unknown"),"Warning","Clean"))</f>
        <v>Clean</v>
      </c>
      <c r="AT67" t="str">
        <f>IF(OR(AC67&lt;0,AC67&gt;0.5),"Invalid Discount","Valid")</f>
        <v>Valid</v>
      </c>
      <c r="AU67" t="str">
        <f>IF(G67&lt;E67,"Invalid Shipping Record","Valid")</f>
        <v>Valid</v>
      </c>
      <c r="AV67" t="str">
        <f>IF(OR(AL67="Cancelled",AH67="Failed"),"Exclude","Include")</f>
        <v>Include</v>
      </c>
      <c r="AW67" t="str">
        <f t="shared" ref="AW67:AW130" si="42">IF(ROUND(AE67,2)=ROUND(AN67,2),"Match","Mismatch")</f>
        <v>Match</v>
      </c>
      <c r="AX67" t="str">
        <f t="shared" ref="AX67:AX130" si="43">IF(ROUND(AG67,2)=ROUND(AO67,2),"Match","Mismatch")</f>
        <v>Match</v>
      </c>
    </row>
    <row r="68" spans="1:50">
      <c r="A68" t="s">
        <v>433</v>
      </c>
      <c r="B68">
        <f t="shared" si="31"/>
        <v>1</v>
      </c>
      <c r="C68" t="str">
        <f t="shared" si="32"/>
        <v/>
      </c>
      <c r="D68" s="3" t="s">
        <v>434</v>
      </c>
      <c r="E68" s="7">
        <v>45897</v>
      </c>
      <c r="F68" s="3" t="s">
        <v>435</v>
      </c>
      <c r="G68" s="7">
        <v>45901</v>
      </c>
      <c r="H68" s="7" t="str">
        <f t="shared" si="22"/>
        <v>Valid</v>
      </c>
      <c r="I68" s="9">
        <f t="shared" si="23"/>
        <v>4</v>
      </c>
      <c r="J68" s="9" t="str">
        <f t="shared" si="24"/>
        <v>Valid</v>
      </c>
      <c r="K68" t="s">
        <v>436</v>
      </c>
      <c r="L68" t="s">
        <v>24</v>
      </c>
      <c r="M68" t="s">
        <v>24</v>
      </c>
      <c r="N68" t="s">
        <v>40</v>
      </c>
      <c r="O68" s="3" t="str">
        <f t="shared" si="25"/>
        <v>Small Business</v>
      </c>
      <c r="P68" t="s">
        <v>61</v>
      </c>
      <c r="Q68" s="3" t="str">
        <f t="shared" si="26"/>
        <v>South</v>
      </c>
      <c r="R68" t="s">
        <v>338</v>
      </c>
      <c r="S68" t="s">
        <v>339</v>
      </c>
      <c r="T68" t="s">
        <v>85</v>
      </c>
      <c r="U68" s="3" t="str">
        <f t="shared" si="27"/>
        <v>Technology</v>
      </c>
      <c r="V68" t="s">
        <v>86</v>
      </c>
      <c r="W68" t="s">
        <v>437</v>
      </c>
      <c r="X68" t="s">
        <v>47</v>
      </c>
      <c r="Y68" s="3" t="str">
        <f t="shared" si="28"/>
        <v>Same Day</v>
      </c>
      <c r="Z68">
        <v>7</v>
      </c>
      <c r="AA68">
        <v>1057.46</v>
      </c>
      <c r="AB68">
        <v>0.05</v>
      </c>
      <c r="AC68">
        <f t="shared" si="29"/>
        <v>0.05</v>
      </c>
      <c r="AD68" t="str">
        <f t="shared" si="33"/>
        <v>Valid</v>
      </c>
      <c r="AE68">
        <v>7032.11</v>
      </c>
      <c r="AF68">
        <v>4610.34</v>
      </c>
      <c r="AG68">
        <v>2421.77</v>
      </c>
      <c r="AH68" t="s">
        <v>33</v>
      </c>
      <c r="AI68" t="str">
        <f t="shared" si="34"/>
        <v>Include</v>
      </c>
      <c r="AJ68" t="str">
        <f t="shared" si="35"/>
        <v/>
      </c>
      <c r="AK68" t="s">
        <v>34</v>
      </c>
      <c r="AL68" t="str">
        <f t="shared" si="30"/>
        <v>Completed</v>
      </c>
      <c r="AM68" t="str">
        <f t="shared" si="36"/>
        <v>Include</v>
      </c>
      <c r="AN68">
        <f t="shared" si="37"/>
        <v>7032.1089999999995</v>
      </c>
      <c r="AO68">
        <f t="shared" si="38"/>
        <v>2421.7689999999993</v>
      </c>
      <c r="AP68">
        <f>IF(AN68=0,0,AO68/AN68)</f>
        <v>0.34438729547565311</v>
      </c>
      <c r="AQ68" t="str">
        <f t="shared" si="39"/>
        <v>August</v>
      </c>
      <c r="AR68">
        <f t="shared" si="40"/>
        <v>2025</v>
      </c>
      <c r="AS68" t="str">
        <f t="shared" si="41"/>
        <v>Clean</v>
      </c>
      <c r="AT68" t="str">
        <f>IF(OR(AC68&lt;0,AC68&gt;0.5),"Invalid Discount","Valid")</f>
        <v>Valid</v>
      </c>
      <c r="AU68" t="str">
        <f>IF(G68&lt;E68,"Invalid Shipping Record","Valid")</f>
        <v>Valid</v>
      </c>
      <c r="AV68" t="str">
        <f>IF(OR(AL68="Cancelled",AH68="Failed"),"Exclude","Include")</f>
        <v>Include</v>
      </c>
      <c r="AW68" t="str">
        <f t="shared" si="42"/>
        <v>Match</v>
      </c>
      <c r="AX68" t="str">
        <f t="shared" si="43"/>
        <v>Match</v>
      </c>
    </row>
    <row r="69" spans="1:50">
      <c r="A69" t="s">
        <v>438</v>
      </c>
      <c r="B69">
        <f t="shared" si="31"/>
        <v>1</v>
      </c>
      <c r="C69" t="str">
        <f t="shared" si="32"/>
        <v/>
      </c>
      <c r="D69" s="3" t="s">
        <v>439</v>
      </c>
      <c r="E69" s="7">
        <v>45691</v>
      </c>
      <c r="F69" s="3" t="s">
        <v>440</v>
      </c>
      <c r="G69" s="7">
        <v>45695</v>
      </c>
      <c r="H69" s="7" t="str">
        <f t="shared" si="22"/>
        <v>Valid</v>
      </c>
      <c r="I69" s="9">
        <f t="shared" si="23"/>
        <v>4</v>
      </c>
      <c r="J69" s="9" t="str">
        <f t="shared" si="24"/>
        <v>Valid</v>
      </c>
      <c r="K69" t="s">
        <v>441</v>
      </c>
      <c r="L69" t="s">
        <v>365</v>
      </c>
      <c r="M69" t="s">
        <v>365</v>
      </c>
      <c r="N69" t="s">
        <v>25</v>
      </c>
      <c r="O69" s="3" t="str">
        <f t="shared" si="25"/>
        <v>Consumer</v>
      </c>
      <c r="P69" t="s">
        <v>26</v>
      </c>
      <c r="Q69" s="3" t="str">
        <f t="shared" si="26"/>
        <v>North</v>
      </c>
      <c r="R69" t="s">
        <v>322</v>
      </c>
      <c r="S69" t="s">
        <v>323</v>
      </c>
      <c r="T69" t="s">
        <v>29</v>
      </c>
      <c r="U69" s="3" t="str">
        <f t="shared" si="27"/>
        <v>Office Supplies</v>
      </c>
      <c r="V69" t="s">
        <v>30</v>
      </c>
      <c r="W69" t="s">
        <v>442</v>
      </c>
      <c r="X69" t="s">
        <v>55</v>
      </c>
      <c r="Y69" s="3" t="str">
        <f t="shared" si="28"/>
        <v>First Class</v>
      </c>
      <c r="Z69">
        <v>7</v>
      </c>
      <c r="AA69">
        <v>3609.34</v>
      </c>
      <c r="AB69">
        <v>0.05</v>
      </c>
      <c r="AC69">
        <f t="shared" si="29"/>
        <v>0.05</v>
      </c>
      <c r="AD69" t="str">
        <f t="shared" si="33"/>
        <v>Valid</v>
      </c>
      <c r="AE69">
        <v>24002.11</v>
      </c>
      <c r="AF69">
        <v>18707.57</v>
      </c>
      <c r="AG69">
        <v>5294.54</v>
      </c>
      <c r="AH69" t="s">
        <v>33</v>
      </c>
      <c r="AI69" t="str">
        <f t="shared" si="34"/>
        <v>Include</v>
      </c>
      <c r="AJ69" t="str">
        <f t="shared" si="35"/>
        <v/>
      </c>
      <c r="AK69" t="s">
        <v>34</v>
      </c>
      <c r="AL69" t="str">
        <f t="shared" si="30"/>
        <v>Completed</v>
      </c>
      <c r="AM69" t="str">
        <f t="shared" si="36"/>
        <v>Include</v>
      </c>
      <c r="AN69">
        <f t="shared" si="37"/>
        <v>24002.111000000001</v>
      </c>
      <c r="AO69">
        <f t="shared" si="38"/>
        <v>5294.5410000000011</v>
      </c>
      <c r="AP69">
        <f>IF(AN69=0,0,AO69/AN69)</f>
        <v>0.2205864725815159</v>
      </c>
      <c r="AQ69" t="str">
        <f t="shared" si="39"/>
        <v>February</v>
      </c>
      <c r="AR69">
        <f t="shared" si="40"/>
        <v>2025</v>
      </c>
      <c r="AS69" t="str">
        <f t="shared" si="41"/>
        <v>Clean</v>
      </c>
      <c r="AT69" t="str">
        <f>IF(OR(AC69&lt;0,AC69&gt;0.5),"Invalid Discount","Valid")</f>
        <v>Valid</v>
      </c>
      <c r="AU69" t="str">
        <f>IF(G69&lt;E69,"Invalid Shipping Record","Valid")</f>
        <v>Valid</v>
      </c>
      <c r="AV69" t="str">
        <f>IF(OR(AL69="Cancelled",AH69="Failed"),"Exclude","Include")</f>
        <v>Include</v>
      </c>
      <c r="AW69" t="str">
        <f t="shared" si="42"/>
        <v>Match</v>
      </c>
      <c r="AX69" t="str">
        <f t="shared" si="43"/>
        <v>Match</v>
      </c>
    </row>
    <row r="70" spans="1:50">
      <c r="A70" t="s">
        <v>443</v>
      </c>
      <c r="B70">
        <f t="shared" si="31"/>
        <v>1</v>
      </c>
      <c r="C70" t="str">
        <f t="shared" si="32"/>
        <v/>
      </c>
      <c r="D70" s="3" t="s">
        <v>104</v>
      </c>
      <c r="E70" s="7">
        <v>45606</v>
      </c>
      <c r="F70" s="3" t="s">
        <v>444</v>
      </c>
      <c r="G70" s="7">
        <v>45609</v>
      </c>
      <c r="H70" s="7" t="str">
        <f t="shared" si="22"/>
        <v>Valid</v>
      </c>
      <c r="I70" s="9">
        <f t="shared" si="23"/>
        <v>3</v>
      </c>
      <c r="J70" s="9" t="str">
        <f t="shared" si="24"/>
        <v>Valid</v>
      </c>
      <c r="K70" t="s">
        <v>445</v>
      </c>
      <c r="L70" t="s">
        <v>52</v>
      </c>
      <c r="M70" t="s">
        <v>52</v>
      </c>
      <c r="N70" t="s">
        <v>107</v>
      </c>
      <c r="O70" s="3" t="str">
        <f t="shared" si="25"/>
        <v>Corporate</v>
      </c>
      <c r="P70" t="s">
        <v>41</v>
      </c>
      <c r="Q70" s="3" t="str">
        <f t="shared" si="26"/>
        <v>East</v>
      </c>
      <c r="R70" t="s">
        <v>310</v>
      </c>
      <c r="S70" t="s">
        <v>311</v>
      </c>
      <c r="T70" t="s">
        <v>29</v>
      </c>
      <c r="U70" s="3" t="str">
        <f t="shared" si="27"/>
        <v>Office Supplies</v>
      </c>
      <c r="V70" t="s">
        <v>155</v>
      </c>
      <c r="W70" t="s">
        <v>446</v>
      </c>
      <c r="X70" t="s">
        <v>32</v>
      </c>
      <c r="Y70" s="3" t="str">
        <f t="shared" si="28"/>
        <v>Second Class</v>
      </c>
      <c r="Z70">
        <v>9</v>
      </c>
      <c r="AA70">
        <v>2211.12</v>
      </c>
      <c r="AB70">
        <v>0</v>
      </c>
      <c r="AC70">
        <f t="shared" si="29"/>
        <v>0</v>
      </c>
      <c r="AD70" t="str">
        <f t="shared" si="33"/>
        <v>Valid</v>
      </c>
      <c r="AE70">
        <v>19900.080000000002</v>
      </c>
      <c r="AF70">
        <v>10962.66</v>
      </c>
      <c r="AG70">
        <v>8937.42</v>
      </c>
      <c r="AH70" t="s">
        <v>199</v>
      </c>
      <c r="AI70" t="str">
        <f t="shared" si="34"/>
        <v>Exclude</v>
      </c>
      <c r="AJ70" t="str">
        <f t="shared" si="35"/>
        <v/>
      </c>
      <c r="AK70" t="s">
        <v>124</v>
      </c>
      <c r="AL70" t="str">
        <f t="shared" si="30"/>
        <v>Returned</v>
      </c>
      <c r="AM70" t="str">
        <f t="shared" si="36"/>
        <v>Include</v>
      </c>
      <c r="AN70">
        <f t="shared" si="37"/>
        <v>19900.079999999998</v>
      </c>
      <c r="AO70">
        <f t="shared" si="38"/>
        <v>8937.4199999999983</v>
      </c>
      <c r="AP70">
        <f>IF(AN70=0,0,AO70/AN70)</f>
        <v>0.44911477742803041</v>
      </c>
      <c r="AQ70" t="str">
        <f t="shared" si="39"/>
        <v>November</v>
      </c>
      <c r="AR70">
        <f t="shared" si="40"/>
        <v>2024</v>
      </c>
      <c r="AS70" t="str">
        <f t="shared" si="41"/>
        <v>Clean</v>
      </c>
      <c r="AT70" t="str">
        <f>IF(OR(AC70&lt;0,AC70&gt;0.5),"Invalid Discount","Valid")</f>
        <v>Valid</v>
      </c>
      <c r="AU70" t="str">
        <f>IF(G70&lt;E70,"Invalid Shipping Record","Valid")</f>
        <v>Valid</v>
      </c>
      <c r="AV70" t="str">
        <f>IF(OR(AL70="Cancelled",AH70="Failed"),"Exclude","Include")</f>
        <v>Exclude</v>
      </c>
      <c r="AW70" t="str">
        <f t="shared" si="42"/>
        <v>Match</v>
      </c>
      <c r="AX70" t="str">
        <f t="shared" si="43"/>
        <v>Match</v>
      </c>
    </row>
    <row r="71" spans="1:50">
      <c r="A71" t="s">
        <v>447</v>
      </c>
      <c r="B71">
        <f t="shared" si="31"/>
        <v>1</v>
      </c>
      <c r="C71" t="str">
        <f t="shared" si="32"/>
        <v/>
      </c>
      <c r="D71" s="3" t="s">
        <v>448</v>
      </c>
      <c r="E71" s="7">
        <v>45391</v>
      </c>
      <c r="F71" s="3" t="s">
        <v>449</v>
      </c>
      <c r="G71" s="7">
        <v>45396</v>
      </c>
      <c r="H71" s="7" t="str">
        <f t="shared" si="22"/>
        <v>Valid</v>
      </c>
      <c r="I71" s="9">
        <f t="shared" si="23"/>
        <v>5</v>
      </c>
      <c r="J71" s="9" t="str">
        <f t="shared" si="24"/>
        <v>Valid</v>
      </c>
      <c r="K71" t="s">
        <v>450</v>
      </c>
      <c r="L71" t="s">
        <v>92</v>
      </c>
      <c r="M71" t="s">
        <v>92</v>
      </c>
      <c r="N71" t="s">
        <v>40</v>
      </c>
      <c r="O71" s="3" t="str">
        <f t="shared" si="25"/>
        <v>Small Business</v>
      </c>
      <c r="P71" t="s">
        <v>72</v>
      </c>
      <c r="Q71" s="3" t="str">
        <f t="shared" si="26"/>
        <v>West</v>
      </c>
      <c r="R71" t="s">
        <v>234</v>
      </c>
      <c r="S71" t="s">
        <v>235</v>
      </c>
      <c r="T71" t="s">
        <v>85</v>
      </c>
      <c r="U71" s="3" t="str">
        <f t="shared" si="27"/>
        <v>Technology</v>
      </c>
      <c r="V71" t="s">
        <v>381</v>
      </c>
      <c r="W71" t="s">
        <v>451</v>
      </c>
      <c r="X71" t="s">
        <v>47</v>
      </c>
      <c r="Y71" s="3" t="str">
        <f t="shared" si="28"/>
        <v>Same Day</v>
      </c>
      <c r="Z71">
        <v>7</v>
      </c>
      <c r="AA71">
        <v>3417.09</v>
      </c>
      <c r="AB71">
        <v>0.1</v>
      </c>
      <c r="AC71">
        <f t="shared" si="29"/>
        <v>0.1</v>
      </c>
      <c r="AD71" t="str">
        <f t="shared" si="33"/>
        <v>Valid</v>
      </c>
      <c r="AE71">
        <v>21527.67</v>
      </c>
      <c r="AF71">
        <v>18287.580000000002</v>
      </c>
      <c r="AG71">
        <v>3240.09</v>
      </c>
      <c r="AH71" t="s">
        <v>123</v>
      </c>
      <c r="AI71" t="str">
        <f t="shared" si="34"/>
        <v>Include</v>
      </c>
      <c r="AJ71" t="str">
        <f t="shared" si="35"/>
        <v>Refunded Order</v>
      </c>
      <c r="AK71" t="s">
        <v>124</v>
      </c>
      <c r="AL71" t="str">
        <f t="shared" si="30"/>
        <v>Returned</v>
      </c>
      <c r="AM71" t="str">
        <f t="shared" si="36"/>
        <v>Include</v>
      </c>
      <c r="AN71">
        <f t="shared" si="37"/>
        <v>21527.667000000001</v>
      </c>
      <c r="AO71">
        <f t="shared" si="38"/>
        <v>3240.0869999999995</v>
      </c>
      <c r="AP71">
        <f>IF(AN71=0,0,AO71/AN71)</f>
        <v>0.15050804158202555</v>
      </c>
      <c r="AQ71" t="str">
        <f t="shared" si="39"/>
        <v>April</v>
      </c>
      <c r="AR71">
        <f t="shared" si="40"/>
        <v>2024</v>
      </c>
      <c r="AS71" t="str">
        <f t="shared" si="41"/>
        <v>Clean</v>
      </c>
      <c r="AT71" t="str">
        <f>IF(OR(AC71&lt;0,AC71&gt;0.5),"Invalid Discount","Valid")</f>
        <v>Valid</v>
      </c>
      <c r="AU71" t="str">
        <f>IF(G71&lt;E71,"Invalid Shipping Record","Valid")</f>
        <v>Valid</v>
      </c>
      <c r="AV71" t="str">
        <f>IF(OR(AL71="Cancelled",AH71="Failed"),"Exclude","Include")</f>
        <v>Include</v>
      </c>
      <c r="AW71" t="str">
        <f t="shared" si="42"/>
        <v>Match</v>
      </c>
      <c r="AX71" t="str">
        <f t="shared" si="43"/>
        <v>Match</v>
      </c>
    </row>
    <row r="72" spans="1:50">
      <c r="A72" t="s">
        <v>452</v>
      </c>
      <c r="B72">
        <f t="shared" si="31"/>
        <v>1</v>
      </c>
      <c r="C72" t="str">
        <f t="shared" si="32"/>
        <v/>
      </c>
      <c r="D72" s="3" t="s">
        <v>453</v>
      </c>
      <c r="E72" s="7">
        <v>45891</v>
      </c>
      <c r="F72" s="3" t="s">
        <v>454</v>
      </c>
      <c r="G72" s="7">
        <v>45896</v>
      </c>
      <c r="H72" s="7" t="str">
        <f t="shared" si="22"/>
        <v>Valid</v>
      </c>
      <c r="I72" s="9">
        <f t="shared" si="23"/>
        <v>5</v>
      </c>
      <c r="J72" s="9" t="str">
        <f t="shared" si="24"/>
        <v>Valid</v>
      </c>
      <c r="K72" t="s">
        <v>455</v>
      </c>
      <c r="L72" t="s">
        <v>24</v>
      </c>
      <c r="M72" t="s">
        <v>24</v>
      </c>
      <c r="N72" t="s">
        <v>107</v>
      </c>
      <c r="O72" s="3" t="str">
        <f t="shared" si="25"/>
        <v>Corporate</v>
      </c>
      <c r="P72" t="s">
        <v>61</v>
      </c>
      <c r="Q72" s="3" t="str">
        <f t="shared" si="26"/>
        <v>South</v>
      </c>
      <c r="R72" t="s">
        <v>99</v>
      </c>
      <c r="S72" t="s">
        <v>100</v>
      </c>
      <c r="T72" t="s">
        <v>85</v>
      </c>
      <c r="U72" s="3" t="str">
        <f t="shared" si="27"/>
        <v>Technology</v>
      </c>
      <c r="V72" t="s">
        <v>222</v>
      </c>
      <c r="W72" t="s">
        <v>456</v>
      </c>
      <c r="X72" t="s">
        <v>55</v>
      </c>
      <c r="Y72" s="3" t="str">
        <f t="shared" si="28"/>
        <v>First Class</v>
      </c>
      <c r="Z72">
        <v>2</v>
      </c>
      <c r="AA72">
        <v>905.87</v>
      </c>
      <c r="AB72">
        <v>0.15</v>
      </c>
      <c r="AC72">
        <f t="shared" si="29"/>
        <v>0.15</v>
      </c>
      <c r="AD72" t="str">
        <f t="shared" si="33"/>
        <v>Valid</v>
      </c>
      <c r="AE72">
        <v>1539.98</v>
      </c>
      <c r="AF72">
        <v>1070.2</v>
      </c>
      <c r="AG72">
        <v>469.78</v>
      </c>
      <c r="AH72" t="s">
        <v>33</v>
      </c>
      <c r="AI72" t="str">
        <f t="shared" si="34"/>
        <v>Include</v>
      </c>
      <c r="AJ72" t="str">
        <f t="shared" si="35"/>
        <v/>
      </c>
      <c r="AK72" t="s">
        <v>34</v>
      </c>
      <c r="AL72" t="str">
        <f t="shared" si="30"/>
        <v>Completed</v>
      </c>
      <c r="AM72" t="str">
        <f t="shared" si="36"/>
        <v>Include</v>
      </c>
      <c r="AN72">
        <f t="shared" si="37"/>
        <v>1539.979</v>
      </c>
      <c r="AO72">
        <f t="shared" si="38"/>
        <v>469.779</v>
      </c>
      <c r="AP72">
        <f>IF(AN72=0,0,AO72/AN72)</f>
        <v>0.30505545854846072</v>
      </c>
      <c r="AQ72" t="str">
        <f t="shared" si="39"/>
        <v>August</v>
      </c>
      <c r="AR72">
        <f t="shared" si="40"/>
        <v>2025</v>
      </c>
      <c r="AS72" t="str">
        <f t="shared" si="41"/>
        <v>Clean</v>
      </c>
      <c r="AT72" t="str">
        <f>IF(OR(AC72&lt;0,AC72&gt;0.5),"Invalid Discount","Valid")</f>
        <v>Valid</v>
      </c>
      <c r="AU72" t="str">
        <f>IF(G72&lt;E72,"Invalid Shipping Record","Valid")</f>
        <v>Valid</v>
      </c>
      <c r="AV72" t="str">
        <f>IF(OR(AL72="Cancelled",AH72="Failed"),"Exclude","Include")</f>
        <v>Include</v>
      </c>
      <c r="AW72" t="str">
        <f t="shared" si="42"/>
        <v>Match</v>
      </c>
      <c r="AX72" t="str">
        <f t="shared" si="43"/>
        <v>Match</v>
      </c>
    </row>
    <row r="73" spans="1:50">
      <c r="A73" t="s">
        <v>457</v>
      </c>
      <c r="B73">
        <f t="shared" si="31"/>
        <v>1</v>
      </c>
      <c r="C73" t="str">
        <f t="shared" si="32"/>
        <v/>
      </c>
      <c r="D73" s="3" t="s">
        <v>90</v>
      </c>
      <c r="E73" s="7">
        <v>45763</v>
      </c>
      <c r="F73" s="3" t="s">
        <v>458</v>
      </c>
      <c r="G73" s="7">
        <v>45770</v>
      </c>
      <c r="H73" s="7" t="str">
        <f t="shared" si="22"/>
        <v>Valid</v>
      </c>
      <c r="I73" s="9">
        <f t="shared" si="23"/>
        <v>7</v>
      </c>
      <c r="J73" s="9" t="str">
        <f t="shared" si="24"/>
        <v>Valid</v>
      </c>
      <c r="K73" t="s">
        <v>459</v>
      </c>
      <c r="L73" t="s">
        <v>39</v>
      </c>
      <c r="M73" t="s">
        <v>39</v>
      </c>
      <c r="N73" t="s">
        <v>40</v>
      </c>
      <c r="O73" s="3" t="str">
        <f t="shared" si="25"/>
        <v>Small Business</v>
      </c>
      <c r="P73" t="s">
        <v>72</v>
      </c>
      <c r="Q73" s="3" t="str">
        <f t="shared" si="26"/>
        <v>West</v>
      </c>
      <c r="R73" t="s">
        <v>248</v>
      </c>
      <c r="S73" t="s">
        <v>249</v>
      </c>
      <c r="T73" t="s">
        <v>85</v>
      </c>
      <c r="U73" s="3" t="str">
        <f t="shared" si="27"/>
        <v>Technology</v>
      </c>
      <c r="V73" t="s">
        <v>381</v>
      </c>
      <c r="W73" t="s">
        <v>460</v>
      </c>
      <c r="X73" t="s">
        <v>66</v>
      </c>
      <c r="Y73" s="3" t="str">
        <f t="shared" si="28"/>
        <v>Standard Class</v>
      </c>
      <c r="Z73">
        <v>6</v>
      </c>
      <c r="AA73">
        <v>2027.32</v>
      </c>
      <c r="AB73">
        <v>0.1</v>
      </c>
      <c r="AC73">
        <f t="shared" si="29"/>
        <v>0.1</v>
      </c>
      <c r="AD73" t="str">
        <f t="shared" si="33"/>
        <v>Valid</v>
      </c>
      <c r="AE73">
        <v>10947.53</v>
      </c>
      <c r="AF73">
        <v>6447.36</v>
      </c>
      <c r="AG73">
        <v>4500.17</v>
      </c>
      <c r="AH73" t="s">
        <v>33</v>
      </c>
      <c r="AI73" t="str">
        <f t="shared" si="34"/>
        <v>Include</v>
      </c>
      <c r="AJ73" t="str">
        <f t="shared" si="35"/>
        <v/>
      </c>
      <c r="AK73" t="s">
        <v>34</v>
      </c>
      <c r="AL73" t="str">
        <f t="shared" si="30"/>
        <v>Completed</v>
      </c>
      <c r="AM73" t="str">
        <f t="shared" si="36"/>
        <v>Include</v>
      </c>
      <c r="AN73">
        <f t="shared" si="37"/>
        <v>10947.528</v>
      </c>
      <c r="AO73">
        <f t="shared" si="38"/>
        <v>4500.1680000000006</v>
      </c>
      <c r="AP73">
        <f>IF(AN73=0,0,AO73/AN73)</f>
        <v>0.41106704636882413</v>
      </c>
      <c r="AQ73" t="str">
        <f t="shared" si="39"/>
        <v>April</v>
      </c>
      <c r="AR73">
        <f t="shared" si="40"/>
        <v>2025</v>
      </c>
      <c r="AS73" t="str">
        <f t="shared" si="41"/>
        <v>Clean</v>
      </c>
      <c r="AT73" t="str">
        <f>IF(OR(AC73&lt;0,AC73&gt;0.5),"Invalid Discount","Valid")</f>
        <v>Valid</v>
      </c>
      <c r="AU73" t="str">
        <f>IF(G73&lt;E73,"Invalid Shipping Record","Valid")</f>
        <v>Valid</v>
      </c>
      <c r="AV73" t="str">
        <f>IF(OR(AL73="Cancelled",AH73="Failed"),"Exclude","Include")</f>
        <v>Include</v>
      </c>
      <c r="AW73" t="str">
        <f t="shared" si="42"/>
        <v>Match</v>
      </c>
      <c r="AX73" t="str">
        <f t="shared" si="43"/>
        <v>Match</v>
      </c>
    </row>
    <row r="74" spans="1:50">
      <c r="A74" t="s">
        <v>461</v>
      </c>
      <c r="B74">
        <f t="shared" si="31"/>
        <v>1</v>
      </c>
      <c r="C74" t="str">
        <f t="shared" si="32"/>
        <v/>
      </c>
      <c r="D74" s="3" t="s">
        <v>462</v>
      </c>
      <c r="E74" s="7">
        <v>45333</v>
      </c>
      <c r="F74" s="3" t="s">
        <v>463</v>
      </c>
      <c r="G74" s="7">
        <v>45329</v>
      </c>
      <c r="H74" s="7" t="str">
        <f t="shared" si="22"/>
        <v>Invalid Shipping Record</v>
      </c>
      <c r="I74" s="9">
        <f t="shared" si="23"/>
        <v>-4</v>
      </c>
      <c r="J74" s="9" t="str">
        <f t="shared" si="24"/>
        <v>Invalid Shipping Record</v>
      </c>
      <c r="K74" t="s">
        <v>464</v>
      </c>
      <c r="L74" t="s">
        <v>24</v>
      </c>
      <c r="M74" t="s">
        <v>24</v>
      </c>
      <c r="N74" t="s">
        <v>114</v>
      </c>
      <c r="O74" s="3" t="str">
        <f t="shared" si="25"/>
        <v>Home Office</v>
      </c>
      <c r="P74" t="s">
        <v>61</v>
      </c>
      <c r="Q74" s="3" t="str">
        <f t="shared" si="26"/>
        <v>South</v>
      </c>
      <c r="R74" t="s">
        <v>338</v>
      </c>
      <c r="S74" t="s">
        <v>339</v>
      </c>
      <c r="T74" t="s">
        <v>44</v>
      </c>
      <c r="U74" s="3" t="str">
        <f t="shared" si="27"/>
        <v>Furniture</v>
      </c>
      <c r="V74" t="s">
        <v>45</v>
      </c>
      <c r="W74" t="s">
        <v>465</v>
      </c>
      <c r="X74" t="s">
        <v>55</v>
      </c>
      <c r="Y74" s="3" t="str">
        <f t="shared" si="28"/>
        <v>First Class</v>
      </c>
      <c r="Z74">
        <v>7</v>
      </c>
      <c r="AA74">
        <v>2287.4699999999998</v>
      </c>
      <c r="AB74">
        <v>0.15</v>
      </c>
      <c r="AC74">
        <f t="shared" si="29"/>
        <v>0.15</v>
      </c>
      <c r="AD74" t="str">
        <f t="shared" si="33"/>
        <v>Valid</v>
      </c>
      <c r="AE74">
        <v>13610.45</v>
      </c>
      <c r="AF74">
        <v>10039.049999999999</v>
      </c>
      <c r="AG74">
        <v>3571.4</v>
      </c>
      <c r="AH74" t="s">
        <v>33</v>
      </c>
      <c r="AI74" t="str">
        <f t="shared" si="34"/>
        <v>Include</v>
      </c>
      <c r="AJ74" t="str">
        <f t="shared" si="35"/>
        <v/>
      </c>
      <c r="AK74" t="s">
        <v>34</v>
      </c>
      <c r="AL74" t="str">
        <f t="shared" si="30"/>
        <v>Completed</v>
      </c>
      <c r="AM74" t="str">
        <f t="shared" si="36"/>
        <v>Include</v>
      </c>
      <c r="AN74">
        <f t="shared" si="37"/>
        <v>13610.446499999998</v>
      </c>
      <c r="AO74">
        <f t="shared" si="38"/>
        <v>3571.3964999999989</v>
      </c>
      <c r="AP74">
        <f>IF(AN74=0,0,AO74/AN74)</f>
        <v>0.26240112695788487</v>
      </c>
      <c r="AQ74" t="str">
        <f t="shared" si="39"/>
        <v>February</v>
      </c>
      <c r="AR74">
        <f t="shared" si="40"/>
        <v>2024</v>
      </c>
      <c r="AS74" t="str">
        <f t="shared" si="41"/>
        <v>Invalid</v>
      </c>
      <c r="AT74" t="str">
        <f>IF(OR(AC74&lt;0,AC74&gt;0.5),"Invalid Discount","Valid")</f>
        <v>Valid</v>
      </c>
      <c r="AU74" t="str">
        <f>IF(G74&lt;E74,"Invalid Shipping Record","Valid")</f>
        <v>Invalid Shipping Record</v>
      </c>
      <c r="AV74" t="str">
        <f>IF(OR(AL74="Cancelled",AH74="Failed"),"Exclude","Include")</f>
        <v>Include</v>
      </c>
      <c r="AW74" t="str">
        <f t="shared" si="42"/>
        <v>Match</v>
      </c>
      <c r="AX74" t="str">
        <f t="shared" si="43"/>
        <v>Match</v>
      </c>
    </row>
    <row r="75" spans="1:50">
      <c r="A75" t="s">
        <v>466</v>
      </c>
      <c r="B75">
        <f t="shared" si="31"/>
        <v>1</v>
      </c>
      <c r="C75" t="str">
        <f t="shared" si="32"/>
        <v/>
      </c>
      <c r="D75" s="3" t="s">
        <v>467</v>
      </c>
      <c r="E75" s="7">
        <v>45745</v>
      </c>
      <c r="F75" s="3" t="s">
        <v>468</v>
      </c>
      <c r="G75" s="7">
        <v>45750</v>
      </c>
      <c r="H75" s="7" t="str">
        <f t="shared" si="22"/>
        <v>Valid</v>
      </c>
      <c r="I75" s="9">
        <f t="shared" si="23"/>
        <v>5</v>
      </c>
      <c r="J75" s="9" t="str">
        <f t="shared" si="24"/>
        <v>Valid</v>
      </c>
      <c r="K75" t="s">
        <v>469</v>
      </c>
      <c r="L75" t="s">
        <v>167</v>
      </c>
      <c r="M75" t="s">
        <v>167</v>
      </c>
      <c r="N75" t="s">
        <v>107</v>
      </c>
      <c r="O75" s="3" t="str">
        <f t="shared" si="25"/>
        <v>Corporate</v>
      </c>
      <c r="P75" t="s">
        <v>41</v>
      </c>
      <c r="Q75" s="3" t="str">
        <f t="shared" si="26"/>
        <v>East</v>
      </c>
      <c r="R75" t="s">
        <v>120</v>
      </c>
      <c r="S75" t="s">
        <v>121</v>
      </c>
      <c r="T75" t="s">
        <v>44</v>
      </c>
      <c r="U75" s="3" t="str">
        <f t="shared" si="27"/>
        <v>Furniture</v>
      </c>
      <c r="V75" t="s">
        <v>203</v>
      </c>
      <c r="W75" t="s">
        <v>470</v>
      </c>
      <c r="X75" t="s">
        <v>55</v>
      </c>
      <c r="Y75" s="3" t="str">
        <f t="shared" si="28"/>
        <v>First Class</v>
      </c>
      <c r="Z75">
        <v>5</v>
      </c>
      <c r="AA75">
        <v>1425.74</v>
      </c>
      <c r="AB75">
        <v>0</v>
      </c>
      <c r="AC75">
        <f t="shared" si="29"/>
        <v>0</v>
      </c>
      <c r="AD75" t="str">
        <f t="shared" si="33"/>
        <v>Valid</v>
      </c>
      <c r="AE75">
        <v>7128.7</v>
      </c>
      <c r="AF75">
        <v>4382.1499999999996</v>
      </c>
      <c r="AG75">
        <v>2746.55</v>
      </c>
      <c r="AH75" t="s">
        <v>33</v>
      </c>
      <c r="AI75" t="str">
        <f t="shared" si="34"/>
        <v>Include</v>
      </c>
      <c r="AJ75" t="str">
        <f t="shared" si="35"/>
        <v/>
      </c>
      <c r="AK75" t="s">
        <v>34</v>
      </c>
      <c r="AL75" t="str">
        <f t="shared" si="30"/>
        <v>Completed</v>
      </c>
      <c r="AM75" t="str">
        <f t="shared" si="36"/>
        <v>Include</v>
      </c>
      <c r="AN75">
        <f t="shared" si="37"/>
        <v>7128.7</v>
      </c>
      <c r="AO75">
        <f t="shared" si="38"/>
        <v>2746.55</v>
      </c>
      <c r="AP75">
        <f>IF(AN75=0,0,AO75/AN75)</f>
        <v>0.38528062620113068</v>
      </c>
      <c r="AQ75" t="str">
        <f t="shared" si="39"/>
        <v>March</v>
      </c>
      <c r="AR75">
        <f t="shared" si="40"/>
        <v>2025</v>
      </c>
      <c r="AS75" t="str">
        <f t="shared" si="41"/>
        <v>Clean</v>
      </c>
      <c r="AT75" t="str">
        <f>IF(OR(AC75&lt;0,AC75&gt;0.5),"Invalid Discount","Valid")</f>
        <v>Valid</v>
      </c>
      <c r="AU75" t="str">
        <f>IF(G75&lt;E75,"Invalid Shipping Record","Valid")</f>
        <v>Valid</v>
      </c>
      <c r="AV75" t="str">
        <f>IF(OR(AL75="Cancelled",AH75="Failed"),"Exclude","Include")</f>
        <v>Include</v>
      </c>
      <c r="AW75" t="str">
        <f t="shared" si="42"/>
        <v>Match</v>
      </c>
      <c r="AX75" t="str">
        <f t="shared" si="43"/>
        <v>Match</v>
      </c>
    </row>
    <row r="76" spans="1:50">
      <c r="A76" t="s">
        <v>471</v>
      </c>
      <c r="B76">
        <f t="shared" si="31"/>
        <v>1</v>
      </c>
      <c r="C76" t="str">
        <f t="shared" si="32"/>
        <v/>
      </c>
      <c r="D76" s="3" t="s">
        <v>472</v>
      </c>
      <c r="E76" s="7">
        <v>45715</v>
      </c>
      <c r="F76" s="3" t="s">
        <v>473</v>
      </c>
      <c r="G76" s="7">
        <v>45717</v>
      </c>
      <c r="H76" s="7" t="str">
        <f t="shared" si="22"/>
        <v>Valid</v>
      </c>
      <c r="I76" s="9">
        <f t="shared" si="23"/>
        <v>2</v>
      </c>
      <c r="J76" s="9" t="str">
        <f t="shared" si="24"/>
        <v>Valid</v>
      </c>
      <c r="K76" t="s">
        <v>474</v>
      </c>
      <c r="L76" t="s">
        <v>82</v>
      </c>
      <c r="M76" t="s">
        <v>82</v>
      </c>
      <c r="N76" t="s">
        <v>40</v>
      </c>
      <c r="O76" s="3" t="str">
        <f t="shared" si="25"/>
        <v>Small Business</v>
      </c>
      <c r="P76" t="s">
        <v>41</v>
      </c>
      <c r="Q76" s="3" t="str">
        <f t="shared" si="26"/>
        <v>East</v>
      </c>
      <c r="R76" t="s">
        <v>120</v>
      </c>
      <c r="S76" t="s">
        <v>121</v>
      </c>
      <c r="T76" t="s">
        <v>44</v>
      </c>
      <c r="U76" s="3" t="str">
        <f t="shared" si="27"/>
        <v>Furniture</v>
      </c>
      <c r="V76" t="s">
        <v>75</v>
      </c>
      <c r="W76" t="s">
        <v>475</v>
      </c>
      <c r="X76" t="s">
        <v>66</v>
      </c>
      <c r="Y76" s="3" t="str">
        <f t="shared" si="28"/>
        <v>Standard Class</v>
      </c>
      <c r="Z76">
        <v>6</v>
      </c>
      <c r="AA76">
        <v>551.64</v>
      </c>
      <c r="AB76">
        <v>0</v>
      </c>
      <c r="AC76">
        <f t="shared" si="29"/>
        <v>0</v>
      </c>
      <c r="AD76" t="str">
        <f t="shared" si="33"/>
        <v>Valid</v>
      </c>
      <c r="AE76">
        <v>3309.84</v>
      </c>
      <c r="AF76">
        <v>2671.08</v>
      </c>
      <c r="AG76">
        <v>638.76</v>
      </c>
      <c r="AH76" t="s">
        <v>33</v>
      </c>
      <c r="AI76" t="str">
        <f t="shared" si="34"/>
        <v>Include</v>
      </c>
      <c r="AJ76" t="str">
        <f t="shared" si="35"/>
        <v/>
      </c>
      <c r="AK76" t="s">
        <v>34</v>
      </c>
      <c r="AL76" t="str">
        <f t="shared" si="30"/>
        <v>Completed</v>
      </c>
      <c r="AM76" t="str">
        <f t="shared" si="36"/>
        <v>Include</v>
      </c>
      <c r="AN76">
        <f t="shared" si="37"/>
        <v>3309.84</v>
      </c>
      <c r="AO76">
        <f t="shared" si="38"/>
        <v>638.76000000000022</v>
      </c>
      <c r="AP76">
        <f>IF(AN76=0,0,AO76/AN76)</f>
        <v>0.19298818069755644</v>
      </c>
      <c r="AQ76" t="str">
        <f t="shared" si="39"/>
        <v>February</v>
      </c>
      <c r="AR76">
        <f t="shared" si="40"/>
        <v>2025</v>
      </c>
      <c r="AS76" t="str">
        <f t="shared" si="41"/>
        <v>Clean</v>
      </c>
      <c r="AT76" t="str">
        <f>IF(OR(AC76&lt;0,AC76&gt;0.5),"Invalid Discount","Valid")</f>
        <v>Valid</v>
      </c>
      <c r="AU76" t="str">
        <f>IF(G76&lt;E76,"Invalid Shipping Record","Valid")</f>
        <v>Valid</v>
      </c>
      <c r="AV76" t="str">
        <f>IF(OR(AL76="Cancelled",AH76="Failed"),"Exclude","Include")</f>
        <v>Include</v>
      </c>
      <c r="AW76" t="str">
        <f t="shared" si="42"/>
        <v>Match</v>
      </c>
      <c r="AX76" t="str">
        <f t="shared" si="43"/>
        <v>Match</v>
      </c>
    </row>
    <row r="77" spans="1:50">
      <c r="A77" t="s">
        <v>476</v>
      </c>
      <c r="B77">
        <f t="shared" si="31"/>
        <v>1</v>
      </c>
      <c r="C77" t="str">
        <f t="shared" si="32"/>
        <v/>
      </c>
      <c r="D77" s="3" t="s">
        <v>477</v>
      </c>
      <c r="E77" s="7">
        <v>45891</v>
      </c>
      <c r="F77" s="3" t="s">
        <v>478</v>
      </c>
      <c r="G77" s="7">
        <v>45896</v>
      </c>
      <c r="H77" s="7" t="str">
        <f t="shared" si="22"/>
        <v>Valid</v>
      </c>
      <c r="I77" s="9">
        <f t="shared" si="23"/>
        <v>5</v>
      </c>
      <c r="J77" s="9" t="str">
        <f t="shared" si="24"/>
        <v>Valid</v>
      </c>
      <c r="K77" t="s">
        <v>479</v>
      </c>
      <c r="L77" t="s">
        <v>141</v>
      </c>
      <c r="M77" t="s">
        <v>141</v>
      </c>
      <c r="N77" t="s">
        <v>40</v>
      </c>
      <c r="O77" s="3" t="str">
        <f t="shared" si="25"/>
        <v>Small Business</v>
      </c>
      <c r="P77" t="s">
        <v>41</v>
      </c>
      <c r="Q77" s="3" t="str">
        <f t="shared" si="26"/>
        <v>East</v>
      </c>
      <c r="R77" t="s">
        <v>42</v>
      </c>
      <c r="S77" t="s">
        <v>43</v>
      </c>
      <c r="T77" t="s">
        <v>29</v>
      </c>
      <c r="U77" s="3" t="str">
        <f t="shared" si="27"/>
        <v>Office Supplies</v>
      </c>
      <c r="V77" t="s">
        <v>108</v>
      </c>
      <c r="W77" t="s">
        <v>480</v>
      </c>
      <c r="X77" t="s">
        <v>55</v>
      </c>
      <c r="Y77" s="3" t="str">
        <f t="shared" si="28"/>
        <v>First Class</v>
      </c>
      <c r="Z77">
        <v>3</v>
      </c>
      <c r="AA77">
        <v>3294.82</v>
      </c>
      <c r="AB77">
        <v>0.2</v>
      </c>
      <c r="AC77">
        <f t="shared" si="29"/>
        <v>0.2</v>
      </c>
      <c r="AD77" t="str">
        <f t="shared" si="33"/>
        <v>Valid</v>
      </c>
      <c r="AE77">
        <v>7907.57</v>
      </c>
      <c r="AF77">
        <v>5391.18</v>
      </c>
      <c r="AG77">
        <v>2516.39</v>
      </c>
      <c r="AH77" t="s">
        <v>33</v>
      </c>
      <c r="AI77" t="str">
        <f t="shared" si="34"/>
        <v>Include</v>
      </c>
      <c r="AJ77" t="str">
        <f t="shared" si="35"/>
        <v/>
      </c>
      <c r="AK77" t="s">
        <v>34</v>
      </c>
      <c r="AL77" t="str">
        <f t="shared" si="30"/>
        <v>Completed</v>
      </c>
      <c r="AM77" t="str">
        <f t="shared" si="36"/>
        <v>Include</v>
      </c>
      <c r="AN77">
        <f t="shared" si="37"/>
        <v>7907.5680000000011</v>
      </c>
      <c r="AO77">
        <f t="shared" si="38"/>
        <v>2516.3880000000008</v>
      </c>
      <c r="AP77">
        <f>IF(AN77=0,0,AO77/AN77)</f>
        <v>0.31822527482533197</v>
      </c>
      <c r="AQ77" t="str">
        <f t="shared" si="39"/>
        <v>August</v>
      </c>
      <c r="AR77">
        <f t="shared" si="40"/>
        <v>2025</v>
      </c>
      <c r="AS77" t="str">
        <f t="shared" si="41"/>
        <v>Clean</v>
      </c>
      <c r="AT77" t="str">
        <f>IF(OR(AC77&lt;0,AC77&gt;0.5),"Invalid Discount","Valid")</f>
        <v>Valid</v>
      </c>
      <c r="AU77" t="str">
        <f>IF(G77&lt;E77,"Invalid Shipping Record","Valid")</f>
        <v>Valid</v>
      </c>
      <c r="AV77" t="str">
        <f>IF(OR(AL77="Cancelled",AH77="Failed"),"Exclude","Include")</f>
        <v>Include</v>
      </c>
      <c r="AW77" t="str">
        <f t="shared" si="42"/>
        <v>Match</v>
      </c>
      <c r="AX77" t="str">
        <f t="shared" si="43"/>
        <v>Match</v>
      </c>
    </row>
    <row r="78" spans="1:50">
      <c r="A78" t="s">
        <v>481</v>
      </c>
      <c r="B78">
        <f t="shared" si="31"/>
        <v>1</v>
      </c>
      <c r="C78" t="str">
        <f t="shared" si="32"/>
        <v/>
      </c>
      <c r="D78" s="3" t="s">
        <v>482</v>
      </c>
      <c r="E78" s="7">
        <v>45599</v>
      </c>
      <c r="F78" s="3" t="s">
        <v>483</v>
      </c>
      <c r="G78" s="7">
        <v>45607</v>
      </c>
      <c r="H78" s="7" t="str">
        <f t="shared" si="22"/>
        <v>Valid</v>
      </c>
      <c r="I78" s="9">
        <f t="shared" si="23"/>
        <v>8</v>
      </c>
      <c r="J78" s="9" t="str">
        <f t="shared" si="24"/>
        <v>Valid</v>
      </c>
      <c r="K78" t="s">
        <v>484</v>
      </c>
      <c r="L78" t="s">
        <v>71</v>
      </c>
      <c r="M78" t="s">
        <v>71</v>
      </c>
      <c r="N78" t="s">
        <v>107</v>
      </c>
      <c r="O78" s="3" t="str">
        <f t="shared" si="25"/>
        <v>Corporate</v>
      </c>
      <c r="P78" t="s">
        <v>41</v>
      </c>
      <c r="Q78" s="3" t="str">
        <f t="shared" si="26"/>
        <v>East</v>
      </c>
      <c r="R78" t="s">
        <v>310</v>
      </c>
      <c r="S78" t="s">
        <v>311</v>
      </c>
      <c r="T78" t="s">
        <v>29</v>
      </c>
      <c r="U78" s="3" t="str">
        <f t="shared" si="27"/>
        <v>Office Supplies</v>
      </c>
      <c r="V78" t="s">
        <v>108</v>
      </c>
      <c r="W78" t="s">
        <v>485</v>
      </c>
      <c r="X78" t="s">
        <v>32</v>
      </c>
      <c r="Y78" s="3" t="str">
        <f t="shared" si="28"/>
        <v>Second Class</v>
      </c>
      <c r="Z78">
        <v>3</v>
      </c>
      <c r="AA78">
        <v>3406.27</v>
      </c>
      <c r="AB78">
        <v>0</v>
      </c>
      <c r="AC78">
        <f t="shared" si="29"/>
        <v>0</v>
      </c>
      <c r="AD78" t="str">
        <f t="shared" si="33"/>
        <v>Valid</v>
      </c>
      <c r="AE78">
        <v>10218.81</v>
      </c>
      <c r="AF78">
        <v>7616.97</v>
      </c>
      <c r="AG78">
        <v>2601.84</v>
      </c>
      <c r="AH78" t="s">
        <v>33</v>
      </c>
      <c r="AI78" t="str">
        <f t="shared" si="34"/>
        <v>Include</v>
      </c>
      <c r="AJ78" t="str">
        <f t="shared" si="35"/>
        <v/>
      </c>
      <c r="AK78" t="s">
        <v>34</v>
      </c>
      <c r="AL78" t="str">
        <f t="shared" si="30"/>
        <v>Completed</v>
      </c>
      <c r="AM78" t="str">
        <f t="shared" si="36"/>
        <v>Include</v>
      </c>
      <c r="AN78">
        <f t="shared" si="37"/>
        <v>10218.81</v>
      </c>
      <c r="AO78">
        <f t="shared" si="38"/>
        <v>2601.8399999999992</v>
      </c>
      <c r="AP78">
        <f>IF(AN78=0,0,AO78/AN78)</f>
        <v>0.2546128169522674</v>
      </c>
      <c r="AQ78" t="str">
        <f t="shared" si="39"/>
        <v>November</v>
      </c>
      <c r="AR78">
        <f t="shared" si="40"/>
        <v>2024</v>
      </c>
      <c r="AS78" t="str">
        <f t="shared" si="41"/>
        <v>Clean</v>
      </c>
      <c r="AT78" t="str">
        <f>IF(OR(AC78&lt;0,AC78&gt;0.5),"Invalid Discount","Valid")</f>
        <v>Valid</v>
      </c>
      <c r="AU78" t="str">
        <f>IF(G78&lt;E78,"Invalid Shipping Record","Valid")</f>
        <v>Valid</v>
      </c>
      <c r="AV78" t="str">
        <f>IF(OR(AL78="Cancelled",AH78="Failed"),"Exclude","Include")</f>
        <v>Include</v>
      </c>
      <c r="AW78" t="str">
        <f t="shared" si="42"/>
        <v>Match</v>
      </c>
      <c r="AX78" t="str">
        <f t="shared" si="43"/>
        <v>Match</v>
      </c>
    </row>
    <row r="79" spans="1:50">
      <c r="A79" t="s">
        <v>486</v>
      </c>
      <c r="B79">
        <f t="shared" si="31"/>
        <v>1</v>
      </c>
      <c r="C79" t="str">
        <f t="shared" si="32"/>
        <v/>
      </c>
      <c r="D79" s="3" t="s">
        <v>487</v>
      </c>
      <c r="E79" s="7">
        <v>45846</v>
      </c>
      <c r="F79" s="3" t="s">
        <v>488</v>
      </c>
      <c r="G79" s="7">
        <v>45850</v>
      </c>
      <c r="H79" s="7" t="str">
        <f t="shared" si="22"/>
        <v>Valid</v>
      </c>
      <c r="I79" s="9">
        <f t="shared" si="23"/>
        <v>4</v>
      </c>
      <c r="J79" s="9" t="str">
        <f t="shared" si="24"/>
        <v>Valid</v>
      </c>
      <c r="K79" t="s">
        <v>489</v>
      </c>
      <c r="L79" t="s">
        <v>179</v>
      </c>
      <c r="M79" t="s">
        <v>179</v>
      </c>
      <c r="N79" t="s">
        <v>114</v>
      </c>
      <c r="O79" s="3" t="str">
        <f t="shared" si="25"/>
        <v>Home Office</v>
      </c>
      <c r="P79" t="s">
        <v>26</v>
      </c>
      <c r="Q79" s="3" t="str">
        <f t="shared" si="26"/>
        <v>North</v>
      </c>
      <c r="R79" t="s">
        <v>173</v>
      </c>
      <c r="S79" t="s">
        <v>174</v>
      </c>
      <c r="T79" t="s">
        <v>44</v>
      </c>
      <c r="U79" s="3" t="str">
        <f t="shared" si="27"/>
        <v>Furniture</v>
      </c>
      <c r="V79" t="s">
        <v>64</v>
      </c>
      <c r="W79" t="s">
        <v>490</v>
      </c>
      <c r="X79" t="s">
        <v>66</v>
      </c>
      <c r="Y79" s="3" t="str">
        <f t="shared" si="28"/>
        <v>Standard Class</v>
      </c>
      <c r="Z79">
        <v>1</v>
      </c>
      <c r="AA79">
        <v>2582.1999999999998</v>
      </c>
      <c r="AB79">
        <v>0.15</v>
      </c>
      <c r="AC79">
        <f t="shared" si="29"/>
        <v>0.15</v>
      </c>
      <c r="AD79" t="str">
        <f t="shared" si="33"/>
        <v>Valid</v>
      </c>
      <c r="AE79">
        <v>2194.87</v>
      </c>
      <c r="AF79">
        <v>1223.17</v>
      </c>
      <c r="AG79">
        <v>971.7</v>
      </c>
      <c r="AH79" t="s">
        <v>123</v>
      </c>
      <c r="AI79" t="str">
        <f t="shared" si="34"/>
        <v>Exclude</v>
      </c>
      <c r="AJ79" t="str">
        <f t="shared" si="35"/>
        <v>Refunded Order</v>
      </c>
      <c r="AK79" t="s">
        <v>77</v>
      </c>
      <c r="AL79" t="str">
        <f t="shared" si="30"/>
        <v>Cancelled</v>
      </c>
      <c r="AM79" t="str">
        <f t="shared" si="36"/>
        <v>Exclude</v>
      </c>
      <c r="AN79">
        <f t="shared" si="37"/>
        <v>2194.87</v>
      </c>
      <c r="AO79">
        <f t="shared" si="38"/>
        <v>971.69999999999982</v>
      </c>
      <c r="AP79">
        <f>IF(AN79=0,0,AO79/AN79)</f>
        <v>0.44271414707932583</v>
      </c>
      <c r="AQ79" t="str">
        <f t="shared" si="39"/>
        <v>July</v>
      </c>
      <c r="AR79">
        <f t="shared" si="40"/>
        <v>2025</v>
      </c>
      <c r="AS79" t="str">
        <f t="shared" si="41"/>
        <v>Clean</v>
      </c>
      <c r="AT79" t="str">
        <f>IF(OR(AC79&lt;0,AC79&gt;0.5),"Invalid Discount","Valid")</f>
        <v>Valid</v>
      </c>
      <c r="AU79" t="str">
        <f>IF(G79&lt;E79,"Invalid Shipping Record","Valid")</f>
        <v>Valid</v>
      </c>
      <c r="AV79" t="str">
        <f>IF(OR(AL79="Cancelled",AH79="Failed"),"Exclude","Include")</f>
        <v>Exclude</v>
      </c>
      <c r="AW79" t="str">
        <f t="shared" si="42"/>
        <v>Match</v>
      </c>
      <c r="AX79" t="str">
        <f t="shared" si="43"/>
        <v>Match</v>
      </c>
    </row>
    <row r="80" spans="1:50">
      <c r="A80" t="s">
        <v>491</v>
      </c>
      <c r="B80">
        <f t="shared" si="31"/>
        <v>1</v>
      </c>
      <c r="C80" t="str">
        <f t="shared" si="32"/>
        <v/>
      </c>
      <c r="D80" s="3" t="s">
        <v>492</v>
      </c>
      <c r="E80" s="7">
        <v>45854</v>
      </c>
      <c r="F80" s="3" t="s">
        <v>493</v>
      </c>
      <c r="G80" s="7">
        <v>45859</v>
      </c>
      <c r="H80" s="7" t="str">
        <f t="shared" si="22"/>
        <v>Valid</v>
      </c>
      <c r="I80" s="9">
        <f t="shared" si="23"/>
        <v>5</v>
      </c>
      <c r="J80" s="9" t="str">
        <f t="shared" si="24"/>
        <v>Valid</v>
      </c>
      <c r="K80" t="s">
        <v>494</v>
      </c>
      <c r="L80" t="s">
        <v>167</v>
      </c>
      <c r="M80" t="s">
        <v>167</v>
      </c>
      <c r="N80" t="s">
        <v>107</v>
      </c>
      <c r="O80" s="3" t="str">
        <f t="shared" si="25"/>
        <v>Corporate</v>
      </c>
      <c r="P80" t="s">
        <v>41</v>
      </c>
      <c r="Q80" s="3" t="str">
        <f t="shared" si="26"/>
        <v>East</v>
      </c>
      <c r="R80" t="s">
        <v>120</v>
      </c>
      <c r="S80" t="s">
        <v>121</v>
      </c>
      <c r="T80" t="s">
        <v>44</v>
      </c>
      <c r="U80" s="3" t="str">
        <f t="shared" si="27"/>
        <v>Furniture</v>
      </c>
      <c r="V80" t="s">
        <v>45</v>
      </c>
      <c r="W80" t="s">
        <v>495</v>
      </c>
      <c r="X80" t="s">
        <v>55</v>
      </c>
      <c r="Y80" s="3" t="str">
        <f t="shared" si="28"/>
        <v>First Class</v>
      </c>
      <c r="Z80">
        <v>5</v>
      </c>
      <c r="AA80">
        <v>2129.5100000000002</v>
      </c>
      <c r="AB80">
        <v>0.15</v>
      </c>
      <c r="AC80">
        <f t="shared" si="29"/>
        <v>0.15</v>
      </c>
      <c r="AD80" t="str">
        <f t="shared" si="33"/>
        <v>Valid</v>
      </c>
      <c r="AE80">
        <v>9050.42</v>
      </c>
      <c r="AF80">
        <v>6778.85</v>
      </c>
      <c r="AG80">
        <v>2271.5700000000002</v>
      </c>
      <c r="AH80" t="s">
        <v>33</v>
      </c>
      <c r="AI80" t="str">
        <f t="shared" si="34"/>
        <v>Include</v>
      </c>
      <c r="AJ80" t="str">
        <f t="shared" si="35"/>
        <v/>
      </c>
      <c r="AK80" t="s">
        <v>34</v>
      </c>
      <c r="AL80" t="str">
        <f t="shared" si="30"/>
        <v>Completed</v>
      </c>
      <c r="AM80" t="str">
        <f t="shared" si="36"/>
        <v>Include</v>
      </c>
      <c r="AN80">
        <f t="shared" si="37"/>
        <v>9050.4175000000014</v>
      </c>
      <c r="AO80">
        <f t="shared" si="38"/>
        <v>2271.567500000001</v>
      </c>
      <c r="AP80">
        <f>IF(AN80=0,0,AO80/AN80)</f>
        <v>0.25099035486484472</v>
      </c>
      <c r="AQ80" t="str">
        <f t="shared" si="39"/>
        <v>July</v>
      </c>
      <c r="AR80">
        <f t="shared" si="40"/>
        <v>2025</v>
      </c>
      <c r="AS80" t="str">
        <f t="shared" si="41"/>
        <v>Clean</v>
      </c>
      <c r="AT80" t="str">
        <f>IF(OR(AC80&lt;0,AC80&gt;0.5),"Invalid Discount","Valid")</f>
        <v>Valid</v>
      </c>
      <c r="AU80" t="str">
        <f>IF(G80&lt;E80,"Invalid Shipping Record","Valid")</f>
        <v>Valid</v>
      </c>
      <c r="AV80" t="str">
        <f>IF(OR(AL80="Cancelled",AH80="Failed"),"Exclude","Include")</f>
        <v>Include</v>
      </c>
      <c r="AW80" t="str">
        <f t="shared" si="42"/>
        <v>Match</v>
      </c>
      <c r="AX80" t="str">
        <f t="shared" si="43"/>
        <v>Match</v>
      </c>
    </row>
    <row r="81" spans="1:50">
      <c r="A81" t="s">
        <v>496</v>
      </c>
      <c r="B81">
        <f t="shared" si="31"/>
        <v>1</v>
      </c>
      <c r="C81" t="str">
        <f t="shared" si="32"/>
        <v/>
      </c>
      <c r="D81" s="3" t="s">
        <v>497</v>
      </c>
      <c r="E81" s="7">
        <v>45927</v>
      </c>
      <c r="F81" s="3" t="s">
        <v>498</v>
      </c>
      <c r="G81" s="7">
        <v>45933</v>
      </c>
      <c r="H81" s="7" t="str">
        <f t="shared" si="22"/>
        <v>Valid</v>
      </c>
      <c r="I81" s="9">
        <f t="shared" si="23"/>
        <v>6</v>
      </c>
      <c r="J81" s="9" t="str">
        <f t="shared" si="24"/>
        <v>Valid</v>
      </c>
      <c r="K81" t="s">
        <v>499</v>
      </c>
      <c r="L81" t="s">
        <v>209</v>
      </c>
      <c r="M81" t="s">
        <v>209</v>
      </c>
      <c r="N81" t="s">
        <v>114</v>
      </c>
      <c r="O81" s="3" t="str">
        <f t="shared" si="25"/>
        <v>Home Office</v>
      </c>
      <c r="P81" t="s">
        <v>61</v>
      </c>
      <c r="Q81" s="3" t="str">
        <f t="shared" si="26"/>
        <v>South</v>
      </c>
      <c r="R81" t="s">
        <v>338</v>
      </c>
      <c r="S81" t="s">
        <v>339</v>
      </c>
      <c r="T81" t="s">
        <v>44</v>
      </c>
      <c r="U81" s="3" t="str">
        <f t="shared" si="27"/>
        <v>Furniture</v>
      </c>
      <c r="V81" t="s">
        <v>75</v>
      </c>
      <c r="W81" t="s">
        <v>500</v>
      </c>
      <c r="X81" t="s">
        <v>47</v>
      </c>
      <c r="Y81" s="3" t="str">
        <f t="shared" si="28"/>
        <v>Same Day</v>
      </c>
      <c r="Z81">
        <v>9</v>
      </c>
      <c r="AA81">
        <v>4131.5200000000004</v>
      </c>
      <c r="AB81">
        <v>0.1</v>
      </c>
      <c r="AC81">
        <f t="shared" si="29"/>
        <v>0.1</v>
      </c>
      <c r="AD81" t="str">
        <f t="shared" si="33"/>
        <v>Valid</v>
      </c>
      <c r="AE81">
        <v>33465.31</v>
      </c>
      <c r="AF81">
        <v>24781.26</v>
      </c>
      <c r="AG81">
        <v>8684.0499999999993</v>
      </c>
      <c r="AH81" t="s">
        <v>33</v>
      </c>
      <c r="AI81" t="str">
        <f t="shared" si="34"/>
        <v>Include</v>
      </c>
      <c r="AJ81" t="str">
        <f t="shared" si="35"/>
        <v/>
      </c>
      <c r="AK81" t="s">
        <v>34</v>
      </c>
      <c r="AL81" t="str">
        <f t="shared" si="30"/>
        <v>Completed</v>
      </c>
      <c r="AM81" t="str">
        <f t="shared" si="36"/>
        <v>Include</v>
      </c>
      <c r="AN81">
        <f t="shared" si="37"/>
        <v>33465.312000000005</v>
      </c>
      <c r="AO81">
        <f t="shared" si="38"/>
        <v>8684.052000000007</v>
      </c>
      <c r="AP81">
        <f>IF(AN81=0,0,AO81/AN81)</f>
        <v>0.25949412932411942</v>
      </c>
      <c r="AQ81" t="str">
        <f t="shared" si="39"/>
        <v>September</v>
      </c>
      <c r="AR81">
        <f t="shared" si="40"/>
        <v>2025</v>
      </c>
      <c r="AS81" t="str">
        <f t="shared" si="41"/>
        <v>Clean</v>
      </c>
      <c r="AT81" t="str">
        <f>IF(OR(AC81&lt;0,AC81&gt;0.5),"Invalid Discount","Valid")</f>
        <v>Valid</v>
      </c>
      <c r="AU81" t="str">
        <f>IF(G81&lt;E81,"Invalid Shipping Record","Valid")</f>
        <v>Valid</v>
      </c>
      <c r="AV81" t="str">
        <f>IF(OR(AL81="Cancelled",AH81="Failed"),"Exclude","Include")</f>
        <v>Include</v>
      </c>
      <c r="AW81" t="str">
        <f t="shared" si="42"/>
        <v>Match</v>
      </c>
      <c r="AX81" t="str">
        <f t="shared" si="43"/>
        <v>Match</v>
      </c>
    </row>
    <row r="82" spans="1:50">
      <c r="A82" t="s">
        <v>501</v>
      </c>
      <c r="B82">
        <f t="shared" si="31"/>
        <v>1</v>
      </c>
      <c r="C82" t="str">
        <f t="shared" si="32"/>
        <v/>
      </c>
      <c r="D82" s="3" t="s">
        <v>502</v>
      </c>
      <c r="E82" s="7">
        <v>45514</v>
      </c>
      <c r="F82" s="3" t="s">
        <v>503</v>
      </c>
      <c r="G82" s="7">
        <v>45518</v>
      </c>
      <c r="H82" s="7" t="str">
        <f t="shared" si="22"/>
        <v>Valid</v>
      </c>
      <c r="I82" s="9">
        <f t="shared" si="23"/>
        <v>4</v>
      </c>
      <c r="J82" s="9" t="str">
        <f t="shared" si="24"/>
        <v>Valid</v>
      </c>
      <c r="K82" t="s">
        <v>504</v>
      </c>
      <c r="L82" t="s">
        <v>161</v>
      </c>
      <c r="M82" t="s">
        <v>161</v>
      </c>
      <c r="N82" t="s">
        <v>40</v>
      </c>
      <c r="O82" s="3" t="str">
        <f t="shared" si="25"/>
        <v>Small Business</v>
      </c>
      <c r="P82" t="s">
        <v>26</v>
      </c>
      <c r="Q82" s="3" t="str">
        <f t="shared" si="26"/>
        <v>North</v>
      </c>
      <c r="R82" t="s">
        <v>505</v>
      </c>
      <c r="S82" t="s">
        <v>506</v>
      </c>
      <c r="T82" t="s">
        <v>29</v>
      </c>
      <c r="U82" s="3" t="str">
        <f t="shared" si="27"/>
        <v>Office Supplies</v>
      </c>
      <c r="V82" t="s">
        <v>155</v>
      </c>
      <c r="W82" t="s">
        <v>507</v>
      </c>
      <c r="X82" t="s">
        <v>32</v>
      </c>
      <c r="Y82" s="3" t="str">
        <f t="shared" si="28"/>
        <v>Second Class</v>
      </c>
      <c r="Z82">
        <v>4</v>
      </c>
      <c r="AA82">
        <v>1182.32</v>
      </c>
      <c r="AB82">
        <v>0.1</v>
      </c>
      <c r="AC82">
        <f t="shared" si="29"/>
        <v>0.1</v>
      </c>
      <c r="AD82" t="str">
        <f t="shared" si="33"/>
        <v>Valid</v>
      </c>
      <c r="AE82">
        <v>4256.3500000000004</v>
      </c>
      <c r="AF82">
        <v>2495.33</v>
      </c>
      <c r="AG82">
        <v>1761.02</v>
      </c>
      <c r="AH82" t="s">
        <v>136</v>
      </c>
      <c r="AI82" t="str">
        <f t="shared" si="34"/>
        <v>Include</v>
      </c>
      <c r="AJ82" t="str">
        <f t="shared" si="35"/>
        <v/>
      </c>
      <c r="AK82" t="s">
        <v>124</v>
      </c>
      <c r="AL82" t="str">
        <f t="shared" si="30"/>
        <v>Returned</v>
      </c>
      <c r="AM82" t="str">
        <f t="shared" si="36"/>
        <v>Include</v>
      </c>
      <c r="AN82">
        <f t="shared" si="37"/>
        <v>4256.3519999999999</v>
      </c>
      <c r="AO82">
        <f t="shared" si="38"/>
        <v>1761.0219999999999</v>
      </c>
      <c r="AP82">
        <f>IF(AN82=0,0,AO82/AN82)</f>
        <v>0.41373974708858663</v>
      </c>
      <c r="AQ82" t="str">
        <f t="shared" si="39"/>
        <v>August</v>
      </c>
      <c r="AR82">
        <f t="shared" si="40"/>
        <v>2024</v>
      </c>
      <c r="AS82" t="str">
        <f t="shared" si="41"/>
        <v>Clean</v>
      </c>
      <c r="AT82" t="str">
        <f>IF(OR(AC82&lt;0,AC82&gt;0.5),"Invalid Discount","Valid")</f>
        <v>Valid</v>
      </c>
      <c r="AU82" t="str">
        <f>IF(G82&lt;E82,"Invalid Shipping Record","Valid")</f>
        <v>Valid</v>
      </c>
      <c r="AV82" t="str">
        <f>IF(OR(AL82="Cancelled",AH82="Failed"),"Exclude","Include")</f>
        <v>Include</v>
      </c>
      <c r="AW82" t="str">
        <f t="shared" si="42"/>
        <v>Match</v>
      </c>
      <c r="AX82" t="str">
        <f t="shared" si="43"/>
        <v>Match</v>
      </c>
    </row>
    <row r="83" spans="1:50">
      <c r="A83" t="s">
        <v>508</v>
      </c>
      <c r="B83">
        <f t="shared" si="31"/>
        <v>1</v>
      </c>
      <c r="C83" t="str">
        <f t="shared" si="32"/>
        <v/>
      </c>
      <c r="D83" s="3" t="s">
        <v>509</v>
      </c>
      <c r="E83" s="7">
        <v>45732</v>
      </c>
      <c r="F83" s="3" t="s">
        <v>510</v>
      </c>
      <c r="G83" s="7">
        <v>45733</v>
      </c>
      <c r="H83" s="7" t="str">
        <f t="shared" si="22"/>
        <v>Valid</v>
      </c>
      <c r="I83" s="9">
        <f t="shared" si="23"/>
        <v>1</v>
      </c>
      <c r="J83" s="9" t="str">
        <f t="shared" si="24"/>
        <v>Valid</v>
      </c>
      <c r="K83" t="s">
        <v>511</v>
      </c>
      <c r="L83" t="s">
        <v>24</v>
      </c>
      <c r="M83" t="s">
        <v>24</v>
      </c>
      <c r="N83" t="s">
        <v>114</v>
      </c>
      <c r="O83" s="3" t="str">
        <f t="shared" si="25"/>
        <v>Home Office</v>
      </c>
      <c r="P83" t="s">
        <v>72</v>
      </c>
      <c r="Q83" s="3" t="str">
        <f t="shared" si="26"/>
        <v>West</v>
      </c>
      <c r="R83" t="s">
        <v>248</v>
      </c>
      <c r="S83" t="s">
        <v>249</v>
      </c>
      <c r="T83" t="s">
        <v>29</v>
      </c>
      <c r="U83" s="3" t="str">
        <f t="shared" si="27"/>
        <v>Office Supplies</v>
      </c>
      <c r="V83" t="s">
        <v>108</v>
      </c>
      <c r="W83" t="s">
        <v>512</v>
      </c>
      <c r="X83" t="s">
        <v>47</v>
      </c>
      <c r="Y83" s="3" t="str">
        <f t="shared" si="28"/>
        <v>Same Day</v>
      </c>
      <c r="Z83">
        <v>3</v>
      </c>
      <c r="AA83">
        <v>1841.91</v>
      </c>
      <c r="AB83">
        <v>0</v>
      </c>
      <c r="AC83">
        <f t="shared" si="29"/>
        <v>0</v>
      </c>
      <c r="AD83" t="str">
        <f t="shared" si="33"/>
        <v>Valid</v>
      </c>
      <c r="AE83">
        <v>5525.73</v>
      </c>
      <c r="AF83">
        <v>3093.42</v>
      </c>
      <c r="AG83">
        <v>2432.31</v>
      </c>
      <c r="AH83" t="s">
        <v>33</v>
      </c>
      <c r="AI83" t="str">
        <f t="shared" si="34"/>
        <v>Include</v>
      </c>
      <c r="AJ83" t="str">
        <f t="shared" si="35"/>
        <v/>
      </c>
      <c r="AK83" t="s">
        <v>34</v>
      </c>
      <c r="AL83" t="str">
        <f t="shared" si="30"/>
        <v>Completed</v>
      </c>
      <c r="AM83" t="str">
        <f t="shared" si="36"/>
        <v>Include</v>
      </c>
      <c r="AN83">
        <f t="shared" si="37"/>
        <v>5525.7300000000005</v>
      </c>
      <c r="AO83">
        <f t="shared" si="38"/>
        <v>2432.3100000000004</v>
      </c>
      <c r="AP83">
        <f>IF(AN83=0,0,AO83/AN83)</f>
        <v>0.44017894468242208</v>
      </c>
      <c r="AQ83" t="str">
        <f t="shared" si="39"/>
        <v>March</v>
      </c>
      <c r="AR83">
        <f t="shared" si="40"/>
        <v>2025</v>
      </c>
      <c r="AS83" t="str">
        <f t="shared" si="41"/>
        <v>Clean</v>
      </c>
      <c r="AT83" t="str">
        <f>IF(OR(AC83&lt;0,AC83&gt;0.5),"Invalid Discount","Valid")</f>
        <v>Valid</v>
      </c>
      <c r="AU83" t="str">
        <f>IF(G83&lt;E83,"Invalid Shipping Record","Valid")</f>
        <v>Valid</v>
      </c>
      <c r="AV83" t="str">
        <f>IF(OR(AL83="Cancelled",AH83="Failed"),"Exclude","Include")</f>
        <v>Include</v>
      </c>
      <c r="AW83" t="str">
        <f t="shared" si="42"/>
        <v>Match</v>
      </c>
      <c r="AX83" t="str">
        <f t="shared" si="43"/>
        <v>Match</v>
      </c>
    </row>
    <row r="84" spans="1:50">
      <c r="A84" t="s">
        <v>513</v>
      </c>
      <c r="B84">
        <f t="shared" si="31"/>
        <v>1</v>
      </c>
      <c r="C84" t="str">
        <f t="shared" si="32"/>
        <v/>
      </c>
      <c r="D84" s="3" t="s">
        <v>514</v>
      </c>
      <c r="E84" s="7">
        <v>45507</v>
      </c>
      <c r="F84" s="3" t="s">
        <v>515</v>
      </c>
      <c r="G84" s="7">
        <v>45508</v>
      </c>
      <c r="H84" s="7" t="str">
        <f t="shared" si="22"/>
        <v>Valid</v>
      </c>
      <c r="I84" s="9">
        <f t="shared" si="23"/>
        <v>1</v>
      </c>
      <c r="J84" s="9" t="str">
        <f t="shared" si="24"/>
        <v>Valid</v>
      </c>
      <c r="K84" t="s">
        <v>516</v>
      </c>
      <c r="L84" t="s">
        <v>60</v>
      </c>
      <c r="M84" t="s">
        <v>60</v>
      </c>
      <c r="N84" t="s">
        <v>25</v>
      </c>
      <c r="O84" s="3" t="str">
        <f t="shared" si="25"/>
        <v>Consumer</v>
      </c>
      <c r="P84" t="s">
        <v>26</v>
      </c>
      <c r="Q84" s="3" t="str">
        <f t="shared" si="26"/>
        <v>North</v>
      </c>
      <c r="R84" t="s">
        <v>173</v>
      </c>
      <c r="S84" t="s">
        <v>174</v>
      </c>
      <c r="T84" t="s">
        <v>85</v>
      </c>
      <c r="U84" s="3" t="str">
        <f t="shared" si="27"/>
        <v>Technology</v>
      </c>
      <c r="V84" t="s">
        <v>93</v>
      </c>
      <c r="W84" t="s">
        <v>517</v>
      </c>
      <c r="X84" t="s">
        <v>32</v>
      </c>
      <c r="Y84" s="3" t="str">
        <f t="shared" si="28"/>
        <v>Second Class</v>
      </c>
      <c r="Z84">
        <v>6</v>
      </c>
      <c r="AA84">
        <v>1001.73</v>
      </c>
      <c r="AB84">
        <v>0</v>
      </c>
      <c r="AC84">
        <f t="shared" si="29"/>
        <v>0</v>
      </c>
      <c r="AD84" t="str">
        <f t="shared" si="33"/>
        <v>Valid</v>
      </c>
      <c r="AE84">
        <v>6010.38</v>
      </c>
      <c r="AF84">
        <v>3762.85</v>
      </c>
      <c r="AG84">
        <v>2247.5300000000002</v>
      </c>
      <c r="AH84" t="s">
        <v>199</v>
      </c>
      <c r="AI84" t="str">
        <f t="shared" si="34"/>
        <v>Exclude</v>
      </c>
      <c r="AJ84" t="str">
        <f t="shared" si="35"/>
        <v/>
      </c>
      <c r="AK84" t="s">
        <v>124</v>
      </c>
      <c r="AL84" t="str">
        <f t="shared" si="30"/>
        <v>Returned</v>
      </c>
      <c r="AM84" t="str">
        <f t="shared" si="36"/>
        <v>Include</v>
      </c>
      <c r="AN84">
        <f t="shared" si="37"/>
        <v>6010.38</v>
      </c>
      <c r="AO84">
        <f t="shared" si="38"/>
        <v>2247.5300000000002</v>
      </c>
      <c r="AP84">
        <f>IF(AN84=0,0,AO84/AN84)</f>
        <v>0.37394141468592673</v>
      </c>
      <c r="AQ84" t="str">
        <f t="shared" si="39"/>
        <v>August</v>
      </c>
      <c r="AR84">
        <f t="shared" si="40"/>
        <v>2024</v>
      </c>
      <c r="AS84" t="str">
        <f t="shared" si="41"/>
        <v>Clean</v>
      </c>
      <c r="AT84" t="str">
        <f>IF(OR(AC84&lt;0,AC84&gt;0.5),"Invalid Discount","Valid")</f>
        <v>Valid</v>
      </c>
      <c r="AU84" t="str">
        <f>IF(G84&lt;E84,"Invalid Shipping Record","Valid")</f>
        <v>Valid</v>
      </c>
      <c r="AV84" t="str">
        <f>IF(OR(AL84="Cancelled",AH84="Failed"),"Exclude","Include")</f>
        <v>Exclude</v>
      </c>
      <c r="AW84" t="str">
        <f t="shared" si="42"/>
        <v>Match</v>
      </c>
      <c r="AX84" t="str">
        <f t="shared" si="43"/>
        <v>Match</v>
      </c>
    </row>
    <row r="85" spans="1:50">
      <c r="A85" t="s">
        <v>518</v>
      </c>
      <c r="B85">
        <f t="shared" si="31"/>
        <v>1</v>
      </c>
      <c r="C85" t="str">
        <f t="shared" si="32"/>
        <v/>
      </c>
      <c r="D85" s="3" t="s">
        <v>362</v>
      </c>
      <c r="E85" s="7">
        <v>45591</v>
      </c>
      <c r="F85" s="3" t="s">
        <v>519</v>
      </c>
      <c r="G85" s="7">
        <v>45594</v>
      </c>
      <c r="H85" s="7" t="str">
        <f t="shared" si="22"/>
        <v>Valid</v>
      </c>
      <c r="I85" s="9">
        <f t="shared" si="23"/>
        <v>3</v>
      </c>
      <c r="J85" s="9" t="str">
        <f t="shared" si="24"/>
        <v>Valid</v>
      </c>
      <c r="K85" t="s">
        <v>520</v>
      </c>
      <c r="L85" t="s">
        <v>106</v>
      </c>
      <c r="M85" t="s">
        <v>106</v>
      </c>
      <c r="N85" t="s">
        <v>114</v>
      </c>
      <c r="O85" s="3" t="str">
        <f t="shared" si="25"/>
        <v>Home Office</v>
      </c>
      <c r="P85" t="s">
        <v>72</v>
      </c>
      <c r="Q85" s="3" t="str">
        <f t="shared" si="26"/>
        <v>West</v>
      </c>
      <c r="R85" t="s">
        <v>73</v>
      </c>
      <c r="S85" t="s">
        <v>74</v>
      </c>
      <c r="T85" t="s">
        <v>44</v>
      </c>
      <c r="U85" s="3" t="str">
        <f t="shared" si="27"/>
        <v>Furniture</v>
      </c>
      <c r="V85" t="s">
        <v>45</v>
      </c>
      <c r="W85" t="s">
        <v>521</v>
      </c>
      <c r="X85" t="s">
        <v>32</v>
      </c>
      <c r="Y85" s="3" t="str">
        <f t="shared" si="28"/>
        <v>Second Class</v>
      </c>
      <c r="Z85">
        <v>9</v>
      </c>
      <c r="AA85">
        <v>131.74</v>
      </c>
      <c r="AB85">
        <v>0.2</v>
      </c>
      <c r="AC85">
        <f t="shared" si="29"/>
        <v>0.2</v>
      </c>
      <c r="AD85" t="str">
        <f t="shared" si="33"/>
        <v>Valid</v>
      </c>
      <c r="AE85">
        <v>948.53</v>
      </c>
      <c r="AF85">
        <v>674.62</v>
      </c>
      <c r="AG85">
        <v>273.91000000000003</v>
      </c>
      <c r="AH85" t="s">
        <v>33</v>
      </c>
      <c r="AI85" t="str">
        <f t="shared" si="34"/>
        <v>Include</v>
      </c>
      <c r="AJ85" t="str">
        <f t="shared" si="35"/>
        <v/>
      </c>
      <c r="AK85" t="s">
        <v>34</v>
      </c>
      <c r="AL85" t="str">
        <f t="shared" si="30"/>
        <v>Completed</v>
      </c>
      <c r="AM85" t="str">
        <f t="shared" si="36"/>
        <v>Include</v>
      </c>
      <c r="AN85">
        <f t="shared" si="37"/>
        <v>948.52800000000013</v>
      </c>
      <c r="AO85">
        <f t="shared" si="38"/>
        <v>273.90800000000013</v>
      </c>
      <c r="AP85">
        <f>IF(AN85=0,0,AO85/AN85)</f>
        <v>0.28877165460587362</v>
      </c>
      <c r="AQ85" t="str">
        <f t="shared" si="39"/>
        <v>October</v>
      </c>
      <c r="AR85">
        <f t="shared" si="40"/>
        <v>2024</v>
      </c>
      <c r="AS85" t="str">
        <f t="shared" si="41"/>
        <v>Clean</v>
      </c>
      <c r="AT85" t="str">
        <f>IF(OR(AC85&lt;0,AC85&gt;0.5),"Invalid Discount","Valid")</f>
        <v>Valid</v>
      </c>
      <c r="AU85" t="str">
        <f>IF(G85&lt;E85,"Invalid Shipping Record","Valid")</f>
        <v>Valid</v>
      </c>
      <c r="AV85" t="str">
        <f>IF(OR(AL85="Cancelled",AH85="Failed"),"Exclude","Include")</f>
        <v>Include</v>
      </c>
      <c r="AW85" t="str">
        <f t="shared" si="42"/>
        <v>Match</v>
      </c>
      <c r="AX85" t="str">
        <f t="shared" si="43"/>
        <v>Match</v>
      </c>
    </row>
    <row r="86" spans="1:50">
      <c r="A86" t="s">
        <v>522</v>
      </c>
      <c r="B86">
        <f t="shared" si="31"/>
        <v>1</v>
      </c>
      <c r="C86" t="str">
        <f t="shared" si="32"/>
        <v/>
      </c>
      <c r="D86" s="3" t="s">
        <v>523</v>
      </c>
      <c r="E86" s="7">
        <v>45566</v>
      </c>
      <c r="F86" s="3" t="s">
        <v>524</v>
      </c>
      <c r="G86" s="7">
        <v>45568</v>
      </c>
      <c r="H86" s="7" t="str">
        <f t="shared" si="22"/>
        <v>Valid</v>
      </c>
      <c r="I86" s="9">
        <f t="shared" si="23"/>
        <v>2</v>
      </c>
      <c r="J86" s="9" t="str">
        <f t="shared" si="24"/>
        <v>Valid</v>
      </c>
      <c r="K86" t="s">
        <v>525</v>
      </c>
      <c r="L86" t="s">
        <v>179</v>
      </c>
      <c r="M86" t="s">
        <v>179</v>
      </c>
      <c r="N86" t="s">
        <v>107</v>
      </c>
      <c r="O86" s="3" t="str">
        <f t="shared" si="25"/>
        <v>Corporate</v>
      </c>
      <c r="P86" t="s">
        <v>61</v>
      </c>
      <c r="Q86" s="3" t="str">
        <f t="shared" si="26"/>
        <v>South</v>
      </c>
      <c r="R86" t="s">
        <v>338</v>
      </c>
      <c r="S86" t="s">
        <v>339</v>
      </c>
      <c r="T86" t="s">
        <v>85</v>
      </c>
      <c r="U86" s="3" t="str">
        <f t="shared" si="27"/>
        <v>Technology</v>
      </c>
      <c r="V86" t="s">
        <v>222</v>
      </c>
      <c r="W86" t="s">
        <v>526</v>
      </c>
      <c r="X86" t="s">
        <v>32</v>
      </c>
      <c r="Y86" s="3" t="str">
        <f t="shared" si="28"/>
        <v>Second Class</v>
      </c>
      <c r="Z86">
        <v>6</v>
      </c>
      <c r="AA86">
        <v>570.28</v>
      </c>
      <c r="AB86">
        <v>0.2</v>
      </c>
      <c r="AC86">
        <f t="shared" si="29"/>
        <v>0.2</v>
      </c>
      <c r="AD86" t="str">
        <f t="shared" si="33"/>
        <v>Valid</v>
      </c>
      <c r="AE86">
        <v>2737.34</v>
      </c>
      <c r="AF86">
        <v>2085.44</v>
      </c>
      <c r="AG86">
        <v>651.9</v>
      </c>
      <c r="AH86" t="s">
        <v>33</v>
      </c>
      <c r="AI86" t="str">
        <f t="shared" si="34"/>
        <v>Include</v>
      </c>
      <c r="AJ86" t="str">
        <f t="shared" si="35"/>
        <v/>
      </c>
      <c r="AK86" t="s">
        <v>34</v>
      </c>
      <c r="AL86" t="str">
        <f t="shared" si="30"/>
        <v>Completed</v>
      </c>
      <c r="AM86" t="str">
        <f t="shared" si="36"/>
        <v>Include</v>
      </c>
      <c r="AN86">
        <f t="shared" si="37"/>
        <v>2737.3440000000001</v>
      </c>
      <c r="AO86">
        <f t="shared" si="38"/>
        <v>651.904</v>
      </c>
      <c r="AP86">
        <f>IF(AN86=0,0,AO86/AN86)</f>
        <v>0.23815201889130486</v>
      </c>
      <c r="AQ86" t="str">
        <f t="shared" si="39"/>
        <v>October</v>
      </c>
      <c r="AR86">
        <f t="shared" si="40"/>
        <v>2024</v>
      </c>
      <c r="AS86" t="str">
        <f t="shared" si="41"/>
        <v>Clean</v>
      </c>
      <c r="AT86" t="str">
        <f>IF(OR(AC86&lt;0,AC86&gt;0.5),"Invalid Discount","Valid")</f>
        <v>Valid</v>
      </c>
      <c r="AU86" t="str">
        <f>IF(G86&lt;E86,"Invalid Shipping Record","Valid")</f>
        <v>Valid</v>
      </c>
      <c r="AV86" t="str">
        <f>IF(OR(AL86="Cancelled",AH86="Failed"),"Exclude","Include")</f>
        <v>Include</v>
      </c>
      <c r="AW86" t="str">
        <f t="shared" si="42"/>
        <v>Match</v>
      </c>
      <c r="AX86" t="str">
        <f t="shared" si="43"/>
        <v>Match</v>
      </c>
    </row>
    <row r="87" spans="1:50">
      <c r="A87" t="s">
        <v>527</v>
      </c>
      <c r="B87">
        <f t="shared" si="31"/>
        <v>1</v>
      </c>
      <c r="C87" t="str">
        <f t="shared" si="32"/>
        <v/>
      </c>
      <c r="D87" s="3" t="s">
        <v>528</v>
      </c>
      <c r="E87" s="7">
        <v>45503</v>
      </c>
      <c r="F87" s="3" t="s">
        <v>529</v>
      </c>
      <c r="G87" s="7">
        <v>45509</v>
      </c>
      <c r="H87" s="7" t="str">
        <f t="shared" si="22"/>
        <v>Valid</v>
      </c>
      <c r="I87" s="9">
        <f t="shared" si="23"/>
        <v>6</v>
      </c>
      <c r="J87" s="9" t="str">
        <f t="shared" si="24"/>
        <v>Valid</v>
      </c>
      <c r="K87" t="s">
        <v>530</v>
      </c>
      <c r="L87" t="s">
        <v>365</v>
      </c>
      <c r="M87" t="s">
        <v>365</v>
      </c>
      <c r="N87" t="s">
        <v>107</v>
      </c>
      <c r="O87" s="3" t="str">
        <f t="shared" si="25"/>
        <v>Corporate</v>
      </c>
      <c r="P87" t="s">
        <v>26</v>
      </c>
      <c r="Q87" s="3" t="str">
        <f t="shared" si="26"/>
        <v>North</v>
      </c>
      <c r="R87" t="s">
        <v>505</v>
      </c>
      <c r="S87" t="s">
        <v>506</v>
      </c>
      <c r="T87" t="s">
        <v>29</v>
      </c>
      <c r="U87" s="3" t="str">
        <f t="shared" si="27"/>
        <v>Office Supplies</v>
      </c>
      <c r="V87" t="s">
        <v>197</v>
      </c>
      <c r="W87" t="s">
        <v>531</v>
      </c>
      <c r="X87" t="s">
        <v>66</v>
      </c>
      <c r="Y87" s="3" t="str">
        <f t="shared" si="28"/>
        <v>Standard Class</v>
      </c>
      <c r="Z87">
        <v>1</v>
      </c>
      <c r="AA87">
        <v>608.64</v>
      </c>
      <c r="AB87">
        <v>0</v>
      </c>
      <c r="AC87">
        <f t="shared" si="29"/>
        <v>0</v>
      </c>
      <c r="AD87" t="str">
        <f t="shared" si="33"/>
        <v>Valid</v>
      </c>
      <c r="AE87">
        <v>608.64</v>
      </c>
      <c r="AF87">
        <v>343.99</v>
      </c>
      <c r="AG87">
        <v>264.64999999999998</v>
      </c>
      <c r="AH87" t="s">
        <v>33</v>
      </c>
      <c r="AI87" t="str">
        <f t="shared" si="34"/>
        <v>Exclude</v>
      </c>
      <c r="AJ87" t="str">
        <f t="shared" si="35"/>
        <v/>
      </c>
      <c r="AK87" t="s">
        <v>77</v>
      </c>
      <c r="AL87" t="str">
        <f t="shared" si="30"/>
        <v>Cancelled</v>
      </c>
      <c r="AM87" t="str">
        <f t="shared" si="36"/>
        <v>Exclude</v>
      </c>
      <c r="AN87">
        <f t="shared" si="37"/>
        <v>608.64</v>
      </c>
      <c r="AO87">
        <f t="shared" si="38"/>
        <v>264.64999999999998</v>
      </c>
      <c r="AP87">
        <f>IF(AN87=0,0,AO87/AN87)</f>
        <v>0.43482189800210302</v>
      </c>
      <c r="AQ87" t="str">
        <f t="shared" si="39"/>
        <v>July</v>
      </c>
      <c r="AR87">
        <f t="shared" si="40"/>
        <v>2024</v>
      </c>
      <c r="AS87" t="str">
        <f t="shared" si="41"/>
        <v>Clean</v>
      </c>
      <c r="AT87" t="str">
        <f>IF(OR(AC87&lt;0,AC87&gt;0.5),"Invalid Discount","Valid")</f>
        <v>Valid</v>
      </c>
      <c r="AU87" t="str">
        <f>IF(G87&lt;E87,"Invalid Shipping Record","Valid")</f>
        <v>Valid</v>
      </c>
      <c r="AV87" t="str">
        <f>IF(OR(AL87="Cancelled",AH87="Failed"),"Exclude","Include")</f>
        <v>Exclude</v>
      </c>
      <c r="AW87" t="str">
        <f t="shared" si="42"/>
        <v>Match</v>
      </c>
      <c r="AX87" t="str">
        <f t="shared" si="43"/>
        <v>Match</v>
      </c>
    </row>
    <row r="88" spans="1:50">
      <c r="A88" t="s">
        <v>532</v>
      </c>
      <c r="B88">
        <f t="shared" si="31"/>
        <v>1</v>
      </c>
      <c r="C88" t="str">
        <f t="shared" si="32"/>
        <v/>
      </c>
      <c r="D88" s="3" t="s">
        <v>533</v>
      </c>
      <c r="E88" s="7">
        <v>45474</v>
      </c>
      <c r="F88" s="3" t="s">
        <v>533</v>
      </c>
      <c r="G88" s="7">
        <v>45474</v>
      </c>
      <c r="H88" s="7" t="str">
        <f t="shared" si="22"/>
        <v>Valid</v>
      </c>
      <c r="I88" s="9">
        <f t="shared" si="23"/>
        <v>0</v>
      </c>
      <c r="J88" s="9" t="str">
        <f t="shared" si="24"/>
        <v>Valid</v>
      </c>
      <c r="K88" t="s">
        <v>534</v>
      </c>
      <c r="L88" t="s">
        <v>71</v>
      </c>
      <c r="M88" t="s">
        <v>71</v>
      </c>
      <c r="N88" t="s">
        <v>40</v>
      </c>
      <c r="O88" s="3" t="str">
        <f t="shared" si="25"/>
        <v>Small Business</v>
      </c>
      <c r="P88" t="s">
        <v>26</v>
      </c>
      <c r="Q88" s="3" t="str">
        <f t="shared" si="26"/>
        <v>North</v>
      </c>
      <c r="R88" t="s">
        <v>505</v>
      </c>
      <c r="S88" t="s">
        <v>506</v>
      </c>
      <c r="T88" t="s">
        <v>85</v>
      </c>
      <c r="U88" s="3" t="str">
        <f t="shared" si="27"/>
        <v>Technology</v>
      </c>
      <c r="V88" t="s">
        <v>93</v>
      </c>
      <c r="W88" t="s">
        <v>535</v>
      </c>
      <c r="X88" t="s">
        <v>32</v>
      </c>
      <c r="Y88" s="3" t="str">
        <f t="shared" si="28"/>
        <v>Second Class</v>
      </c>
      <c r="Z88">
        <v>3</v>
      </c>
      <c r="AA88">
        <v>885.28</v>
      </c>
      <c r="AB88">
        <v>0.1</v>
      </c>
      <c r="AC88">
        <f t="shared" si="29"/>
        <v>0.1</v>
      </c>
      <c r="AD88" t="str">
        <f t="shared" si="33"/>
        <v>Valid</v>
      </c>
      <c r="AE88">
        <v>2390.2600000000002</v>
      </c>
      <c r="AF88">
        <v>1495.94</v>
      </c>
      <c r="AG88">
        <v>894.32</v>
      </c>
      <c r="AH88" t="s">
        <v>123</v>
      </c>
      <c r="AI88" t="str">
        <f t="shared" si="34"/>
        <v>Exclude</v>
      </c>
      <c r="AJ88" t="str">
        <f t="shared" si="35"/>
        <v>Refunded Order</v>
      </c>
      <c r="AK88" t="s">
        <v>77</v>
      </c>
      <c r="AL88" t="str">
        <f t="shared" si="30"/>
        <v>Cancelled</v>
      </c>
      <c r="AM88" t="str">
        <f t="shared" si="36"/>
        <v>Exclude</v>
      </c>
      <c r="AN88">
        <f t="shared" si="37"/>
        <v>2390.2560000000003</v>
      </c>
      <c r="AO88">
        <f t="shared" si="38"/>
        <v>894.31600000000026</v>
      </c>
      <c r="AP88">
        <f>IF(AN88=0,0,AO88/AN88)</f>
        <v>0.37415071858411825</v>
      </c>
      <c r="AQ88" t="str">
        <f t="shared" si="39"/>
        <v>July</v>
      </c>
      <c r="AR88">
        <f t="shared" si="40"/>
        <v>2024</v>
      </c>
      <c r="AS88" t="str">
        <f t="shared" si="41"/>
        <v>Clean</v>
      </c>
      <c r="AT88" t="str">
        <f>IF(OR(AC88&lt;0,AC88&gt;0.5),"Invalid Discount","Valid")</f>
        <v>Valid</v>
      </c>
      <c r="AU88" t="str">
        <f>IF(G88&lt;E88,"Invalid Shipping Record","Valid")</f>
        <v>Valid</v>
      </c>
      <c r="AV88" t="str">
        <f>IF(OR(AL88="Cancelled",AH88="Failed"),"Exclude","Include")</f>
        <v>Exclude</v>
      </c>
      <c r="AW88" t="str">
        <f t="shared" si="42"/>
        <v>Match</v>
      </c>
      <c r="AX88" t="str">
        <f t="shared" si="43"/>
        <v>Match</v>
      </c>
    </row>
    <row r="89" spans="1:50">
      <c r="A89" t="s">
        <v>536</v>
      </c>
      <c r="B89">
        <f t="shared" si="31"/>
        <v>1</v>
      </c>
      <c r="C89" t="str">
        <f t="shared" si="32"/>
        <v/>
      </c>
      <c r="D89" s="3" t="s">
        <v>537</v>
      </c>
      <c r="E89" s="7">
        <v>45506</v>
      </c>
      <c r="F89" s="3" t="s">
        <v>514</v>
      </c>
      <c r="G89" s="7">
        <v>45507</v>
      </c>
      <c r="H89" s="7" t="str">
        <f t="shared" si="22"/>
        <v>Valid</v>
      </c>
      <c r="I89" s="9">
        <f t="shared" si="23"/>
        <v>1</v>
      </c>
      <c r="J89" s="9" t="str">
        <f t="shared" si="24"/>
        <v>Valid</v>
      </c>
      <c r="K89" t="s">
        <v>538</v>
      </c>
      <c r="L89" t="s">
        <v>82</v>
      </c>
      <c r="M89" t="s">
        <v>82</v>
      </c>
      <c r="N89" t="s">
        <v>25</v>
      </c>
      <c r="O89" s="3" t="str">
        <f t="shared" si="25"/>
        <v>Consumer</v>
      </c>
      <c r="P89" t="s">
        <v>41</v>
      </c>
      <c r="Q89" s="3" t="str">
        <f t="shared" si="26"/>
        <v>East</v>
      </c>
      <c r="R89" t="s">
        <v>215</v>
      </c>
      <c r="S89" t="s">
        <v>216</v>
      </c>
      <c r="T89" t="s">
        <v>29</v>
      </c>
      <c r="U89" s="3" t="str">
        <f t="shared" si="27"/>
        <v>Office Supplies</v>
      </c>
      <c r="V89" t="s">
        <v>197</v>
      </c>
      <c r="W89" t="s">
        <v>539</v>
      </c>
      <c r="X89" t="s">
        <v>66</v>
      </c>
      <c r="Y89" s="3" t="str">
        <f t="shared" si="28"/>
        <v>Standard Class</v>
      </c>
      <c r="Z89">
        <v>7</v>
      </c>
      <c r="AA89">
        <v>3345.22</v>
      </c>
      <c r="AB89">
        <v>0</v>
      </c>
      <c r="AC89">
        <f t="shared" si="29"/>
        <v>0</v>
      </c>
      <c r="AD89" t="str">
        <f t="shared" si="33"/>
        <v>Valid</v>
      </c>
      <c r="AE89">
        <v>23416.54</v>
      </c>
      <c r="AF89">
        <v>15490.89</v>
      </c>
      <c r="AG89">
        <v>7925.65</v>
      </c>
      <c r="AH89" t="s">
        <v>33</v>
      </c>
      <c r="AI89" t="str">
        <f t="shared" si="34"/>
        <v>Include</v>
      </c>
      <c r="AJ89" t="str">
        <f t="shared" si="35"/>
        <v/>
      </c>
      <c r="AK89" t="s">
        <v>34</v>
      </c>
      <c r="AL89" t="str">
        <f t="shared" si="30"/>
        <v>Completed</v>
      </c>
      <c r="AM89" t="str">
        <f t="shared" si="36"/>
        <v>Include</v>
      </c>
      <c r="AN89">
        <f t="shared" si="37"/>
        <v>23416.539999999997</v>
      </c>
      <c r="AO89">
        <f t="shared" si="38"/>
        <v>7925.6499999999978</v>
      </c>
      <c r="AP89">
        <f>IF(AN89=0,0,AO89/AN89)</f>
        <v>0.33846375254414185</v>
      </c>
      <c r="AQ89" t="str">
        <f t="shared" si="39"/>
        <v>August</v>
      </c>
      <c r="AR89">
        <f t="shared" si="40"/>
        <v>2024</v>
      </c>
      <c r="AS89" t="str">
        <f t="shared" si="41"/>
        <v>Clean</v>
      </c>
      <c r="AT89" t="str">
        <f>IF(OR(AC89&lt;0,AC89&gt;0.5),"Invalid Discount","Valid")</f>
        <v>Valid</v>
      </c>
      <c r="AU89" t="str">
        <f>IF(G89&lt;E89,"Invalid Shipping Record","Valid")</f>
        <v>Valid</v>
      </c>
      <c r="AV89" t="str">
        <f>IF(OR(AL89="Cancelled",AH89="Failed"),"Exclude","Include")</f>
        <v>Include</v>
      </c>
      <c r="AW89" t="str">
        <f t="shared" si="42"/>
        <v>Match</v>
      </c>
      <c r="AX89" t="str">
        <f t="shared" si="43"/>
        <v>Match</v>
      </c>
    </row>
    <row r="90" spans="1:50">
      <c r="A90" t="s">
        <v>540</v>
      </c>
      <c r="B90">
        <f t="shared" si="31"/>
        <v>1</v>
      </c>
      <c r="C90" t="str">
        <f t="shared" si="32"/>
        <v/>
      </c>
      <c r="D90" s="3" t="s">
        <v>541</v>
      </c>
      <c r="E90" s="7">
        <v>45375</v>
      </c>
      <c r="F90" s="3" t="s">
        <v>542</v>
      </c>
      <c r="G90" s="7">
        <v>45378</v>
      </c>
      <c r="H90" s="7" t="str">
        <f t="shared" si="22"/>
        <v>Valid</v>
      </c>
      <c r="I90" s="9">
        <f t="shared" si="23"/>
        <v>3</v>
      </c>
      <c r="J90" s="9" t="str">
        <f t="shared" si="24"/>
        <v>Valid</v>
      </c>
      <c r="K90" t="s">
        <v>543</v>
      </c>
      <c r="L90" t="s">
        <v>179</v>
      </c>
      <c r="M90" t="s">
        <v>179</v>
      </c>
      <c r="N90" t="s">
        <v>40</v>
      </c>
      <c r="O90" s="3" t="str">
        <f t="shared" si="25"/>
        <v>Small Business</v>
      </c>
      <c r="P90" t="s">
        <v>72</v>
      </c>
      <c r="Q90" s="3" t="str">
        <f t="shared" si="26"/>
        <v>West</v>
      </c>
      <c r="R90" t="s">
        <v>73</v>
      </c>
      <c r="S90" t="s">
        <v>74</v>
      </c>
      <c r="T90" t="s">
        <v>44</v>
      </c>
      <c r="U90" s="3" t="str">
        <f t="shared" si="27"/>
        <v>Furniture</v>
      </c>
      <c r="V90" t="s">
        <v>203</v>
      </c>
      <c r="W90" t="s">
        <v>544</v>
      </c>
      <c r="X90" t="s">
        <v>66</v>
      </c>
      <c r="Y90" s="3" t="str">
        <f t="shared" si="28"/>
        <v>Standard Class</v>
      </c>
      <c r="Z90">
        <v>2</v>
      </c>
      <c r="AA90">
        <v>3284.75</v>
      </c>
      <c r="AB90">
        <v>0.05</v>
      </c>
      <c r="AC90">
        <f t="shared" si="29"/>
        <v>0.05</v>
      </c>
      <c r="AD90" t="str">
        <f t="shared" si="33"/>
        <v>Valid</v>
      </c>
      <c r="AE90">
        <v>6241.02</v>
      </c>
      <c r="AF90">
        <v>5345.88</v>
      </c>
      <c r="AG90">
        <v>895.14</v>
      </c>
      <c r="AH90" t="s">
        <v>33</v>
      </c>
      <c r="AI90" t="str">
        <f t="shared" si="34"/>
        <v>Include</v>
      </c>
      <c r="AJ90" t="str">
        <f t="shared" si="35"/>
        <v/>
      </c>
      <c r="AK90" t="s">
        <v>34</v>
      </c>
      <c r="AL90" t="str">
        <f t="shared" si="30"/>
        <v>Completed</v>
      </c>
      <c r="AM90" t="str">
        <f t="shared" si="36"/>
        <v>Include</v>
      </c>
      <c r="AN90">
        <f t="shared" si="37"/>
        <v>6241.0249999999996</v>
      </c>
      <c r="AO90">
        <f t="shared" si="38"/>
        <v>895.14499999999953</v>
      </c>
      <c r="AP90">
        <f>IF(AN90=0,0,AO90/AN90)</f>
        <v>0.14342916427990587</v>
      </c>
      <c r="AQ90" t="str">
        <f t="shared" si="39"/>
        <v>March</v>
      </c>
      <c r="AR90">
        <f t="shared" si="40"/>
        <v>2024</v>
      </c>
      <c r="AS90" t="str">
        <f t="shared" si="41"/>
        <v>Clean</v>
      </c>
      <c r="AT90" t="str">
        <f>IF(OR(AC90&lt;0,AC90&gt;0.5),"Invalid Discount","Valid")</f>
        <v>Valid</v>
      </c>
      <c r="AU90" t="str">
        <f>IF(G90&lt;E90,"Invalid Shipping Record","Valid")</f>
        <v>Valid</v>
      </c>
      <c r="AV90" t="str">
        <f>IF(OR(AL90="Cancelled",AH90="Failed"),"Exclude","Include")</f>
        <v>Include</v>
      </c>
      <c r="AW90" t="str">
        <f t="shared" si="42"/>
        <v>Mismatch</v>
      </c>
      <c r="AX90" t="str">
        <f t="shared" si="43"/>
        <v>Mismatch</v>
      </c>
    </row>
    <row r="91" spans="1:50">
      <c r="A91" t="s">
        <v>545</v>
      </c>
      <c r="B91">
        <f t="shared" si="31"/>
        <v>1</v>
      </c>
      <c r="C91" t="str">
        <f t="shared" si="32"/>
        <v/>
      </c>
      <c r="D91" s="3" t="s">
        <v>37</v>
      </c>
      <c r="E91" s="7">
        <v>45540</v>
      </c>
      <c r="F91" s="3" t="s">
        <v>37</v>
      </c>
      <c r="G91" s="7">
        <v>45540</v>
      </c>
      <c r="H91" s="7" t="str">
        <f t="shared" si="22"/>
        <v>Valid</v>
      </c>
      <c r="I91" s="9">
        <f t="shared" si="23"/>
        <v>0</v>
      </c>
      <c r="J91" s="9" t="str">
        <f t="shared" si="24"/>
        <v>Valid</v>
      </c>
      <c r="K91" t="s">
        <v>546</v>
      </c>
      <c r="L91" t="s">
        <v>365</v>
      </c>
      <c r="M91" t="s">
        <v>365</v>
      </c>
      <c r="N91" t="s">
        <v>25</v>
      </c>
      <c r="O91" s="3" t="str">
        <f t="shared" si="25"/>
        <v>Consumer</v>
      </c>
      <c r="P91" t="s">
        <v>61</v>
      </c>
      <c r="Q91" s="3" t="str">
        <f t="shared" si="26"/>
        <v>South</v>
      </c>
      <c r="R91" t="s">
        <v>99</v>
      </c>
      <c r="S91" t="s">
        <v>100</v>
      </c>
      <c r="T91" t="s">
        <v>44</v>
      </c>
      <c r="U91" s="3" t="str">
        <f t="shared" si="27"/>
        <v>Furniture</v>
      </c>
      <c r="V91" t="s">
        <v>203</v>
      </c>
      <c r="W91" t="s">
        <v>547</v>
      </c>
      <c r="X91" t="s">
        <v>66</v>
      </c>
      <c r="Y91" s="3" t="str">
        <f t="shared" si="28"/>
        <v>Standard Class</v>
      </c>
      <c r="Z91">
        <v>7</v>
      </c>
      <c r="AA91">
        <v>3761.09</v>
      </c>
      <c r="AB91">
        <v>0.2</v>
      </c>
      <c r="AC91">
        <f t="shared" si="29"/>
        <v>0.2</v>
      </c>
      <c r="AD91" t="str">
        <f t="shared" si="33"/>
        <v>Valid</v>
      </c>
      <c r="AE91">
        <v>21062.1</v>
      </c>
      <c r="AF91">
        <v>12057.13</v>
      </c>
      <c r="AG91">
        <v>9004.9699999999993</v>
      </c>
      <c r="AH91" t="s">
        <v>136</v>
      </c>
      <c r="AI91" t="str">
        <f t="shared" si="34"/>
        <v>Exclude</v>
      </c>
      <c r="AJ91" t="str">
        <f t="shared" si="35"/>
        <v/>
      </c>
      <c r="AK91" t="s">
        <v>77</v>
      </c>
      <c r="AL91" t="str">
        <f t="shared" si="30"/>
        <v>Cancelled</v>
      </c>
      <c r="AM91" t="str">
        <f t="shared" si="36"/>
        <v>Exclude</v>
      </c>
      <c r="AN91">
        <f t="shared" si="37"/>
        <v>21062.104000000003</v>
      </c>
      <c r="AO91">
        <f t="shared" si="38"/>
        <v>9004.9740000000038</v>
      </c>
      <c r="AP91">
        <f>IF(AN91=0,0,AO91/AN91)</f>
        <v>0.42754389589947911</v>
      </c>
      <c r="AQ91" t="str">
        <f t="shared" si="39"/>
        <v>September</v>
      </c>
      <c r="AR91">
        <f t="shared" si="40"/>
        <v>2024</v>
      </c>
      <c r="AS91" t="str">
        <f t="shared" si="41"/>
        <v>Clean</v>
      </c>
      <c r="AT91" t="str">
        <f>IF(OR(AC91&lt;0,AC91&gt;0.5),"Invalid Discount","Valid")</f>
        <v>Valid</v>
      </c>
      <c r="AU91" t="str">
        <f>IF(G91&lt;E91,"Invalid Shipping Record","Valid")</f>
        <v>Valid</v>
      </c>
      <c r="AV91" t="str">
        <f>IF(OR(AL91="Cancelled",AH91="Failed"),"Exclude","Include")</f>
        <v>Exclude</v>
      </c>
      <c r="AW91" t="str">
        <f t="shared" si="42"/>
        <v>Match</v>
      </c>
      <c r="AX91" t="str">
        <f t="shared" si="43"/>
        <v>Match</v>
      </c>
    </row>
    <row r="92" spans="1:50">
      <c r="A92" t="s">
        <v>707</v>
      </c>
      <c r="B92">
        <f t="shared" ref="B92:B155" si="44">COUNTIF($A:$A,A92)</f>
        <v>2</v>
      </c>
      <c r="C92" t="str">
        <f t="shared" si="32"/>
        <v>Review Required</v>
      </c>
      <c r="D92" s="3" t="s">
        <v>708</v>
      </c>
      <c r="E92" s="7">
        <v>45436</v>
      </c>
      <c r="F92" s="3" t="s">
        <v>709</v>
      </c>
      <c r="G92" s="7">
        <v>45437</v>
      </c>
      <c r="H92" s="7" t="str">
        <f t="shared" si="22"/>
        <v>Valid</v>
      </c>
      <c r="I92" s="9">
        <f t="shared" si="23"/>
        <v>1</v>
      </c>
      <c r="J92" s="9" t="str">
        <f t="shared" si="24"/>
        <v>Valid</v>
      </c>
      <c r="K92" t="s">
        <v>710</v>
      </c>
      <c r="L92" t="s">
        <v>167</v>
      </c>
      <c r="M92" t="s">
        <v>167</v>
      </c>
      <c r="N92" t="s">
        <v>40</v>
      </c>
      <c r="O92" s="3" t="str">
        <f t="shared" si="25"/>
        <v>Small Business</v>
      </c>
      <c r="P92" t="s">
        <v>711</v>
      </c>
      <c r="Q92" s="3" t="str">
        <f t="shared" si="26"/>
        <v>North</v>
      </c>
      <c r="R92" t="s">
        <v>153</v>
      </c>
      <c r="S92" t="s">
        <v>154</v>
      </c>
      <c r="T92" t="s">
        <v>85</v>
      </c>
      <c r="U92" s="3" t="str">
        <f t="shared" si="27"/>
        <v>Technology</v>
      </c>
      <c r="V92" t="s">
        <v>93</v>
      </c>
      <c r="W92" t="s">
        <v>712</v>
      </c>
      <c r="X92" t="s">
        <v>47</v>
      </c>
      <c r="Y92" s="3" t="str">
        <f t="shared" si="28"/>
        <v>Same Day</v>
      </c>
      <c r="Z92">
        <v>1</v>
      </c>
      <c r="AA92">
        <v>634.13</v>
      </c>
      <c r="AB92">
        <v>0</v>
      </c>
      <c r="AC92">
        <f t="shared" si="29"/>
        <v>0</v>
      </c>
      <c r="AD92" t="str">
        <f t="shared" si="33"/>
        <v>Valid</v>
      </c>
      <c r="AE92">
        <v>634.13</v>
      </c>
      <c r="AF92">
        <v>453.35</v>
      </c>
      <c r="AG92">
        <v>180.78</v>
      </c>
      <c r="AH92" t="s">
        <v>123</v>
      </c>
      <c r="AI92" t="str">
        <f t="shared" si="34"/>
        <v>Exclude</v>
      </c>
      <c r="AJ92" t="str">
        <f t="shared" si="35"/>
        <v>Refunded Order</v>
      </c>
      <c r="AK92" t="s">
        <v>77</v>
      </c>
      <c r="AL92" t="str">
        <f t="shared" si="30"/>
        <v>Cancelled</v>
      </c>
      <c r="AM92" t="str">
        <f t="shared" si="36"/>
        <v>Exclude</v>
      </c>
      <c r="AN92">
        <f t="shared" si="37"/>
        <v>634.13</v>
      </c>
      <c r="AO92">
        <f t="shared" si="38"/>
        <v>180.77999999999997</v>
      </c>
      <c r="AP92">
        <f>IF(AN92=0,0,AO92/AN92)</f>
        <v>0.28508350022865969</v>
      </c>
      <c r="AQ92" t="str">
        <f t="shared" si="39"/>
        <v>May</v>
      </c>
      <c r="AR92">
        <f t="shared" si="40"/>
        <v>2024</v>
      </c>
      <c r="AS92" t="str">
        <f t="shared" si="41"/>
        <v>Clean</v>
      </c>
      <c r="AT92" t="str">
        <f>IF(OR(AC92&lt;0,AC92&gt;0.5),"Invalid Discount","Valid")</f>
        <v>Valid</v>
      </c>
      <c r="AU92" t="str">
        <f>IF(G92&lt;E92,"Invalid Shipping Record","Valid")</f>
        <v>Valid</v>
      </c>
      <c r="AV92" t="str">
        <f>IF(OR(AL92="Cancelled",AH92="Failed"),"Exclude","Include")</f>
        <v>Exclude</v>
      </c>
      <c r="AW92" t="str">
        <f t="shared" si="42"/>
        <v>Match</v>
      </c>
      <c r="AX92" t="str">
        <f t="shared" si="43"/>
        <v>Match</v>
      </c>
    </row>
    <row r="93" spans="1:50">
      <c r="A93" t="s">
        <v>552</v>
      </c>
      <c r="B93">
        <f t="shared" si="44"/>
        <v>1</v>
      </c>
      <c r="C93" t="str">
        <f t="shared" si="32"/>
        <v/>
      </c>
      <c r="D93" s="3" t="s">
        <v>553</v>
      </c>
      <c r="E93" s="7">
        <v>45718</v>
      </c>
      <c r="F93" s="3" t="s">
        <v>554</v>
      </c>
      <c r="G93" s="7">
        <v>45724</v>
      </c>
      <c r="H93" s="7" t="str">
        <f t="shared" si="22"/>
        <v>Valid</v>
      </c>
      <c r="I93" s="9">
        <f t="shared" si="23"/>
        <v>6</v>
      </c>
      <c r="J93" s="9" t="str">
        <f t="shared" si="24"/>
        <v>Valid</v>
      </c>
      <c r="K93" t="s">
        <v>555</v>
      </c>
      <c r="L93" t="s">
        <v>167</v>
      </c>
      <c r="M93" t="s">
        <v>167</v>
      </c>
      <c r="N93" t="s">
        <v>107</v>
      </c>
      <c r="O93" s="3" t="str">
        <f t="shared" si="25"/>
        <v>Corporate</v>
      </c>
      <c r="P93" t="s">
        <v>72</v>
      </c>
      <c r="Q93" s="3" t="str">
        <f t="shared" si="26"/>
        <v>West</v>
      </c>
      <c r="R93" t="s">
        <v>83</v>
      </c>
      <c r="S93" t="s">
        <v>84</v>
      </c>
      <c r="T93" t="s">
        <v>85</v>
      </c>
      <c r="U93" s="3" t="str">
        <f t="shared" si="27"/>
        <v>Technology</v>
      </c>
      <c r="V93" t="s">
        <v>93</v>
      </c>
      <c r="W93" t="s">
        <v>556</v>
      </c>
      <c r="X93" t="s">
        <v>32</v>
      </c>
      <c r="Y93" s="3" t="str">
        <f t="shared" si="28"/>
        <v>Second Class</v>
      </c>
      <c r="Z93">
        <v>9</v>
      </c>
      <c r="AA93">
        <v>269.68</v>
      </c>
      <c r="AB93">
        <v>0</v>
      </c>
      <c r="AC93">
        <f t="shared" si="29"/>
        <v>0</v>
      </c>
      <c r="AD93" t="str">
        <f t="shared" si="33"/>
        <v>Valid</v>
      </c>
      <c r="AE93">
        <v>2427.12</v>
      </c>
      <c r="AF93">
        <v>1538.35</v>
      </c>
      <c r="AG93">
        <v>804.53</v>
      </c>
      <c r="AH93" t="s">
        <v>33</v>
      </c>
      <c r="AI93" t="str">
        <f t="shared" si="34"/>
        <v>Include</v>
      </c>
      <c r="AJ93" t="str">
        <f t="shared" si="35"/>
        <v/>
      </c>
      <c r="AK93" t="s">
        <v>34</v>
      </c>
      <c r="AL93" t="str">
        <f t="shared" si="30"/>
        <v>Completed</v>
      </c>
      <c r="AM93" t="str">
        <f t="shared" si="36"/>
        <v>Include</v>
      </c>
      <c r="AN93">
        <f t="shared" si="37"/>
        <v>2427.12</v>
      </c>
      <c r="AO93">
        <f t="shared" si="38"/>
        <v>888.77</v>
      </c>
      <c r="AP93">
        <f>IF(AN93=0,0,AO93/AN93)</f>
        <v>0.36618296581957216</v>
      </c>
      <c r="AQ93" t="str">
        <f t="shared" si="39"/>
        <v>March</v>
      </c>
      <c r="AR93">
        <f t="shared" si="40"/>
        <v>2025</v>
      </c>
      <c r="AS93" t="str">
        <f t="shared" si="41"/>
        <v>Clean</v>
      </c>
      <c r="AT93" t="str">
        <f>IF(OR(AC93&lt;0,AC93&gt;0.5),"Invalid Discount","Valid")</f>
        <v>Valid</v>
      </c>
      <c r="AU93" t="str">
        <f>IF(G93&lt;E93,"Invalid Shipping Record","Valid")</f>
        <v>Valid</v>
      </c>
      <c r="AV93" t="str">
        <f>IF(OR(AL93="Cancelled",AH93="Failed"),"Exclude","Include")</f>
        <v>Include</v>
      </c>
      <c r="AW93" t="str">
        <f t="shared" si="42"/>
        <v>Match</v>
      </c>
      <c r="AX93" t="str">
        <f t="shared" si="43"/>
        <v>Mismatch</v>
      </c>
    </row>
    <row r="94" spans="1:50">
      <c r="A94" t="s">
        <v>557</v>
      </c>
      <c r="B94">
        <f t="shared" si="44"/>
        <v>1</v>
      </c>
      <c r="C94" t="str">
        <f t="shared" si="32"/>
        <v/>
      </c>
      <c r="D94" s="3" t="s">
        <v>183</v>
      </c>
      <c r="E94" s="7">
        <v>45680</v>
      </c>
      <c r="F94" s="3" t="s">
        <v>558</v>
      </c>
      <c r="G94" s="7">
        <v>45683</v>
      </c>
      <c r="H94" s="7" t="str">
        <f t="shared" si="22"/>
        <v>Valid</v>
      </c>
      <c r="I94" s="9">
        <f t="shared" si="23"/>
        <v>3</v>
      </c>
      <c r="J94" s="9" t="str">
        <f t="shared" si="24"/>
        <v>Valid</v>
      </c>
      <c r="K94" t="s">
        <v>559</v>
      </c>
      <c r="L94" t="s">
        <v>161</v>
      </c>
      <c r="M94" t="s">
        <v>161</v>
      </c>
      <c r="N94" t="s">
        <v>25</v>
      </c>
      <c r="O94" s="3" t="str">
        <f t="shared" si="25"/>
        <v>Consumer</v>
      </c>
      <c r="P94" t="s">
        <v>72</v>
      </c>
      <c r="Q94" s="3" t="str">
        <f t="shared" si="26"/>
        <v>West</v>
      </c>
      <c r="R94" t="s">
        <v>83</v>
      </c>
      <c r="S94" t="s">
        <v>84</v>
      </c>
      <c r="T94" t="s">
        <v>29</v>
      </c>
      <c r="U94" s="3" t="str">
        <f t="shared" si="27"/>
        <v>Office Supplies</v>
      </c>
      <c r="V94" t="s">
        <v>30</v>
      </c>
      <c r="W94" t="s">
        <v>560</v>
      </c>
      <c r="X94" t="s">
        <v>66</v>
      </c>
      <c r="Y94" s="3" t="str">
        <f t="shared" si="28"/>
        <v>Standard Class</v>
      </c>
      <c r="Z94">
        <v>9</v>
      </c>
      <c r="AA94">
        <v>4458.26</v>
      </c>
      <c r="AB94">
        <v>0.1</v>
      </c>
      <c r="AC94">
        <f t="shared" si="29"/>
        <v>0.1</v>
      </c>
      <c r="AD94" t="str">
        <f t="shared" si="33"/>
        <v>Valid</v>
      </c>
      <c r="AE94">
        <v>36111.910000000003</v>
      </c>
      <c r="AF94">
        <v>29194.5</v>
      </c>
      <c r="AG94">
        <v>6917.41</v>
      </c>
      <c r="AH94" t="s">
        <v>33</v>
      </c>
      <c r="AI94" t="str">
        <f t="shared" si="34"/>
        <v>Include</v>
      </c>
      <c r="AJ94" t="str">
        <f t="shared" si="35"/>
        <v/>
      </c>
      <c r="AK94" t="s">
        <v>34</v>
      </c>
      <c r="AL94" t="str">
        <f t="shared" si="30"/>
        <v>Completed</v>
      </c>
      <c r="AM94" t="str">
        <f t="shared" si="36"/>
        <v>Include</v>
      </c>
      <c r="AN94">
        <f t="shared" si="37"/>
        <v>36111.906000000003</v>
      </c>
      <c r="AO94">
        <f t="shared" si="38"/>
        <v>6917.4060000000027</v>
      </c>
      <c r="AP94">
        <f>IF(AN94=0,0,AO94/AN94)</f>
        <v>0.19155471882320479</v>
      </c>
      <c r="AQ94" t="str">
        <f t="shared" si="39"/>
        <v>January</v>
      </c>
      <c r="AR94">
        <f t="shared" si="40"/>
        <v>2025</v>
      </c>
      <c r="AS94" t="str">
        <f t="shared" si="41"/>
        <v>Clean</v>
      </c>
      <c r="AT94" t="str">
        <f>IF(OR(AC94&lt;0,AC94&gt;0.5),"Invalid Discount","Valid")</f>
        <v>Valid</v>
      </c>
      <c r="AU94" t="str">
        <f>IF(G94&lt;E94,"Invalid Shipping Record","Valid")</f>
        <v>Valid</v>
      </c>
      <c r="AV94" t="str">
        <f>IF(OR(AL94="Cancelled",AH94="Failed"),"Exclude","Include")</f>
        <v>Include</v>
      </c>
      <c r="AW94" t="str">
        <f t="shared" si="42"/>
        <v>Match</v>
      </c>
      <c r="AX94" t="str">
        <f t="shared" si="43"/>
        <v>Match</v>
      </c>
    </row>
    <row r="95" spans="1:50">
      <c r="A95" t="s">
        <v>561</v>
      </c>
      <c r="B95">
        <f t="shared" si="44"/>
        <v>1</v>
      </c>
      <c r="C95" t="str">
        <f t="shared" si="32"/>
        <v/>
      </c>
      <c r="D95" s="3" t="s">
        <v>164</v>
      </c>
      <c r="E95" s="7">
        <v>45298</v>
      </c>
      <c r="F95" s="3" t="s">
        <v>562</v>
      </c>
      <c r="G95" s="7">
        <v>45304</v>
      </c>
      <c r="H95" s="7" t="str">
        <f t="shared" si="22"/>
        <v>Valid</v>
      </c>
      <c r="I95" s="9">
        <f t="shared" si="23"/>
        <v>6</v>
      </c>
      <c r="J95" s="9" t="str">
        <f t="shared" si="24"/>
        <v>Valid</v>
      </c>
      <c r="K95" t="s">
        <v>563</v>
      </c>
      <c r="L95" t="s">
        <v>179</v>
      </c>
      <c r="M95" t="s">
        <v>179</v>
      </c>
      <c r="N95" t="s">
        <v>107</v>
      </c>
      <c r="O95" s="3" t="str">
        <f t="shared" si="25"/>
        <v>Corporate</v>
      </c>
      <c r="P95" t="s">
        <v>26</v>
      </c>
      <c r="Q95" s="3" t="str">
        <f t="shared" si="26"/>
        <v>North</v>
      </c>
      <c r="R95" t="s">
        <v>173</v>
      </c>
      <c r="S95" t="s">
        <v>174</v>
      </c>
      <c r="T95" t="s">
        <v>29</v>
      </c>
      <c r="U95" s="3" t="str">
        <f t="shared" si="27"/>
        <v>Office Supplies</v>
      </c>
      <c r="V95" t="s">
        <v>197</v>
      </c>
      <c r="W95" t="s">
        <v>564</v>
      </c>
      <c r="X95" t="s">
        <v>66</v>
      </c>
      <c r="Y95" s="3" t="str">
        <f t="shared" si="28"/>
        <v>Standard Class</v>
      </c>
      <c r="Z95">
        <v>7</v>
      </c>
      <c r="AA95">
        <v>2788.97</v>
      </c>
      <c r="AB95">
        <v>-0.09</v>
      </c>
      <c r="AC95">
        <f t="shared" si="29"/>
        <v>-0.09</v>
      </c>
      <c r="AD95" t="str">
        <f t="shared" si="33"/>
        <v>Invalid Discount</v>
      </c>
      <c r="AE95">
        <v>19522.79</v>
      </c>
      <c r="AF95">
        <v>12455.78</v>
      </c>
      <c r="AG95">
        <v>7067.01</v>
      </c>
      <c r="AH95" t="s">
        <v>33</v>
      </c>
      <c r="AI95" t="str">
        <f t="shared" si="34"/>
        <v>Include</v>
      </c>
      <c r="AJ95" t="str">
        <f t="shared" si="35"/>
        <v/>
      </c>
      <c r="AK95" t="s">
        <v>34</v>
      </c>
      <c r="AL95" t="str">
        <f t="shared" si="30"/>
        <v>Completed</v>
      </c>
      <c r="AM95" t="str">
        <f t="shared" si="36"/>
        <v>Include</v>
      </c>
      <c r="AN95">
        <f t="shared" si="37"/>
        <v>21279.841099999998</v>
      </c>
      <c r="AO95">
        <f t="shared" si="38"/>
        <v>8824.0610999999972</v>
      </c>
      <c r="AP95">
        <f>IF(AN95=0,0,AO95/AN95)</f>
        <v>0.41466762174272054</v>
      </c>
      <c r="AQ95" t="str">
        <f t="shared" si="39"/>
        <v>January</v>
      </c>
      <c r="AR95">
        <f t="shared" si="40"/>
        <v>2024</v>
      </c>
      <c r="AS95" t="str">
        <f t="shared" si="41"/>
        <v>Invalid</v>
      </c>
      <c r="AT95" t="str">
        <f>IF(OR(AC95&lt;0,AC95&gt;0.5),"Invalid Discount","Valid")</f>
        <v>Invalid Discount</v>
      </c>
      <c r="AU95" t="str">
        <f>IF(G95&lt;E95,"Invalid Shipping Record","Valid")</f>
        <v>Valid</v>
      </c>
      <c r="AV95" t="str">
        <f>IF(OR(AL95="Cancelled",AH95="Failed"),"Exclude","Include")</f>
        <v>Include</v>
      </c>
      <c r="AW95" t="str">
        <f t="shared" si="42"/>
        <v>Mismatch</v>
      </c>
      <c r="AX95" t="str">
        <f t="shared" si="43"/>
        <v>Mismatch</v>
      </c>
    </row>
    <row r="96" spans="1:50">
      <c r="A96" t="s">
        <v>565</v>
      </c>
      <c r="B96">
        <f t="shared" si="44"/>
        <v>1</v>
      </c>
      <c r="C96" t="str">
        <f t="shared" si="32"/>
        <v/>
      </c>
      <c r="D96" s="3" t="s">
        <v>566</v>
      </c>
      <c r="E96" s="7">
        <v>45541</v>
      </c>
      <c r="F96" s="3" t="s">
        <v>567</v>
      </c>
      <c r="G96" s="7">
        <v>45544</v>
      </c>
      <c r="H96" s="7" t="str">
        <f t="shared" si="22"/>
        <v>Valid</v>
      </c>
      <c r="I96" s="9">
        <f t="shared" si="23"/>
        <v>3</v>
      </c>
      <c r="J96" s="9" t="str">
        <f t="shared" si="24"/>
        <v>Valid</v>
      </c>
      <c r="K96" t="s">
        <v>568</v>
      </c>
      <c r="L96" t="s">
        <v>209</v>
      </c>
      <c r="M96" t="s">
        <v>209</v>
      </c>
      <c r="N96" t="s">
        <v>25</v>
      </c>
      <c r="O96" s="3" t="str">
        <f t="shared" si="25"/>
        <v>Consumer</v>
      </c>
      <c r="P96" t="s">
        <v>26</v>
      </c>
      <c r="Q96" s="3" t="str">
        <f t="shared" si="26"/>
        <v>North</v>
      </c>
      <c r="R96" t="s">
        <v>322</v>
      </c>
      <c r="S96" t="s">
        <v>323</v>
      </c>
      <c r="T96" t="s">
        <v>85</v>
      </c>
      <c r="U96" s="3" t="str">
        <f t="shared" si="27"/>
        <v>Technology</v>
      </c>
      <c r="V96" t="s">
        <v>222</v>
      </c>
      <c r="W96" t="s">
        <v>569</v>
      </c>
      <c r="X96" t="s">
        <v>32</v>
      </c>
      <c r="Y96" s="3" t="str">
        <f t="shared" si="28"/>
        <v>Second Class</v>
      </c>
      <c r="Z96">
        <v>7</v>
      </c>
      <c r="AA96">
        <v>3781.53</v>
      </c>
      <c r="AB96">
        <v>0</v>
      </c>
      <c r="AC96">
        <f t="shared" si="29"/>
        <v>0</v>
      </c>
      <c r="AD96" t="str">
        <f t="shared" si="33"/>
        <v>Valid</v>
      </c>
      <c r="AE96">
        <v>26470.71</v>
      </c>
      <c r="AF96">
        <v>21367.599999999999</v>
      </c>
      <c r="AG96">
        <v>5103.1099999999997</v>
      </c>
      <c r="AH96" t="s">
        <v>136</v>
      </c>
      <c r="AI96" t="str">
        <f t="shared" si="34"/>
        <v>Exclude</v>
      </c>
      <c r="AJ96" t="str">
        <f t="shared" si="35"/>
        <v/>
      </c>
      <c r="AK96" t="s">
        <v>77</v>
      </c>
      <c r="AL96" t="str">
        <f t="shared" si="30"/>
        <v>Cancelled</v>
      </c>
      <c r="AM96" t="str">
        <f t="shared" si="36"/>
        <v>Exclude</v>
      </c>
      <c r="AN96">
        <f t="shared" si="37"/>
        <v>26470.710000000003</v>
      </c>
      <c r="AO96">
        <f t="shared" si="38"/>
        <v>5103.1100000000042</v>
      </c>
      <c r="AP96">
        <f>IF(AN96=0,0,AO96/AN96)</f>
        <v>0.19278326875251944</v>
      </c>
      <c r="AQ96" t="str">
        <f t="shared" si="39"/>
        <v>September</v>
      </c>
      <c r="AR96">
        <f t="shared" si="40"/>
        <v>2024</v>
      </c>
      <c r="AS96" t="str">
        <f t="shared" si="41"/>
        <v>Clean</v>
      </c>
      <c r="AT96" t="str">
        <f>IF(OR(AC96&lt;0,AC96&gt;0.5),"Invalid Discount","Valid")</f>
        <v>Valid</v>
      </c>
      <c r="AU96" t="str">
        <f>IF(G96&lt;E96,"Invalid Shipping Record","Valid")</f>
        <v>Valid</v>
      </c>
      <c r="AV96" t="str">
        <f>IF(OR(AL96="Cancelled",AH96="Failed"),"Exclude","Include")</f>
        <v>Exclude</v>
      </c>
      <c r="AW96" t="str">
        <f t="shared" si="42"/>
        <v>Match</v>
      </c>
      <c r="AX96" t="str">
        <f t="shared" si="43"/>
        <v>Match</v>
      </c>
    </row>
    <row r="97" spans="1:50">
      <c r="A97" t="s">
        <v>570</v>
      </c>
      <c r="B97">
        <f t="shared" si="44"/>
        <v>1</v>
      </c>
      <c r="C97" t="str">
        <f t="shared" si="32"/>
        <v/>
      </c>
      <c r="D97" s="3" t="s">
        <v>571</v>
      </c>
      <c r="E97" s="7">
        <v>45905</v>
      </c>
      <c r="F97" s="3" t="s">
        <v>572</v>
      </c>
      <c r="G97" s="7">
        <v>45910</v>
      </c>
      <c r="H97" s="7" t="str">
        <f t="shared" si="22"/>
        <v>Valid</v>
      </c>
      <c r="I97" s="9">
        <f t="shared" si="23"/>
        <v>5</v>
      </c>
      <c r="J97" s="9" t="str">
        <f t="shared" si="24"/>
        <v>Valid</v>
      </c>
      <c r="K97" t="s">
        <v>573</v>
      </c>
      <c r="L97" t="s">
        <v>167</v>
      </c>
      <c r="M97" t="s">
        <v>167</v>
      </c>
      <c r="N97" t="s">
        <v>107</v>
      </c>
      <c r="O97" s="3" t="str">
        <f t="shared" si="25"/>
        <v>Corporate</v>
      </c>
      <c r="P97" t="s">
        <v>72</v>
      </c>
      <c r="Q97" s="3" t="str">
        <f t="shared" si="26"/>
        <v>West</v>
      </c>
      <c r="R97" t="s">
        <v>248</v>
      </c>
      <c r="S97" t="s">
        <v>249</v>
      </c>
      <c r="T97" t="s">
        <v>44</v>
      </c>
      <c r="U97" s="3" t="str">
        <f t="shared" si="27"/>
        <v>Furniture</v>
      </c>
      <c r="V97" t="s">
        <v>203</v>
      </c>
      <c r="W97" t="s">
        <v>574</v>
      </c>
      <c r="X97" t="s">
        <v>47</v>
      </c>
      <c r="Y97" s="3" t="str">
        <f t="shared" si="28"/>
        <v>Same Day</v>
      </c>
      <c r="Z97">
        <v>6</v>
      </c>
      <c r="AA97">
        <v>1754.13</v>
      </c>
      <c r="AB97">
        <v>0</v>
      </c>
      <c r="AC97">
        <f t="shared" si="29"/>
        <v>0</v>
      </c>
      <c r="AD97" t="str">
        <f t="shared" si="33"/>
        <v>Valid</v>
      </c>
      <c r="AE97">
        <v>10524.78</v>
      </c>
      <c r="AF97">
        <v>8841.0499999999993</v>
      </c>
      <c r="AG97">
        <v>1683.73</v>
      </c>
      <c r="AH97" t="s">
        <v>33</v>
      </c>
      <c r="AI97" t="str">
        <f t="shared" si="34"/>
        <v>Include</v>
      </c>
      <c r="AJ97" t="str">
        <f t="shared" si="35"/>
        <v/>
      </c>
      <c r="AK97" t="s">
        <v>34</v>
      </c>
      <c r="AL97" t="str">
        <f t="shared" si="30"/>
        <v>Completed</v>
      </c>
      <c r="AM97" t="str">
        <f t="shared" si="36"/>
        <v>Include</v>
      </c>
      <c r="AN97">
        <f t="shared" si="37"/>
        <v>10524.78</v>
      </c>
      <c r="AO97">
        <f t="shared" si="38"/>
        <v>1683.7300000000014</v>
      </c>
      <c r="AP97">
        <f>IF(AN97=0,0,AO97/AN97)</f>
        <v>0.15997769074507984</v>
      </c>
      <c r="AQ97" t="str">
        <f t="shared" si="39"/>
        <v>September</v>
      </c>
      <c r="AR97">
        <f t="shared" si="40"/>
        <v>2025</v>
      </c>
      <c r="AS97" t="str">
        <f t="shared" si="41"/>
        <v>Clean</v>
      </c>
      <c r="AT97" t="str">
        <f>IF(OR(AC97&lt;0,AC97&gt;0.5),"Invalid Discount","Valid")</f>
        <v>Valid</v>
      </c>
      <c r="AU97" t="str">
        <f>IF(G97&lt;E97,"Invalid Shipping Record","Valid")</f>
        <v>Valid</v>
      </c>
      <c r="AV97" t="str">
        <f>IF(OR(AL97="Cancelled",AH97="Failed"),"Exclude","Include")</f>
        <v>Include</v>
      </c>
      <c r="AW97" t="str">
        <f t="shared" si="42"/>
        <v>Match</v>
      </c>
      <c r="AX97" t="str">
        <f t="shared" si="43"/>
        <v>Match</v>
      </c>
    </row>
    <row r="98" spans="1:50">
      <c r="A98" t="s">
        <v>575</v>
      </c>
      <c r="B98">
        <f t="shared" si="44"/>
        <v>1</v>
      </c>
      <c r="C98" t="str">
        <f t="shared" si="32"/>
        <v/>
      </c>
      <c r="D98" s="3" t="s">
        <v>576</v>
      </c>
      <c r="E98" s="7">
        <v>45448</v>
      </c>
      <c r="F98" s="3" t="s">
        <v>577</v>
      </c>
      <c r="G98" s="7">
        <v>45450</v>
      </c>
      <c r="H98" s="7" t="str">
        <f t="shared" si="22"/>
        <v>Valid</v>
      </c>
      <c r="I98" s="9">
        <f t="shared" si="23"/>
        <v>2</v>
      </c>
      <c r="J98" s="9" t="str">
        <f t="shared" si="24"/>
        <v>Valid</v>
      </c>
      <c r="K98" t="s">
        <v>578</v>
      </c>
      <c r="L98" t="s">
        <v>147</v>
      </c>
      <c r="M98" t="s">
        <v>147</v>
      </c>
      <c r="N98" t="s">
        <v>114</v>
      </c>
      <c r="O98" s="3" t="str">
        <f t="shared" si="25"/>
        <v>Home Office</v>
      </c>
      <c r="P98" t="s">
        <v>41</v>
      </c>
      <c r="Q98" s="3" t="str">
        <f t="shared" si="26"/>
        <v>East</v>
      </c>
      <c r="R98" t="s">
        <v>42</v>
      </c>
      <c r="S98" t="s">
        <v>43</v>
      </c>
      <c r="T98" t="s">
        <v>85</v>
      </c>
      <c r="U98" s="3" t="str">
        <f t="shared" si="27"/>
        <v>Technology</v>
      </c>
      <c r="V98" t="s">
        <v>93</v>
      </c>
      <c r="W98" t="s">
        <v>579</v>
      </c>
      <c r="X98" t="s">
        <v>32</v>
      </c>
      <c r="Y98" s="3" t="str">
        <f t="shared" si="28"/>
        <v>Second Class</v>
      </c>
      <c r="Z98">
        <v>2</v>
      </c>
      <c r="AA98">
        <v>2259.2399999999998</v>
      </c>
      <c r="AB98">
        <v>0.15</v>
      </c>
      <c r="AC98">
        <f t="shared" si="29"/>
        <v>0.15</v>
      </c>
      <c r="AD98" t="str">
        <f t="shared" si="33"/>
        <v>Valid</v>
      </c>
      <c r="AE98">
        <v>3840.71</v>
      </c>
      <c r="AF98">
        <v>2516.29</v>
      </c>
      <c r="AG98">
        <v>1324.42</v>
      </c>
      <c r="AH98" t="s">
        <v>33</v>
      </c>
      <c r="AI98" t="str">
        <f t="shared" si="34"/>
        <v>Include</v>
      </c>
      <c r="AJ98" t="str">
        <f t="shared" si="35"/>
        <v/>
      </c>
      <c r="AK98" t="s">
        <v>34</v>
      </c>
      <c r="AL98" t="str">
        <f t="shared" si="30"/>
        <v>Completed</v>
      </c>
      <c r="AM98" t="str">
        <f t="shared" si="36"/>
        <v>Include</v>
      </c>
      <c r="AN98">
        <f t="shared" si="37"/>
        <v>3840.7079999999996</v>
      </c>
      <c r="AO98">
        <f t="shared" si="38"/>
        <v>1324.4179999999997</v>
      </c>
      <c r="AP98">
        <f>IF(AN98=0,0,AO98/AN98)</f>
        <v>0.34483694152224009</v>
      </c>
      <c r="AQ98" t="str">
        <f t="shared" si="39"/>
        <v>June</v>
      </c>
      <c r="AR98">
        <f t="shared" si="40"/>
        <v>2024</v>
      </c>
      <c r="AS98" t="str">
        <f t="shared" si="41"/>
        <v>Clean</v>
      </c>
      <c r="AT98" t="str">
        <f>IF(OR(AC98&lt;0,AC98&gt;0.5),"Invalid Discount","Valid")</f>
        <v>Valid</v>
      </c>
      <c r="AU98" t="str">
        <f>IF(G98&lt;E98,"Invalid Shipping Record","Valid")</f>
        <v>Valid</v>
      </c>
      <c r="AV98" t="str">
        <f>IF(OR(AL98="Cancelled",AH98="Failed"),"Exclude","Include")</f>
        <v>Include</v>
      </c>
      <c r="AW98" t="str">
        <f t="shared" si="42"/>
        <v>Match</v>
      </c>
      <c r="AX98" t="str">
        <f t="shared" si="43"/>
        <v>Match</v>
      </c>
    </row>
    <row r="99" spans="1:50">
      <c r="A99" t="s">
        <v>580</v>
      </c>
      <c r="B99">
        <f t="shared" si="44"/>
        <v>1</v>
      </c>
      <c r="C99" t="str">
        <f t="shared" si="32"/>
        <v/>
      </c>
      <c r="D99" s="3" t="s">
        <v>581</v>
      </c>
      <c r="E99" s="7">
        <v>45877</v>
      </c>
      <c r="F99" s="3" t="s">
        <v>582</v>
      </c>
      <c r="G99" s="7">
        <v>45880</v>
      </c>
      <c r="H99" s="7" t="str">
        <f t="shared" si="22"/>
        <v>Valid</v>
      </c>
      <c r="I99" s="9">
        <f t="shared" si="23"/>
        <v>3</v>
      </c>
      <c r="J99" s="9" t="str">
        <f t="shared" si="24"/>
        <v>Valid</v>
      </c>
      <c r="K99" t="s">
        <v>583</v>
      </c>
      <c r="L99" t="s">
        <v>209</v>
      </c>
      <c r="M99" t="s">
        <v>209</v>
      </c>
      <c r="N99" t="s">
        <v>40</v>
      </c>
      <c r="O99" s="3" t="str">
        <f t="shared" si="25"/>
        <v>Small Business</v>
      </c>
      <c r="P99" t="s">
        <v>72</v>
      </c>
      <c r="Q99" s="3" t="str">
        <f t="shared" si="26"/>
        <v>West</v>
      </c>
      <c r="R99" t="s">
        <v>234</v>
      </c>
      <c r="S99" t="s">
        <v>235</v>
      </c>
      <c r="T99" t="s">
        <v>29</v>
      </c>
      <c r="U99" s="3" t="str">
        <f t="shared" si="27"/>
        <v>Office Supplies</v>
      </c>
      <c r="V99" t="s">
        <v>155</v>
      </c>
      <c r="W99" t="s">
        <v>584</v>
      </c>
      <c r="X99" t="s">
        <v>47</v>
      </c>
      <c r="Y99" s="3" t="str">
        <f t="shared" si="28"/>
        <v>Same Day</v>
      </c>
      <c r="Z99">
        <v>5</v>
      </c>
      <c r="AA99">
        <v>3602.36</v>
      </c>
      <c r="AB99">
        <v>0.2</v>
      </c>
      <c r="AC99">
        <f t="shared" si="29"/>
        <v>0.2</v>
      </c>
      <c r="AD99" t="str">
        <f t="shared" si="33"/>
        <v>Valid</v>
      </c>
      <c r="AE99">
        <v>14409.44</v>
      </c>
      <c r="AF99">
        <v>8809.9699999999993</v>
      </c>
      <c r="AG99">
        <v>5599.47</v>
      </c>
      <c r="AH99" t="s">
        <v>136</v>
      </c>
      <c r="AI99" t="str">
        <f t="shared" si="34"/>
        <v>Include</v>
      </c>
      <c r="AJ99" t="str">
        <f t="shared" si="35"/>
        <v/>
      </c>
      <c r="AK99" t="s">
        <v>124</v>
      </c>
      <c r="AL99" t="str">
        <f t="shared" si="30"/>
        <v>Returned</v>
      </c>
      <c r="AM99" t="str">
        <f t="shared" si="36"/>
        <v>Include</v>
      </c>
      <c r="AN99">
        <f t="shared" si="37"/>
        <v>14409.44</v>
      </c>
      <c r="AO99">
        <f t="shared" si="38"/>
        <v>5599.4700000000012</v>
      </c>
      <c r="AP99">
        <f>IF(AN99=0,0,AO99/AN99)</f>
        <v>0.38859733619071951</v>
      </c>
      <c r="AQ99" t="str">
        <f t="shared" si="39"/>
        <v>August</v>
      </c>
      <c r="AR99">
        <f t="shared" si="40"/>
        <v>2025</v>
      </c>
      <c r="AS99" t="str">
        <f t="shared" si="41"/>
        <v>Clean</v>
      </c>
      <c r="AT99" t="str">
        <f>IF(OR(AC99&lt;0,AC99&gt;0.5),"Invalid Discount","Valid")</f>
        <v>Valid</v>
      </c>
      <c r="AU99" t="str">
        <f>IF(G99&lt;E99,"Invalid Shipping Record","Valid")</f>
        <v>Valid</v>
      </c>
      <c r="AV99" t="str">
        <f>IF(OR(AL99="Cancelled",AH99="Failed"),"Exclude","Include")</f>
        <v>Include</v>
      </c>
      <c r="AW99" t="str">
        <f t="shared" si="42"/>
        <v>Match</v>
      </c>
      <c r="AX99" t="str">
        <f t="shared" si="43"/>
        <v>Match</v>
      </c>
    </row>
    <row r="100" spans="1:50">
      <c r="A100" t="s">
        <v>585</v>
      </c>
      <c r="B100">
        <f t="shared" si="44"/>
        <v>1</v>
      </c>
      <c r="C100" t="str">
        <f t="shared" si="32"/>
        <v/>
      </c>
      <c r="D100" s="3" t="s">
        <v>586</v>
      </c>
      <c r="E100" s="7">
        <v>45317</v>
      </c>
      <c r="F100" s="3" t="s">
        <v>587</v>
      </c>
      <c r="G100" s="7">
        <v>45323</v>
      </c>
      <c r="H100" s="7" t="str">
        <f t="shared" si="22"/>
        <v>Valid</v>
      </c>
      <c r="I100" s="9">
        <f t="shared" si="23"/>
        <v>6</v>
      </c>
      <c r="J100" s="9" t="str">
        <f t="shared" si="24"/>
        <v>Valid</v>
      </c>
      <c r="K100" t="s">
        <v>588</v>
      </c>
      <c r="L100" t="s">
        <v>179</v>
      </c>
      <c r="M100" t="s">
        <v>179</v>
      </c>
      <c r="N100" t="s">
        <v>114</v>
      </c>
      <c r="O100" s="3" t="str">
        <f t="shared" si="25"/>
        <v>Home Office</v>
      </c>
      <c r="P100" t="s">
        <v>61</v>
      </c>
      <c r="Q100" s="3" t="str">
        <f t="shared" si="26"/>
        <v>South</v>
      </c>
      <c r="R100" t="s">
        <v>241</v>
      </c>
      <c r="S100" t="s">
        <v>242</v>
      </c>
      <c r="T100" t="s">
        <v>85</v>
      </c>
      <c r="U100" s="3" t="str">
        <f t="shared" si="27"/>
        <v>Technology</v>
      </c>
      <c r="V100" t="s">
        <v>93</v>
      </c>
      <c r="W100" t="s">
        <v>589</v>
      </c>
      <c r="Y100" s="3" t="str">
        <f t="shared" si="28"/>
        <v>Unknown</v>
      </c>
      <c r="Z100">
        <v>8</v>
      </c>
      <c r="AA100">
        <v>2108.9299999999998</v>
      </c>
      <c r="AB100">
        <v>0.1</v>
      </c>
      <c r="AC100">
        <f t="shared" si="29"/>
        <v>0.1</v>
      </c>
      <c r="AD100" t="str">
        <f t="shared" si="33"/>
        <v>Valid</v>
      </c>
      <c r="AE100">
        <v>15184.3</v>
      </c>
      <c r="AF100">
        <v>11270.74</v>
      </c>
      <c r="AG100">
        <v>3913.56</v>
      </c>
      <c r="AH100" t="s">
        <v>33</v>
      </c>
      <c r="AI100" t="str">
        <f t="shared" si="34"/>
        <v>Include</v>
      </c>
      <c r="AJ100" t="str">
        <f t="shared" si="35"/>
        <v/>
      </c>
      <c r="AK100" t="s">
        <v>34</v>
      </c>
      <c r="AL100" t="str">
        <f t="shared" si="30"/>
        <v>Completed</v>
      </c>
      <c r="AM100" t="str">
        <f t="shared" si="36"/>
        <v>Include</v>
      </c>
      <c r="AN100">
        <f t="shared" si="37"/>
        <v>15184.295999999998</v>
      </c>
      <c r="AO100">
        <f t="shared" si="38"/>
        <v>3913.5559999999987</v>
      </c>
      <c r="AP100">
        <f>IF(AN100=0,0,AO100/AN100)</f>
        <v>0.25773707256497103</v>
      </c>
      <c r="AQ100" t="str">
        <f t="shared" si="39"/>
        <v>January</v>
      </c>
      <c r="AR100">
        <f t="shared" si="40"/>
        <v>2024</v>
      </c>
      <c r="AS100" t="str">
        <f t="shared" si="41"/>
        <v>Warning</v>
      </c>
      <c r="AT100" t="str">
        <f>IF(OR(AC100&lt;0,AC100&gt;0.5),"Invalid Discount","Valid")</f>
        <v>Valid</v>
      </c>
      <c r="AU100" t="str">
        <f>IF(G100&lt;E100,"Invalid Shipping Record","Valid")</f>
        <v>Valid</v>
      </c>
      <c r="AV100" t="str">
        <f>IF(OR(AL100="Cancelled",AH100="Failed"),"Exclude","Include")</f>
        <v>Include</v>
      </c>
      <c r="AW100" t="str">
        <f t="shared" si="42"/>
        <v>Match</v>
      </c>
      <c r="AX100" t="str">
        <f t="shared" si="43"/>
        <v>Match</v>
      </c>
    </row>
    <row r="101" spans="1:50">
      <c r="A101" t="s">
        <v>590</v>
      </c>
      <c r="B101">
        <f t="shared" si="44"/>
        <v>1</v>
      </c>
      <c r="C101" t="str">
        <f t="shared" si="32"/>
        <v/>
      </c>
      <c r="D101" s="3" t="s">
        <v>591</v>
      </c>
      <c r="E101" s="7">
        <v>45668</v>
      </c>
      <c r="F101" s="3" t="s">
        <v>591</v>
      </c>
      <c r="G101" s="7">
        <v>45668</v>
      </c>
      <c r="H101" s="7" t="str">
        <f t="shared" si="22"/>
        <v>Valid</v>
      </c>
      <c r="I101" s="9">
        <f t="shared" si="23"/>
        <v>0</v>
      </c>
      <c r="J101" s="9" t="str">
        <f t="shared" si="24"/>
        <v>Valid</v>
      </c>
      <c r="K101" t="s">
        <v>592</v>
      </c>
      <c r="L101" t="s">
        <v>106</v>
      </c>
      <c r="M101" t="s">
        <v>106</v>
      </c>
      <c r="N101" t="s">
        <v>40</v>
      </c>
      <c r="O101" s="3" t="str">
        <f t="shared" si="25"/>
        <v>Small Business</v>
      </c>
      <c r="P101" t="s">
        <v>72</v>
      </c>
      <c r="Q101" s="3" t="str">
        <f t="shared" si="26"/>
        <v>West</v>
      </c>
      <c r="R101" t="s">
        <v>27</v>
      </c>
      <c r="S101" t="s">
        <v>134</v>
      </c>
      <c r="T101" t="s">
        <v>85</v>
      </c>
      <c r="U101" s="3" t="str">
        <f t="shared" si="27"/>
        <v>Technology</v>
      </c>
      <c r="V101" t="s">
        <v>86</v>
      </c>
      <c r="W101" t="s">
        <v>593</v>
      </c>
      <c r="X101" t="s">
        <v>47</v>
      </c>
      <c r="Y101" s="3" t="str">
        <f t="shared" si="28"/>
        <v>Same Day</v>
      </c>
      <c r="Z101">
        <v>3</v>
      </c>
      <c r="AA101">
        <v>2165.29</v>
      </c>
      <c r="AB101">
        <v>0</v>
      </c>
      <c r="AC101">
        <f t="shared" si="29"/>
        <v>0</v>
      </c>
      <c r="AD101" t="str">
        <f t="shared" si="33"/>
        <v>Valid</v>
      </c>
      <c r="AE101">
        <v>6495.87</v>
      </c>
      <c r="AF101">
        <v>4700.8900000000003</v>
      </c>
      <c r="AG101">
        <v>1794.98</v>
      </c>
      <c r="AH101" t="s">
        <v>33</v>
      </c>
      <c r="AI101" t="str">
        <f t="shared" si="34"/>
        <v>Include</v>
      </c>
      <c r="AJ101" t="str">
        <f t="shared" si="35"/>
        <v/>
      </c>
      <c r="AK101" t="s">
        <v>34</v>
      </c>
      <c r="AL101" t="str">
        <f t="shared" si="30"/>
        <v>Completed</v>
      </c>
      <c r="AM101" t="str">
        <f t="shared" si="36"/>
        <v>Include</v>
      </c>
      <c r="AN101">
        <f t="shared" si="37"/>
        <v>6495.87</v>
      </c>
      <c r="AO101">
        <f t="shared" si="38"/>
        <v>1794.9799999999996</v>
      </c>
      <c r="AP101">
        <f>IF(AN101=0,0,AO101/AN101)</f>
        <v>0.27632634273777024</v>
      </c>
      <c r="AQ101" t="str">
        <f t="shared" si="39"/>
        <v>January</v>
      </c>
      <c r="AR101">
        <f t="shared" si="40"/>
        <v>2025</v>
      </c>
      <c r="AS101" t="str">
        <f t="shared" si="41"/>
        <v>Clean</v>
      </c>
      <c r="AT101" t="str">
        <f>IF(OR(AC101&lt;0,AC101&gt;0.5),"Invalid Discount","Valid")</f>
        <v>Valid</v>
      </c>
      <c r="AU101" t="str">
        <f>IF(G101&lt;E101,"Invalid Shipping Record","Valid")</f>
        <v>Valid</v>
      </c>
      <c r="AV101" t="str">
        <f>IF(OR(AL101="Cancelled",AH101="Failed"),"Exclude","Include")</f>
        <v>Include</v>
      </c>
      <c r="AW101" t="str">
        <f t="shared" si="42"/>
        <v>Match</v>
      </c>
      <c r="AX101" t="str">
        <f t="shared" si="43"/>
        <v>Match</v>
      </c>
    </row>
    <row r="102" spans="1:50">
      <c r="A102" t="s">
        <v>594</v>
      </c>
      <c r="B102">
        <f t="shared" si="44"/>
        <v>1</v>
      </c>
      <c r="C102" t="str">
        <f t="shared" si="32"/>
        <v/>
      </c>
      <c r="D102" s="3" t="s">
        <v>595</v>
      </c>
      <c r="E102" s="7">
        <v>45912</v>
      </c>
      <c r="F102" s="3" t="s">
        <v>596</v>
      </c>
      <c r="G102" s="7">
        <v>45918</v>
      </c>
      <c r="H102" s="7" t="str">
        <f t="shared" si="22"/>
        <v>Valid</v>
      </c>
      <c r="I102" s="9">
        <f t="shared" si="23"/>
        <v>6</v>
      </c>
      <c r="J102" s="9" t="str">
        <f t="shared" si="24"/>
        <v>Valid</v>
      </c>
      <c r="K102" t="s">
        <v>597</v>
      </c>
      <c r="L102" t="s">
        <v>161</v>
      </c>
      <c r="M102" t="s">
        <v>161</v>
      </c>
      <c r="N102" t="s">
        <v>114</v>
      </c>
      <c r="O102" s="3" t="str">
        <f t="shared" si="25"/>
        <v>Home Office</v>
      </c>
      <c r="P102" t="s">
        <v>61</v>
      </c>
      <c r="Q102" s="3" t="str">
        <f t="shared" si="26"/>
        <v>South</v>
      </c>
      <c r="R102" t="s">
        <v>241</v>
      </c>
      <c r="S102" t="s">
        <v>242</v>
      </c>
      <c r="T102" t="s">
        <v>29</v>
      </c>
      <c r="U102" s="3" t="str">
        <f t="shared" si="27"/>
        <v>Office Supplies</v>
      </c>
      <c r="V102" t="s">
        <v>155</v>
      </c>
      <c r="W102" t="s">
        <v>598</v>
      </c>
      <c r="X102" t="s">
        <v>66</v>
      </c>
      <c r="Y102" s="3" t="str">
        <f t="shared" si="28"/>
        <v>Standard Class</v>
      </c>
      <c r="Z102">
        <v>6</v>
      </c>
      <c r="AA102">
        <v>1673.8</v>
      </c>
      <c r="AB102">
        <v>0.05</v>
      </c>
      <c r="AC102">
        <f t="shared" si="29"/>
        <v>0.05</v>
      </c>
      <c r="AD102" t="str">
        <f t="shared" si="33"/>
        <v>Valid</v>
      </c>
      <c r="AE102">
        <v>9540.66</v>
      </c>
      <c r="AF102">
        <v>5561.49</v>
      </c>
      <c r="AG102">
        <v>3979.17</v>
      </c>
      <c r="AH102" t="s">
        <v>33</v>
      </c>
      <c r="AI102" t="str">
        <f t="shared" si="34"/>
        <v>Include</v>
      </c>
      <c r="AJ102" t="str">
        <f t="shared" si="35"/>
        <v/>
      </c>
      <c r="AK102" t="s">
        <v>34</v>
      </c>
      <c r="AL102" t="str">
        <f t="shared" si="30"/>
        <v>Completed</v>
      </c>
      <c r="AM102" t="str">
        <f t="shared" si="36"/>
        <v>Include</v>
      </c>
      <c r="AN102">
        <f t="shared" si="37"/>
        <v>9540.659999999998</v>
      </c>
      <c r="AO102">
        <f t="shared" si="38"/>
        <v>3979.1699999999983</v>
      </c>
      <c r="AP102">
        <f>IF(AN102=0,0,AO102/AN102)</f>
        <v>0.41707491934520241</v>
      </c>
      <c r="AQ102" t="str">
        <f t="shared" si="39"/>
        <v>September</v>
      </c>
      <c r="AR102">
        <f t="shared" si="40"/>
        <v>2025</v>
      </c>
      <c r="AS102" t="str">
        <f t="shared" si="41"/>
        <v>Clean</v>
      </c>
      <c r="AT102" t="str">
        <f>IF(OR(AC102&lt;0,AC102&gt;0.5),"Invalid Discount","Valid")</f>
        <v>Valid</v>
      </c>
      <c r="AU102" t="str">
        <f>IF(G102&lt;E102,"Invalid Shipping Record","Valid")</f>
        <v>Valid</v>
      </c>
      <c r="AV102" t="str">
        <f>IF(OR(AL102="Cancelled",AH102="Failed"),"Exclude","Include")</f>
        <v>Include</v>
      </c>
      <c r="AW102" t="str">
        <f t="shared" si="42"/>
        <v>Match</v>
      </c>
      <c r="AX102" t="str">
        <f t="shared" si="43"/>
        <v>Match</v>
      </c>
    </row>
    <row r="103" spans="1:50">
      <c r="A103" t="s">
        <v>599</v>
      </c>
      <c r="B103">
        <f t="shared" si="44"/>
        <v>1</v>
      </c>
      <c r="C103" t="str">
        <f t="shared" si="32"/>
        <v/>
      </c>
      <c r="D103" s="3" t="s">
        <v>319</v>
      </c>
      <c r="E103" s="7">
        <v>45465</v>
      </c>
      <c r="F103" s="3" t="s">
        <v>600</v>
      </c>
      <c r="G103" s="7">
        <v>45469</v>
      </c>
      <c r="H103" s="7" t="str">
        <f t="shared" si="22"/>
        <v>Valid</v>
      </c>
      <c r="I103" s="9">
        <f t="shared" si="23"/>
        <v>4</v>
      </c>
      <c r="J103" s="9" t="str">
        <f t="shared" si="24"/>
        <v>Valid</v>
      </c>
      <c r="K103" t="s">
        <v>601</v>
      </c>
      <c r="L103" t="s">
        <v>179</v>
      </c>
      <c r="M103" t="s">
        <v>179</v>
      </c>
      <c r="N103" t="s">
        <v>114</v>
      </c>
      <c r="O103" s="3" t="str">
        <f t="shared" si="25"/>
        <v>Home Office</v>
      </c>
      <c r="P103" t="s">
        <v>41</v>
      </c>
      <c r="Q103" s="3" t="str">
        <f t="shared" si="26"/>
        <v>East</v>
      </c>
      <c r="R103" t="s">
        <v>185</v>
      </c>
      <c r="S103" t="s">
        <v>186</v>
      </c>
      <c r="T103" t="s">
        <v>44</v>
      </c>
      <c r="U103" s="3" t="str">
        <f t="shared" si="27"/>
        <v>Furniture</v>
      </c>
      <c r="V103" t="s">
        <v>64</v>
      </c>
      <c r="W103" t="s">
        <v>602</v>
      </c>
      <c r="X103" t="s">
        <v>55</v>
      </c>
      <c r="Y103" s="3" t="str">
        <f t="shared" si="28"/>
        <v>First Class</v>
      </c>
      <c r="Z103">
        <v>5</v>
      </c>
      <c r="AA103">
        <v>4396.5200000000004</v>
      </c>
      <c r="AB103">
        <v>0.25</v>
      </c>
      <c r="AC103">
        <f t="shared" si="29"/>
        <v>0.25</v>
      </c>
      <c r="AD103" t="str">
        <f t="shared" si="33"/>
        <v>Valid</v>
      </c>
      <c r="AE103">
        <v>16486.95</v>
      </c>
      <c r="AF103">
        <v>12054.14</v>
      </c>
      <c r="AG103">
        <v>4432.8100000000004</v>
      </c>
      <c r="AH103" t="s">
        <v>33</v>
      </c>
      <c r="AI103" t="str">
        <f t="shared" si="34"/>
        <v>Include</v>
      </c>
      <c r="AJ103" t="str">
        <f t="shared" si="35"/>
        <v/>
      </c>
      <c r="AK103" t="s">
        <v>34</v>
      </c>
      <c r="AL103" t="str">
        <f t="shared" si="30"/>
        <v>Completed</v>
      </c>
      <c r="AM103" t="str">
        <f t="shared" si="36"/>
        <v>Include</v>
      </c>
      <c r="AN103">
        <f t="shared" si="37"/>
        <v>16486.95</v>
      </c>
      <c r="AO103">
        <f t="shared" si="38"/>
        <v>4432.8100000000013</v>
      </c>
      <c r="AP103">
        <f>IF(AN103=0,0,AO103/AN103)</f>
        <v>0.26886780150361356</v>
      </c>
      <c r="AQ103" t="str">
        <f t="shared" si="39"/>
        <v>June</v>
      </c>
      <c r="AR103">
        <f t="shared" si="40"/>
        <v>2024</v>
      </c>
      <c r="AS103" t="str">
        <f t="shared" si="41"/>
        <v>Clean</v>
      </c>
      <c r="AT103" t="str">
        <f>IF(OR(AC103&lt;0,AC103&gt;0.5),"Invalid Discount","Valid")</f>
        <v>Valid</v>
      </c>
      <c r="AU103" t="str">
        <f>IF(G103&lt;E103,"Invalid Shipping Record","Valid")</f>
        <v>Valid</v>
      </c>
      <c r="AV103" t="str">
        <f>IF(OR(AL103="Cancelled",AH103="Failed"),"Exclude","Include")</f>
        <v>Include</v>
      </c>
      <c r="AW103" t="str">
        <f t="shared" si="42"/>
        <v>Match</v>
      </c>
      <c r="AX103" t="str">
        <f t="shared" si="43"/>
        <v>Match</v>
      </c>
    </row>
    <row r="104" spans="1:50">
      <c r="A104" t="s">
        <v>603</v>
      </c>
      <c r="B104">
        <f t="shared" si="44"/>
        <v>1</v>
      </c>
      <c r="C104" t="str">
        <f t="shared" si="32"/>
        <v/>
      </c>
      <c r="D104" s="3" t="s">
        <v>604</v>
      </c>
      <c r="E104" s="7">
        <v>45850</v>
      </c>
      <c r="F104" s="3" t="s">
        <v>605</v>
      </c>
      <c r="G104" s="7">
        <v>45854</v>
      </c>
      <c r="H104" s="7" t="str">
        <f t="shared" si="22"/>
        <v>Valid</v>
      </c>
      <c r="I104" s="9">
        <f t="shared" si="23"/>
        <v>4</v>
      </c>
      <c r="J104" s="9" t="str">
        <f t="shared" si="24"/>
        <v>Valid</v>
      </c>
      <c r="K104" t="s">
        <v>606</v>
      </c>
      <c r="L104" t="s">
        <v>82</v>
      </c>
      <c r="M104" t="s">
        <v>82</v>
      </c>
      <c r="N104" t="s">
        <v>25</v>
      </c>
      <c r="O104" s="3" t="str">
        <f t="shared" si="25"/>
        <v>Consumer</v>
      </c>
      <c r="P104" t="s">
        <v>61</v>
      </c>
      <c r="Q104" s="3" t="str">
        <f t="shared" si="26"/>
        <v>South</v>
      </c>
      <c r="R104" t="s">
        <v>228</v>
      </c>
      <c r="S104" t="s">
        <v>229</v>
      </c>
      <c r="T104" t="s">
        <v>44</v>
      </c>
      <c r="U104" s="3" t="str">
        <f t="shared" si="27"/>
        <v>Furniture</v>
      </c>
      <c r="V104" t="s">
        <v>75</v>
      </c>
      <c r="W104" t="s">
        <v>607</v>
      </c>
      <c r="X104" t="s">
        <v>55</v>
      </c>
      <c r="Y104" s="3" t="str">
        <f t="shared" si="28"/>
        <v>First Class</v>
      </c>
      <c r="Z104">
        <v>4</v>
      </c>
      <c r="AA104">
        <v>2865.71</v>
      </c>
      <c r="AB104">
        <v>0</v>
      </c>
      <c r="AC104">
        <f t="shared" si="29"/>
        <v>0</v>
      </c>
      <c r="AD104" t="str">
        <f t="shared" si="33"/>
        <v>Valid</v>
      </c>
      <c r="AE104">
        <v>11462.84</v>
      </c>
      <c r="AF104">
        <v>8979.7800000000007</v>
      </c>
      <c r="AG104">
        <v>2483.06</v>
      </c>
      <c r="AH104" t="s">
        <v>123</v>
      </c>
      <c r="AI104" t="str">
        <f t="shared" si="34"/>
        <v>Exclude</v>
      </c>
      <c r="AJ104" t="str">
        <f t="shared" si="35"/>
        <v>Refunded Order</v>
      </c>
      <c r="AK104" t="s">
        <v>77</v>
      </c>
      <c r="AL104" t="str">
        <f t="shared" si="30"/>
        <v>Cancelled</v>
      </c>
      <c r="AM104" t="str">
        <f t="shared" si="36"/>
        <v>Exclude</v>
      </c>
      <c r="AN104">
        <f t="shared" si="37"/>
        <v>11462.84</v>
      </c>
      <c r="AO104">
        <f t="shared" si="38"/>
        <v>2483.0599999999995</v>
      </c>
      <c r="AP104">
        <f>IF(AN104=0,0,AO104/AN104)</f>
        <v>0.21661822026653077</v>
      </c>
      <c r="AQ104" t="str">
        <f t="shared" si="39"/>
        <v>July</v>
      </c>
      <c r="AR104">
        <f t="shared" si="40"/>
        <v>2025</v>
      </c>
      <c r="AS104" t="str">
        <f t="shared" si="41"/>
        <v>Clean</v>
      </c>
      <c r="AT104" t="str">
        <f>IF(OR(AC104&lt;0,AC104&gt;0.5),"Invalid Discount","Valid")</f>
        <v>Valid</v>
      </c>
      <c r="AU104" t="str">
        <f>IF(G104&lt;E104,"Invalid Shipping Record","Valid")</f>
        <v>Valid</v>
      </c>
      <c r="AV104" t="str">
        <f>IF(OR(AL104="Cancelled",AH104="Failed"),"Exclude","Include")</f>
        <v>Exclude</v>
      </c>
      <c r="AW104" t="str">
        <f t="shared" si="42"/>
        <v>Match</v>
      </c>
      <c r="AX104" t="str">
        <f t="shared" si="43"/>
        <v>Match</v>
      </c>
    </row>
    <row r="105" spans="1:50">
      <c r="A105" t="s">
        <v>608</v>
      </c>
      <c r="B105">
        <f t="shared" si="44"/>
        <v>1</v>
      </c>
      <c r="C105" t="str">
        <f t="shared" si="32"/>
        <v/>
      </c>
      <c r="D105" s="3" t="s">
        <v>609</v>
      </c>
      <c r="E105" s="7">
        <v>45779</v>
      </c>
      <c r="F105" s="3" t="s">
        <v>610</v>
      </c>
      <c r="G105" s="7">
        <v>45787</v>
      </c>
      <c r="H105" s="7" t="str">
        <f t="shared" si="22"/>
        <v>Valid</v>
      </c>
      <c r="I105" s="9">
        <f t="shared" si="23"/>
        <v>8</v>
      </c>
      <c r="J105" s="9" t="str">
        <f t="shared" si="24"/>
        <v>Valid</v>
      </c>
      <c r="K105" t="s">
        <v>611</v>
      </c>
      <c r="L105" t="s">
        <v>365</v>
      </c>
      <c r="M105" t="s">
        <v>365</v>
      </c>
      <c r="N105" t="s">
        <v>107</v>
      </c>
      <c r="O105" s="3" t="str">
        <f t="shared" si="25"/>
        <v>Corporate</v>
      </c>
      <c r="P105" t="s">
        <v>72</v>
      </c>
      <c r="Q105" s="3" t="str">
        <f t="shared" si="26"/>
        <v>West</v>
      </c>
      <c r="R105" t="s">
        <v>73</v>
      </c>
      <c r="S105" t="s">
        <v>74</v>
      </c>
      <c r="T105" t="s">
        <v>44</v>
      </c>
      <c r="U105" s="3" t="str">
        <f t="shared" si="27"/>
        <v>Furniture</v>
      </c>
      <c r="V105" t="s">
        <v>45</v>
      </c>
      <c r="W105" t="s">
        <v>612</v>
      </c>
      <c r="X105" t="s">
        <v>55</v>
      </c>
      <c r="Y105" s="3" t="str">
        <f t="shared" si="28"/>
        <v>First Class</v>
      </c>
      <c r="Z105">
        <v>4</v>
      </c>
      <c r="AA105">
        <v>2440.34</v>
      </c>
      <c r="AB105">
        <v>0.2</v>
      </c>
      <c r="AC105">
        <f t="shared" si="29"/>
        <v>0.2</v>
      </c>
      <c r="AD105" t="str">
        <f t="shared" si="33"/>
        <v>Valid</v>
      </c>
      <c r="AE105">
        <v>7809.09</v>
      </c>
      <c r="AF105">
        <v>6657.75</v>
      </c>
      <c r="AG105">
        <v>1151.3399999999999</v>
      </c>
      <c r="AH105" t="s">
        <v>33</v>
      </c>
      <c r="AI105" t="str">
        <f t="shared" si="34"/>
        <v>Include</v>
      </c>
      <c r="AJ105" t="str">
        <f t="shared" si="35"/>
        <v/>
      </c>
      <c r="AK105" t="s">
        <v>34</v>
      </c>
      <c r="AL105" t="str">
        <f t="shared" si="30"/>
        <v>Completed</v>
      </c>
      <c r="AM105" t="str">
        <f t="shared" si="36"/>
        <v>Include</v>
      </c>
      <c r="AN105">
        <f t="shared" si="37"/>
        <v>7809.0880000000006</v>
      </c>
      <c r="AO105">
        <f t="shared" si="38"/>
        <v>1151.3380000000006</v>
      </c>
      <c r="AP105">
        <f>IF(AN105=0,0,AO105/AN105)</f>
        <v>0.14743565445798543</v>
      </c>
      <c r="AQ105" t="str">
        <f t="shared" si="39"/>
        <v>May</v>
      </c>
      <c r="AR105">
        <f t="shared" si="40"/>
        <v>2025</v>
      </c>
      <c r="AS105" t="str">
        <f t="shared" si="41"/>
        <v>Clean</v>
      </c>
      <c r="AT105" t="str">
        <f>IF(OR(AC105&lt;0,AC105&gt;0.5),"Invalid Discount","Valid")</f>
        <v>Valid</v>
      </c>
      <c r="AU105" t="str">
        <f>IF(G105&lt;E105,"Invalid Shipping Record","Valid")</f>
        <v>Valid</v>
      </c>
      <c r="AV105" t="str">
        <f>IF(OR(AL105="Cancelled",AH105="Failed"),"Exclude","Include")</f>
        <v>Include</v>
      </c>
      <c r="AW105" t="str">
        <f t="shared" si="42"/>
        <v>Match</v>
      </c>
      <c r="AX105" t="str">
        <f t="shared" si="43"/>
        <v>Match</v>
      </c>
    </row>
    <row r="106" spans="1:50">
      <c r="A106" t="s">
        <v>613</v>
      </c>
      <c r="B106">
        <f t="shared" si="44"/>
        <v>1</v>
      </c>
      <c r="C106" t="str">
        <f t="shared" si="32"/>
        <v/>
      </c>
      <c r="D106" s="3" t="s">
        <v>614</v>
      </c>
      <c r="E106" s="7">
        <v>45689</v>
      </c>
      <c r="F106" s="3" t="s">
        <v>615</v>
      </c>
      <c r="G106" s="7">
        <v>45696</v>
      </c>
      <c r="H106" s="7" t="str">
        <f t="shared" si="22"/>
        <v>Valid</v>
      </c>
      <c r="I106" s="9">
        <f t="shared" si="23"/>
        <v>7</v>
      </c>
      <c r="J106" s="9" t="str">
        <f t="shared" si="24"/>
        <v>Valid</v>
      </c>
      <c r="K106" t="s">
        <v>616</v>
      </c>
      <c r="L106" t="s">
        <v>71</v>
      </c>
      <c r="M106" t="s">
        <v>71</v>
      </c>
      <c r="N106" t="s">
        <v>25</v>
      </c>
      <c r="O106" s="3" t="str">
        <f t="shared" si="25"/>
        <v>Consumer</v>
      </c>
      <c r="P106" t="s">
        <v>61</v>
      </c>
      <c r="Q106" s="3" t="str">
        <f t="shared" si="26"/>
        <v>South</v>
      </c>
      <c r="R106" t="s">
        <v>228</v>
      </c>
      <c r="S106" t="s">
        <v>229</v>
      </c>
      <c r="T106" t="s">
        <v>29</v>
      </c>
      <c r="U106" s="3" t="str">
        <f t="shared" si="27"/>
        <v>Office Supplies</v>
      </c>
      <c r="V106" t="s">
        <v>108</v>
      </c>
      <c r="W106" t="s">
        <v>617</v>
      </c>
      <c r="X106" t="s">
        <v>47</v>
      </c>
      <c r="Y106" s="3" t="str">
        <f t="shared" si="28"/>
        <v>Same Day</v>
      </c>
      <c r="Z106">
        <v>5</v>
      </c>
      <c r="AA106">
        <v>2112.54</v>
      </c>
      <c r="AB106">
        <v>0.25</v>
      </c>
      <c r="AC106">
        <f t="shared" si="29"/>
        <v>0.25</v>
      </c>
      <c r="AD106" t="str">
        <f t="shared" si="33"/>
        <v>Valid</v>
      </c>
      <c r="AE106">
        <v>8260.4599999999991</v>
      </c>
      <c r="AF106">
        <v>5619.95</v>
      </c>
      <c r="AG106">
        <v>2302.08</v>
      </c>
      <c r="AH106" t="s">
        <v>33</v>
      </c>
      <c r="AI106" t="str">
        <f t="shared" si="34"/>
        <v>Exclude</v>
      </c>
      <c r="AJ106" t="str">
        <f t="shared" si="35"/>
        <v/>
      </c>
      <c r="AK106" t="s">
        <v>77</v>
      </c>
      <c r="AL106" t="str">
        <f t="shared" si="30"/>
        <v>Cancelled</v>
      </c>
      <c r="AM106" t="str">
        <f t="shared" si="36"/>
        <v>Exclude</v>
      </c>
      <c r="AN106">
        <f t="shared" si="37"/>
        <v>7922.0250000000005</v>
      </c>
      <c r="AO106">
        <f t="shared" si="38"/>
        <v>2302.0750000000007</v>
      </c>
      <c r="AP106">
        <f>IF(AN106=0,0,AO106/AN106)</f>
        <v>0.29059173633004193</v>
      </c>
      <c r="AQ106" t="str">
        <f t="shared" si="39"/>
        <v>February</v>
      </c>
      <c r="AR106">
        <f t="shared" si="40"/>
        <v>2025</v>
      </c>
      <c r="AS106" t="str">
        <f t="shared" si="41"/>
        <v>Clean</v>
      </c>
      <c r="AT106" t="str">
        <f>IF(OR(AC106&lt;0,AC106&gt;0.5),"Invalid Discount","Valid")</f>
        <v>Valid</v>
      </c>
      <c r="AU106" t="str">
        <f>IF(G106&lt;E106,"Invalid Shipping Record","Valid")</f>
        <v>Valid</v>
      </c>
      <c r="AV106" t="str">
        <f>IF(OR(AL106="Cancelled",AH106="Failed"),"Exclude","Include")</f>
        <v>Exclude</v>
      </c>
      <c r="AW106" t="str">
        <f t="shared" si="42"/>
        <v>Mismatch</v>
      </c>
      <c r="AX106" t="str">
        <f t="shared" si="43"/>
        <v>Match</v>
      </c>
    </row>
    <row r="107" spans="1:50">
      <c r="A107" t="s">
        <v>618</v>
      </c>
      <c r="B107">
        <f t="shared" si="44"/>
        <v>1</v>
      </c>
      <c r="C107" t="str">
        <f t="shared" si="32"/>
        <v/>
      </c>
      <c r="D107" s="3" t="s">
        <v>619</v>
      </c>
      <c r="E107" s="7">
        <v>45467</v>
      </c>
      <c r="F107" s="3" t="s">
        <v>620</v>
      </c>
      <c r="G107" s="7">
        <v>45472</v>
      </c>
      <c r="H107" s="7" t="str">
        <f t="shared" si="22"/>
        <v>Valid</v>
      </c>
      <c r="I107" s="9">
        <f t="shared" si="23"/>
        <v>5</v>
      </c>
      <c r="J107" s="9" t="str">
        <f t="shared" si="24"/>
        <v>Valid</v>
      </c>
      <c r="K107" t="s">
        <v>621</v>
      </c>
      <c r="L107" t="s">
        <v>39</v>
      </c>
      <c r="M107" t="s">
        <v>39</v>
      </c>
      <c r="N107" t="s">
        <v>114</v>
      </c>
      <c r="O107" s="3" t="str">
        <f t="shared" si="25"/>
        <v>Home Office</v>
      </c>
      <c r="P107" t="s">
        <v>41</v>
      </c>
      <c r="Q107" s="3" t="str">
        <f t="shared" si="26"/>
        <v>East</v>
      </c>
      <c r="R107" t="s">
        <v>120</v>
      </c>
      <c r="S107" t="s">
        <v>121</v>
      </c>
      <c r="T107" t="s">
        <v>44</v>
      </c>
      <c r="U107" s="3" t="str">
        <f t="shared" si="27"/>
        <v>Furniture</v>
      </c>
      <c r="V107" t="s">
        <v>45</v>
      </c>
      <c r="W107" t="s">
        <v>622</v>
      </c>
      <c r="X107" t="s">
        <v>32</v>
      </c>
      <c r="Y107" s="3" t="str">
        <f t="shared" si="28"/>
        <v>Second Class</v>
      </c>
      <c r="Z107">
        <v>2</v>
      </c>
      <c r="AA107">
        <v>685</v>
      </c>
      <c r="AB107">
        <v>0.1</v>
      </c>
      <c r="AC107">
        <f t="shared" si="29"/>
        <v>0.1</v>
      </c>
      <c r="AD107" t="str">
        <f t="shared" si="33"/>
        <v>Valid</v>
      </c>
      <c r="AE107">
        <v>1233</v>
      </c>
      <c r="AF107">
        <v>1006.9</v>
      </c>
      <c r="AG107">
        <v>226.1</v>
      </c>
      <c r="AH107" t="s">
        <v>33</v>
      </c>
      <c r="AI107" t="str">
        <f t="shared" si="34"/>
        <v>Include</v>
      </c>
      <c r="AJ107" t="str">
        <f t="shared" si="35"/>
        <v/>
      </c>
      <c r="AK107" t="s">
        <v>34</v>
      </c>
      <c r="AL107" t="str">
        <f t="shared" si="30"/>
        <v>Completed</v>
      </c>
      <c r="AM107" t="str">
        <f t="shared" si="36"/>
        <v>Include</v>
      </c>
      <c r="AN107">
        <f t="shared" si="37"/>
        <v>1233</v>
      </c>
      <c r="AO107">
        <f t="shared" si="38"/>
        <v>226.10000000000002</v>
      </c>
      <c r="AP107">
        <f>IF(AN107=0,0,AO107/AN107)</f>
        <v>0.18337388483373887</v>
      </c>
      <c r="AQ107" t="str">
        <f t="shared" si="39"/>
        <v>June</v>
      </c>
      <c r="AR107">
        <f t="shared" si="40"/>
        <v>2024</v>
      </c>
      <c r="AS107" t="str">
        <f t="shared" si="41"/>
        <v>Clean</v>
      </c>
      <c r="AT107" t="str">
        <f>IF(OR(AC107&lt;0,AC107&gt;0.5),"Invalid Discount","Valid")</f>
        <v>Valid</v>
      </c>
      <c r="AU107" t="str">
        <f>IF(G107&lt;E107,"Invalid Shipping Record","Valid")</f>
        <v>Valid</v>
      </c>
      <c r="AV107" t="str">
        <f>IF(OR(AL107="Cancelled",AH107="Failed"),"Exclude","Include")</f>
        <v>Include</v>
      </c>
      <c r="AW107" t="str">
        <f t="shared" si="42"/>
        <v>Match</v>
      </c>
      <c r="AX107" t="str">
        <f t="shared" si="43"/>
        <v>Match</v>
      </c>
    </row>
    <row r="108" spans="1:50">
      <c r="A108" t="s">
        <v>623</v>
      </c>
      <c r="B108">
        <f t="shared" si="44"/>
        <v>1</v>
      </c>
      <c r="C108" t="str">
        <f t="shared" si="32"/>
        <v/>
      </c>
      <c r="D108" s="3" t="s">
        <v>624</v>
      </c>
      <c r="E108" s="7">
        <v>45342</v>
      </c>
      <c r="F108" s="3" t="s">
        <v>625</v>
      </c>
      <c r="G108" s="7">
        <v>45350</v>
      </c>
      <c r="H108" s="7" t="str">
        <f t="shared" si="22"/>
        <v>Valid</v>
      </c>
      <c r="I108" s="9">
        <f t="shared" si="23"/>
        <v>8</v>
      </c>
      <c r="J108" s="9" t="str">
        <f t="shared" si="24"/>
        <v>Valid</v>
      </c>
      <c r="K108" t="s">
        <v>626</v>
      </c>
      <c r="L108" t="s">
        <v>60</v>
      </c>
      <c r="M108" t="s">
        <v>60</v>
      </c>
      <c r="N108" t="s">
        <v>114</v>
      </c>
      <c r="O108" s="3" t="str">
        <f t="shared" si="25"/>
        <v>Home Office</v>
      </c>
      <c r="P108" t="s">
        <v>41</v>
      </c>
      <c r="Q108" s="3" t="str">
        <f t="shared" si="26"/>
        <v>East</v>
      </c>
      <c r="R108" t="s">
        <v>120</v>
      </c>
      <c r="S108" t="s">
        <v>121</v>
      </c>
      <c r="T108" t="s">
        <v>29</v>
      </c>
      <c r="U108" s="3" t="str">
        <f t="shared" si="27"/>
        <v>Office Supplies</v>
      </c>
      <c r="V108" t="s">
        <v>30</v>
      </c>
      <c r="W108" t="s">
        <v>627</v>
      </c>
      <c r="X108" t="s">
        <v>66</v>
      </c>
      <c r="Y108" s="3" t="str">
        <f t="shared" si="28"/>
        <v>Standard Class</v>
      </c>
      <c r="Z108">
        <v>2</v>
      </c>
      <c r="AA108">
        <v>4004.04</v>
      </c>
      <c r="AC108">
        <f t="shared" si="29"/>
        <v>0</v>
      </c>
      <c r="AD108" t="str">
        <f t="shared" si="33"/>
        <v>Valid</v>
      </c>
      <c r="AE108">
        <v>7207.27</v>
      </c>
      <c r="AF108">
        <v>5709.39</v>
      </c>
      <c r="AG108">
        <v>1497.88</v>
      </c>
      <c r="AH108" t="s">
        <v>33</v>
      </c>
      <c r="AI108" t="str">
        <f t="shared" si="34"/>
        <v>Exclude</v>
      </c>
      <c r="AJ108" t="str">
        <f t="shared" si="35"/>
        <v/>
      </c>
      <c r="AK108" t="s">
        <v>77</v>
      </c>
      <c r="AL108" t="str">
        <f t="shared" si="30"/>
        <v>Cancelled</v>
      </c>
      <c r="AM108" t="str">
        <f t="shared" si="36"/>
        <v>Exclude</v>
      </c>
      <c r="AN108">
        <f t="shared" si="37"/>
        <v>8008.08</v>
      </c>
      <c r="AO108">
        <f t="shared" si="38"/>
        <v>2298.6899999999996</v>
      </c>
      <c r="AP108">
        <f>IF(AN108=0,0,AO108/AN108)</f>
        <v>0.28704633320346445</v>
      </c>
      <c r="AQ108" t="str">
        <f t="shared" si="39"/>
        <v>February</v>
      </c>
      <c r="AR108">
        <f t="shared" si="40"/>
        <v>2024</v>
      </c>
      <c r="AS108" t="str">
        <f t="shared" si="41"/>
        <v>Clean</v>
      </c>
      <c r="AT108" t="str">
        <f>IF(OR(AC108&lt;0,AC108&gt;0.5),"Invalid Discount","Valid")</f>
        <v>Valid</v>
      </c>
      <c r="AU108" t="str">
        <f>IF(G108&lt;E108,"Invalid Shipping Record","Valid")</f>
        <v>Valid</v>
      </c>
      <c r="AV108" t="str">
        <f>IF(OR(AL108="Cancelled",AH108="Failed"),"Exclude","Include")</f>
        <v>Exclude</v>
      </c>
      <c r="AW108" t="str">
        <f t="shared" si="42"/>
        <v>Mismatch</v>
      </c>
      <c r="AX108" t="str">
        <f t="shared" si="43"/>
        <v>Mismatch</v>
      </c>
    </row>
    <row r="109" spans="1:50">
      <c r="A109" t="s">
        <v>628</v>
      </c>
      <c r="B109">
        <f t="shared" si="44"/>
        <v>1</v>
      </c>
      <c r="C109" t="str">
        <f t="shared" si="32"/>
        <v/>
      </c>
      <c r="D109" s="3" t="s">
        <v>629</v>
      </c>
      <c r="E109" s="7">
        <v>45594</v>
      </c>
      <c r="F109" s="3" t="s">
        <v>630</v>
      </c>
      <c r="G109" s="7">
        <v>45600</v>
      </c>
      <c r="H109" s="7" t="str">
        <f t="shared" si="22"/>
        <v>Valid</v>
      </c>
      <c r="I109" s="9">
        <f t="shared" si="23"/>
        <v>6</v>
      </c>
      <c r="J109" s="9" t="str">
        <f t="shared" si="24"/>
        <v>Valid</v>
      </c>
      <c r="K109" t="s">
        <v>631</v>
      </c>
      <c r="L109" t="s">
        <v>179</v>
      </c>
      <c r="M109" t="s">
        <v>179</v>
      </c>
      <c r="N109" t="s">
        <v>114</v>
      </c>
      <c r="O109" s="3" t="str">
        <f t="shared" si="25"/>
        <v>Home Office</v>
      </c>
      <c r="P109" t="s">
        <v>41</v>
      </c>
      <c r="Q109" s="3" t="str">
        <f t="shared" si="26"/>
        <v>East</v>
      </c>
      <c r="R109" t="s">
        <v>120</v>
      </c>
      <c r="S109" t="s">
        <v>121</v>
      </c>
      <c r="T109" t="s">
        <v>44</v>
      </c>
      <c r="U109" s="3" t="str">
        <f t="shared" si="27"/>
        <v>Furniture</v>
      </c>
      <c r="V109" t="s">
        <v>64</v>
      </c>
      <c r="W109" t="s">
        <v>632</v>
      </c>
      <c r="X109" t="s">
        <v>55</v>
      </c>
      <c r="Y109" s="3" t="str">
        <f t="shared" si="28"/>
        <v>First Class</v>
      </c>
      <c r="Z109">
        <v>3</v>
      </c>
      <c r="AA109">
        <v>4302.8900000000003</v>
      </c>
      <c r="AB109">
        <v>0.05</v>
      </c>
      <c r="AC109">
        <f t="shared" si="29"/>
        <v>0.05</v>
      </c>
      <c r="AD109" t="str">
        <f t="shared" si="33"/>
        <v>Valid</v>
      </c>
      <c r="AE109">
        <v>12263.24</v>
      </c>
      <c r="AF109">
        <v>8925.57</v>
      </c>
      <c r="AG109">
        <v>3337.67</v>
      </c>
      <c r="AH109" t="s">
        <v>33</v>
      </c>
      <c r="AI109" t="str">
        <f t="shared" si="34"/>
        <v>Include</v>
      </c>
      <c r="AJ109" t="str">
        <f t="shared" si="35"/>
        <v/>
      </c>
      <c r="AK109" t="s">
        <v>34</v>
      </c>
      <c r="AL109" t="str">
        <f t="shared" si="30"/>
        <v>Completed</v>
      </c>
      <c r="AM109" t="str">
        <f t="shared" si="36"/>
        <v>Include</v>
      </c>
      <c r="AN109">
        <f t="shared" si="37"/>
        <v>12263.236500000001</v>
      </c>
      <c r="AO109">
        <f t="shared" si="38"/>
        <v>3337.6665000000012</v>
      </c>
      <c r="AP109">
        <f>IF(AN109=0,0,AO109/AN109)</f>
        <v>0.27216848504878799</v>
      </c>
      <c r="AQ109" t="str">
        <f t="shared" si="39"/>
        <v>October</v>
      </c>
      <c r="AR109">
        <f t="shared" si="40"/>
        <v>2024</v>
      </c>
      <c r="AS109" t="str">
        <f t="shared" si="41"/>
        <v>Clean</v>
      </c>
      <c r="AT109" t="str">
        <f>IF(OR(AC109&lt;0,AC109&gt;0.5),"Invalid Discount","Valid")</f>
        <v>Valid</v>
      </c>
      <c r="AU109" t="str">
        <f>IF(G109&lt;E109,"Invalid Shipping Record","Valid")</f>
        <v>Valid</v>
      </c>
      <c r="AV109" t="str">
        <f>IF(OR(AL109="Cancelled",AH109="Failed"),"Exclude","Include")</f>
        <v>Include</v>
      </c>
      <c r="AW109" t="str">
        <f t="shared" si="42"/>
        <v>Match</v>
      </c>
      <c r="AX109" t="str">
        <f t="shared" si="43"/>
        <v>Match</v>
      </c>
    </row>
    <row r="110" spans="1:50">
      <c r="A110" t="s">
        <v>633</v>
      </c>
      <c r="B110">
        <f t="shared" si="44"/>
        <v>1</v>
      </c>
      <c r="C110" t="str">
        <f t="shared" si="32"/>
        <v/>
      </c>
      <c r="D110" s="3" t="s">
        <v>634</v>
      </c>
      <c r="E110" s="7">
        <v>45519</v>
      </c>
      <c r="F110" s="3" t="s">
        <v>635</v>
      </c>
      <c r="G110" s="7">
        <v>45527</v>
      </c>
      <c r="H110" s="7" t="str">
        <f t="shared" si="22"/>
        <v>Valid</v>
      </c>
      <c r="I110" s="9">
        <f t="shared" si="23"/>
        <v>8</v>
      </c>
      <c r="J110" s="9" t="str">
        <f t="shared" si="24"/>
        <v>Valid</v>
      </c>
      <c r="K110" t="s">
        <v>636</v>
      </c>
      <c r="L110" t="s">
        <v>106</v>
      </c>
      <c r="M110" t="s">
        <v>106</v>
      </c>
      <c r="N110" t="s">
        <v>40</v>
      </c>
      <c r="O110" s="3" t="str">
        <f t="shared" si="25"/>
        <v>Small Business</v>
      </c>
      <c r="P110" t="s">
        <v>41</v>
      </c>
      <c r="Q110" s="3" t="str">
        <f t="shared" si="26"/>
        <v>East</v>
      </c>
      <c r="R110" t="s">
        <v>42</v>
      </c>
      <c r="S110" t="s">
        <v>43</v>
      </c>
      <c r="T110" t="s">
        <v>44</v>
      </c>
      <c r="U110" s="3" t="str">
        <f t="shared" si="27"/>
        <v>Furniture</v>
      </c>
      <c r="V110" t="s">
        <v>203</v>
      </c>
      <c r="W110" t="s">
        <v>637</v>
      </c>
      <c r="X110" t="s">
        <v>47</v>
      </c>
      <c r="Y110" s="3" t="str">
        <f t="shared" si="28"/>
        <v>Same Day</v>
      </c>
      <c r="Z110">
        <v>2</v>
      </c>
      <c r="AA110">
        <v>537.54</v>
      </c>
      <c r="AB110">
        <v>0.25</v>
      </c>
      <c r="AC110">
        <f t="shared" si="29"/>
        <v>0.25</v>
      </c>
      <c r="AD110" t="str">
        <f t="shared" si="33"/>
        <v>Valid</v>
      </c>
      <c r="AE110">
        <v>806.31</v>
      </c>
      <c r="AF110">
        <v>498.5</v>
      </c>
      <c r="AG110">
        <v>307.81</v>
      </c>
      <c r="AH110" t="s">
        <v>33</v>
      </c>
      <c r="AI110" t="str">
        <f t="shared" si="34"/>
        <v>Include</v>
      </c>
      <c r="AJ110" t="str">
        <f t="shared" si="35"/>
        <v/>
      </c>
      <c r="AK110" t="s">
        <v>34</v>
      </c>
      <c r="AL110" t="str">
        <f t="shared" si="30"/>
        <v>Completed</v>
      </c>
      <c r="AM110" t="str">
        <f t="shared" si="36"/>
        <v>Include</v>
      </c>
      <c r="AN110">
        <f t="shared" si="37"/>
        <v>806.31</v>
      </c>
      <c r="AO110">
        <f t="shared" si="38"/>
        <v>307.80999999999995</v>
      </c>
      <c r="AP110">
        <f>IF(AN110=0,0,AO110/AN110)</f>
        <v>0.38175143555208291</v>
      </c>
      <c r="AQ110" t="str">
        <f t="shared" si="39"/>
        <v>August</v>
      </c>
      <c r="AR110">
        <f t="shared" si="40"/>
        <v>2024</v>
      </c>
      <c r="AS110" t="str">
        <f t="shared" si="41"/>
        <v>Clean</v>
      </c>
      <c r="AT110" t="str">
        <f>IF(OR(AC110&lt;0,AC110&gt;0.5),"Invalid Discount","Valid")</f>
        <v>Valid</v>
      </c>
      <c r="AU110" t="str">
        <f>IF(G110&lt;E110,"Invalid Shipping Record","Valid")</f>
        <v>Valid</v>
      </c>
      <c r="AV110" t="str">
        <f>IF(OR(AL110="Cancelled",AH110="Failed"),"Exclude","Include")</f>
        <v>Include</v>
      </c>
      <c r="AW110" t="str">
        <f t="shared" si="42"/>
        <v>Match</v>
      </c>
      <c r="AX110" t="str">
        <f t="shared" si="43"/>
        <v>Match</v>
      </c>
    </row>
    <row r="111" spans="1:50">
      <c r="A111" t="s">
        <v>638</v>
      </c>
      <c r="B111">
        <f t="shared" si="44"/>
        <v>1</v>
      </c>
      <c r="C111" t="str">
        <f t="shared" si="32"/>
        <v/>
      </c>
      <c r="D111" s="3" t="s">
        <v>639</v>
      </c>
      <c r="E111" s="7">
        <v>45892</v>
      </c>
      <c r="F111" s="3" t="s">
        <v>478</v>
      </c>
      <c r="G111" s="7">
        <v>45896</v>
      </c>
      <c r="H111" s="7" t="str">
        <f t="shared" si="22"/>
        <v>Valid</v>
      </c>
      <c r="I111" s="9">
        <f t="shared" si="23"/>
        <v>4</v>
      </c>
      <c r="J111" s="9" t="str">
        <f t="shared" si="24"/>
        <v>Valid</v>
      </c>
      <c r="K111" t="s">
        <v>640</v>
      </c>
      <c r="L111" t="s">
        <v>167</v>
      </c>
      <c r="M111" t="s">
        <v>167</v>
      </c>
      <c r="N111" t="s">
        <v>25</v>
      </c>
      <c r="O111" s="3" t="str">
        <f t="shared" si="25"/>
        <v>Consumer</v>
      </c>
      <c r="P111" t="s">
        <v>26</v>
      </c>
      <c r="Q111" s="3" t="str">
        <f t="shared" si="26"/>
        <v>North</v>
      </c>
      <c r="R111" t="s">
        <v>505</v>
      </c>
      <c r="S111" t="s">
        <v>506</v>
      </c>
      <c r="T111" t="s">
        <v>29</v>
      </c>
      <c r="U111" s="3" t="str">
        <f t="shared" si="27"/>
        <v>Office Supplies</v>
      </c>
      <c r="V111" t="s">
        <v>197</v>
      </c>
      <c r="W111" t="s">
        <v>641</v>
      </c>
      <c r="X111" t="s">
        <v>32</v>
      </c>
      <c r="Y111" s="3" t="str">
        <f t="shared" si="28"/>
        <v>Second Class</v>
      </c>
      <c r="Z111">
        <v>1</v>
      </c>
      <c r="AA111">
        <v>2788.62</v>
      </c>
      <c r="AB111">
        <v>0.25</v>
      </c>
      <c r="AC111">
        <f t="shared" si="29"/>
        <v>0.25</v>
      </c>
      <c r="AD111" t="str">
        <f t="shared" si="33"/>
        <v>Valid</v>
      </c>
      <c r="AE111">
        <v>2091.4699999999998</v>
      </c>
      <c r="AF111">
        <v>1317.22</v>
      </c>
      <c r="AG111">
        <v>774.25</v>
      </c>
      <c r="AH111" t="s">
        <v>33</v>
      </c>
      <c r="AI111" t="str">
        <f t="shared" si="34"/>
        <v>Include</v>
      </c>
      <c r="AJ111" t="str">
        <f t="shared" si="35"/>
        <v/>
      </c>
      <c r="AK111" t="s">
        <v>34</v>
      </c>
      <c r="AL111" t="str">
        <f t="shared" si="30"/>
        <v>Completed</v>
      </c>
      <c r="AM111" t="str">
        <f t="shared" si="36"/>
        <v>Include</v>
      </c>
      <c r="AN111">
        <f t="shared" si="37"/>
        <v>2091.4650000000001</v>
      </c>
      <c r="AO111">
        <f t="shared" si="38"/>
        <v>774.24500000000012</v>
      </c>
      <c r="AP111">
        <f>IF(AN111=0,0,AO111/AN111)</f>
        <v>0.37019266399389905</v>
      </c>
      <c r="AQ111" t="str">
        <f t="shared" si="39"/>
        <v>August</v>
      </c>
      <c r="AR111">
        <f t="shared" si="40"/>
        <v>2025</v>
      </c>
      <c r="AS111" t="str">
        <f t="shared" si="41"/>
        <v>Clean</v>
      </c>
      <c r="AT111" t="str">
        <f>IF(OR(AC111&lt;0,AC111&gt;0.5),"Invalid Discount","Valid")</f>
        <v>Valid</v>
      </c>
      <c r="AU111" t="str">
        <f>IF(G111&lt;E111,"Invalid Shipping Record","Valid")</f>
        <v>Valid</v>
      </c>
      <c r="AV111" t="str">
        <f>IF(OR(AL111="Cancelled",AH111="Failed"),"Exclude","Include")</f>
        <v>Include</v>
      </c>
      <c r="AW111" t="str">
        <f t="shared" si="42"/>
        <v>Match</v>
      </c>
      <c r="AX111" t="str">
        <f t="shared" si="43"/>
        <v>Match</v>
      </c>
    </row>
    <row r="112" spans="1:50">
      <c r="A112" t="s">
        <v>642</v>
      </c>
      <c r="B112">
        <f t="shared" si="44"/>
        <v>1</v>
      </c>
      <c r="C112" t="str">
        <f t="shared" si="32"/>
        <v/>
      </c>
      <c r="D112" s="3" t="s">
        <v>643</v>
      </c>
      <c r="E112" s="7">
        <v>45583</v>
      </c>
      <c r="F112" s="3" t="s">
        <v>644</v>
      </c>
      <c r="G112" s="7">
        <v>45589</v>
      </c>
      <c r="H112" s="7" t="str">
        <f t="shared" si="22"/>
        <v>Valid</v>
      </c>
      <c r="I112" s="9">
        <f t="shared" si="23"/>
        <v>6</v>
      </c>
      <c r="J112" s="9" t="str">
        <f t="shared" si="24"/>
        <v>Valid</v>
      </c>
      <c r="K112" t="s">
        <v>645</v>
      </c>
      <c r="L112" t="s">
        <v>82</v>
      </c>
      <c r="M112" t="s">
        <v>82</v>
      </c>
      <c r="N112" t="s">
        <v>107</v>
      </c>
      <c r="O112" s="3" t="str">
        <f t="shared" si="25"/>
        <v>Corporate</v>
      </c>
      <c r="P112" t="s">
        <v>61</v>
      </c>
      <c r="Q112" s="3" t="str">
        <f t="shared" si="26"/>
        <v>South</v>
      </c>
      <c r="R112" t="s">
        <v>241</v>
      </c>
      <c r="S112" t="s">
        <v>242</v>
      </c>
      <c r="T112" t="s">
        <v>29</v>
      </c>
      <c r="U112" s="3" t="str">
        <f t="shared" si="27"/>
        <v>Office Supplies</v>
      </c>
      <c r="V112" t="s">
        <v>108</v>
      </c>
      <c r="W112" t="s">
        <v>646</v>
      </c>
      <c r="X112" t="s">
        <v>55</v>
      </c>
      <c r="Y112" s="3" t="str">
        <f t="shared" si="28"/>
        <v>First Class</v>
      </c>
      <c r="Z112">
        <v>2</v>
      </c>
      <c r="AA112">
        <v>2250.4699999999998</v>
      </c>
      <c r="AB112">
        <v>0</v>
      </c>
      <c r="AC112">
        <f t="shared" si="29"/>
        <v>0</v>
      </c>
      <c r="AD112" t="str">
        <f t="shared" si="33"/>
        <v>Valid</v>
      </c>
      <c r="AE112">
        <v>4500.9399999999996</v>
      </c>
      <c r="AF112">
        <v>2607.73</v>
      </c>
      <c r="AG112">
        <v>1893.21</v>
      </c>
      <c r="AH112" t="s">
        <v>123</v>
      </c>
      <c r="AI112" t="str">
        <f t="shared" si="34"/>
        <v>Exclude</v>
      </c>
      <c r="AJ112" t="str">
        <f t="shared" si="35"/>
        <v>Refunded Order</v>
      </c>
      <c r="AK112" t="s">
        <v>77</v>
      </c>
      <c r="AL112" t="str">
        <f t="shared" si="30"/>
        <v>Cancelled</v>
      </c>
      <c r="AM112" t="str">
        <f t="shared" si="36"/>
        <v>Exclude</v>
      </c>
      <c r="AN112">
        <f t="shared" si="37"/>
        <v>4500.9399999999996</v>
      </c>
      <c r="AO112">
        <f t="shared" si="38"/>
        <v>1893.2099999999996</v>
      </c>
      <c r="AP112">
        <f>IF(AN112=0,0,AO112/AN112)</f>
        <v>0.42062546934640316</v>
      </c>
      <c r="AQ112" t="str">
        <f t="shared" si="39"/>
        <v>October</v>
      </c>
      <c r="AR112">
        <f t="shared" si="40"/>
        <v>2024</v>
      </c>
      <c r="AS112" t="str">
        <f t="shared" si="41"/>
        <v>Clean</v>
      </c>
      <c r="AT112" t="str">
        <f>IF(OR(AC112&lt;0,AC112&gt;0.5),"Invalid Discount","Valid")</f>
        <v>Valid</v>
      </c>
      <c r="AU112" t="str">
        <f>IF(G112&lt;E112,"Invalid Shipping Record","Valid")</f>
        <v>Valid</v>
      </c>
      <c r="AV112" t="str">
        <f>IF(OR(AL112="Cancelled",AH112="Failed"),"Exclude","Include")</f>
        <v>Exclude</v>
      </c>
      <c r="AW112" t="str">
        <f t="shared" si="42"/>
        <v>Match</v>
      </c>
      <c r="AX112" t="str">
        <f t="shared" si="43"/>
        <v>Match</v>
      </c>
    </row>
    <row r="113" spans="1:50">
      <c r="A113" t="s">
        <v>647</v>
      </c>
      <c r="B113">
        <f t="shared" si="44"/>
        <v>1</v>
      </c>
      <c r="C113" t="str">
        <f t="shared" si="32"/>
        <v/>
      </c>
      <c r="D113" s="3" t="s">
        <v>648</v>
      </c>
      <c r="E113" s="7">
        <v>45835</v>
      </c>
      <c r="F113" s="3" t="s">
        <v>649</v>
      </c>
      <c r="G113" s="7">
        <v>45838</v>
      </c>
      <c r="H113" s="7" t="str">
        <f t="shared" si="22"/>
        <v>Valid</v>
      </c>
      <c r="I113" s="9">
        <f t="shared" si="23"/>
        <v>3</v>
      </c>
      <c r="J113" s="9" t="str">
        <f t="shared" si="24"/>
        <v>Valid</v>
      </c>
      <c r="K113" t="s">
        <v>650</v>
      </c>
      <c r="L113" t="s">
        <v>92</v>
      </c>
      <c r="M113" t="s">
        <v>92</v>
      </c>
      <c r="N113" t="s">
        <v>107</v>
      </c>
      <c r="O113" s="3" t="str">
        <f t="shared" si="25"/>
        <v>Corporate</v>
      </c>
      <c r="P113" t="s">
        <v>41</v>
      </c>
      <c r="Q113" s="3" t="str">
        <f t="shared" si="26"/>
        <v>East</v>
      </c>
      <c r="R113" t="s">
        <v>185</v>
      </c>
      <c r="S113" t="s">
        <v>186</v>
      </c>
      <c r="T113" t="s">
        <v>85</v>
      </c>
      <c r="U113" s="3" t="str">
        <f t="shared" si="27"/>
        <v>Technology</v>
      </c>
      <c r="V113" t="s">
        <v>86</v>
      </c>
      <c r="W113" t="s">
        <v>651</v>
      </c>
      <c r="X113" t="s">
        <v>55</v>
      </c>
      <c r="Y113" s="3" t="str">
        <f t="shared" si="28"/>
        <v>First Class</v>
      </c>
      <c r="Z113">
        <v>1</v>
      </c>
      <c r="AA113">
        <v>1708.44</v>
      </c>
      <c r="AB113">
        <v>0.05</v>
      </c>
      <c r="AC113">
        <f t="shared" si="29"/>
        <v>0.05</v>
      </c>
      <c r="AD113" t="str">
        <f t="shared" si="33"/>
        <v>Valid</v>
      </c>
      <c r="AE113">
        <v>1623.02</v>
      </c>
      <c r="AF113">
        <v>1077.46</v>
      </c>
      <c r="AG113">
        <v>545.55999999999995</v>
      </c>
      <c r="AH113" t="s">
        <v>136</v>
      </c>
      <c r="AI113" t="str">
        <f t="shared" si="34"/>
        <v>Exclude</v>
      </c>
      <c r="AJ113" t="str">
        <f t="shared" si="35"/>
        <v/>
      </c>
      <c r="AK113" t="s">
        <v>77</v>
      </c>
      <c r="AL113" t="str">
        <f t="shared" si="30"/>
        <v>Cancelled</v>
      </c>
      <c r="AM113" t="str">
        <f t="shared" si="36"/>
        <v>Exclude</v>
      </c>
      <c r="AN113">
        <f t="shared" si="37"/>
        <v>1623.018</v>
      </c>
      <c r="AO113">
        <f t="shared" si="38"/>
        <v>545.55799999999999</v>
      </c>
      <c r="AP113">
        <f>IF(AN113=0,0,AO113/AN113)</f>
        <v>0.3361379849145234</v>
      </c>
      <c r="AQ113" t="str">
        <f t="shared" si="39"/>
        <v>June</v>
      </c>
      <c r="AR113">
        <f t="shared" si="40"/>
        <v>2025</v>
      </c>
      <c r="AS113" t="str">
        <f t="shared" si="41"/>
        <v>Clean</v>
      </c>
      <c r="AT113" t="str">
        <f>IF(OR(AC113&lt;0,AC113&gt;0.5),"Invalid Discount","Valid")</f>
        <v>Valid</v>
      </c>
      <c r="AU113" t="str">
        <f>IF(G113&lt;E113,"Invalid Shipping Record","Valid")</f>
        <v>Valid</v>
      </c>
      <c r="AV113" t="str">
        <f>IF(OR(AL113="Cancelled",AH113="Failed"),"Exclude","Include")</f>
        <v>Exclude</v>
      </c>
      <c r="AW113" t="str">
        <f t="shared" si="42"/>
        <v>Match</v>
      </c>
      <c r="AX113" t="str">
        <f t="shared" si="43"/>
        <v>Match</v>
      </c>
    </row>
    <row r="114" spans="1:50">
      <c r="A114" t="s">
        <v>652</v>
      </c>
      <c r="B114">
        <f t="shared" si="44"/>
        <v>1</v>
      </c>
      <c r="C114" t="str">
        <f t="shared" si="32"/>
        <v/>
      </c>
      <c r="D114" s="3" t="s">
        <v>653</v>
      </c>
      <c r="E114" s="7">
        <v>45301</v>
      </c>
      <c r="F114" s="3" t="s">
        <v>654</v>
      </c>
      <c r="G114" s="7">
        <v>45305</v>
      </c>
      <c r="H114" s="7" t="str">
        <f t="shared" si="22"/>
        <v>Valid</v>
      </c>
      <c r="I114" s="9">
        <f t="shared" si="23"/>
        <v>4</v>
      </c>
      <c r="J114" s="9" t="str">
        <f t="shared" si="24"/>
        <v>Valid</v>
      </c>
      <c r="K114" t="s">
        <v>655</v>
      </c>
      <c r="L114" t="s">
        <v>167</v>
      </c>
      <c r="M114" t="s">
        <v>167</v>
      </c>
      <c r="N114" t="s">
        <v>25</v>
      </c>
      <c r="O114" s="3" t="str">
        <f t="shared" si="25"/>
        <v>Consumer</v>
      </c>
      <c r="Q114" s="3" t="str">
        <f t="shared" si="26"/>
        <v>Unknown</v>
      </c>
      <c r="R114" t="s">
        <v>234</v>
      </c>
      <c r="S114" t="s">
        <v>235</v>
      </c>
      <c r="T114" t="s">
        <v>85</v>
      </c>
      <c r="U114" s="3" t="str">
        <f t="shared" si="27"/>
        <v>Technology</v>
      </c>
      <c r="V114" t="s">
        <v>86</v>
      </c>
      <c r="W114" t="s">
        <v>656</v>
      </c>
      <c r="X114" t="s">
        <v>66</v>
      </c>
      <c r="Y114" s="3" t="str">
        <f t="shared" si="28"/>
        <v>Standard Class</v>
      </c>
      <c r="Z114">
        <v>3</v>
      </c>
      <c r="AA114">
        <v>3829.48</v>
      </c>
      <c r="AB114">
        <v>0.05</v>
      </c>
      <c r="AC114">
        <f t="shared" si="29"/>
        <v>0.05</v>
      </c>
      <c r="AD114" t="str">
        <f t="shared" si="33"/>
        <v>Valid</v>
      </c>
      <c r="AE114">
        <v>10914.02</v>
      </c>
      <c r="AF114">
        <v>6548.74</v>
      </c>
      <c r="AG114">
        <v>4365.28</v>
      </c>
      <c r="AH114" t="s">
        <v>33</v>
      </c>
      <c r="AI114" t="str">
        <f t="shared" si="34"/>
        <v>Include</v>
      </c>
      <c r="AJ114" t="str">
        <f t="shared" si="35"/>
        <v/>
      </c>
      <c r="AK114" t="s">
        <v>34</v>
      </c>
      <c r="AL114" t="str">
        <f t="shared" si="30"/>
        <v>Completed</v>
      </c>
      <c r="AM114" t="str">
        <f t="shared" si="36"/>
        <v>Include</v>
      </c>
      <c r="AN114">
        <f t="shared" si="37"/>
        <v>10914.018</v>
      </c>
      <c r="AO114">
        <f t="shared" si="38"/>
        <v>4365.2780000000002</v>
      </c>
      <c r="AP114">
        <f>IF(AN114=0,0,AO114/AN114)</f>
        <v>0.39996983695647198</v>
      </c>
      <c r="AQ114" t="str">
        <f t="shared" si="39"/>
        <v>January</v>
      </c>
      <c r="AR114">
        <f t="shared" si="40"/>
        <v>2024</v>
      </c>
      <c r="AS114" t="str">
        <f t="shared" si="41"/>
        <v>Warning</v>
      </c>
      <c r="AT114" t="str">
        <f>IF(OR(AC114&lt;0,AC114&gt;0.5),"Invalid Discount","Valid")</f>
        <v>Valid</v>
      </c>
      <c r="AU114" t="str">
        <f>IF(G114&lt;E114,"Invalid Shipping Record","Valid")</f>
        <v>Valid</v>
      </c>
      <c r="AV114" t="str">
        <f>IF(OR(AL114="Cancelled",AH114="Failed"),"Exclude","Include")</f>
        <v>Include</v>
      </c>
      <c r="AW114" t="str">
        <f t="shared" si="42"/>
        <v>Match</v>
      </c>
      <c r="AX114" t="str">
        <f t="shared" si="43"/>
        <v>Match</v>
      </c>
    </row>
    <row r="115" spans="1:50">
      <c r="A115" t="s">
        <v>657</v>
      </c>
      <c r="B115">
        <f t="shared" si="44"/>
        <v>1</v>
      </c>
      <c r="C115" t="str">
        <f t="shared" si="32"/>
        <v/>
      </c>
      <c r="D115" s="3" t="s">
        <v>658</v>
      </c>
      <c r="E115" s="7">
        <v>45334</v>
      </c>
      <c r="F115" s="3" t="s">
        <v>658</v>
      </c>
      <c r="G115" s="7">
        <v>45334</v>
      </c>
      <c r="H115" s="7" t="str">
        <f t="shared" si="22"/>
        <v>Valid</v>
      </c>
      <c r="I115" s="9">
        <f t="shared" si="23"/>
        <v>0</v>
      </c>
      <c r="J115" s="9" t="str">
        <f t="shared" si="24"/>
        <v>Valid</v>
      </c>
      <c r="K115" t="s">
        <v>520</v>
      </c>
      <c r="L115" t="s">
        <v>52</v>
      </c>
      <c r="M115" t="s">
        <v>52</v>
      </c>
      <c r="N115" t="s">
        <v>114</v>
      </c>
      <c r="O115" s="3" t="str">
        <f t="shared" si="25"/>
        <v>Home Office</v>
      </c>
      <c r="P115" t="s">
        <v>61</v>
      </c>
      <c r="Q115" s="3" t="str">
        <f t="shared" si="26"/>
        <v>South</v>
      </c>
      <c r="R115" t="s">
        <v>338</v>
      </c>
      <c r="S115" t="s">
        <v>339</v>
      </c>
      <c r="T115" t="s">
        <v>44</v>
      </c>
      <c r="U115" s="3" t="str">
        <f t="shared" si="27"/>
        <v>Furniture</v>
      </c>
      <c r="V115" t="s">
        <v>45</v>
      </c>
      <c r="W115" t="s">
        <v>659</v>
      </c>
      <c r="X115" t="s">
        <v>66</v>
      </c>
      <c r="Y115" s="3" t="str">
        <f t="shared" si="28"/>
        <v>Standard Class</v>
      </c>
      <c r="Z115">
        <v>3</v>
      </c>
      <c r="AA115">
        <v>1089.1500000000001</v>
      </c>
      <c r="AB115">
        <v>0.25</v>
      </c>
      <c r="AC115">
        <f t="shared" si="29"/>
        <v>0.25</v>
      </c>
      <c r="AD115" t="str">
        <f t="shared" si="33"/>
        <v>Valid</v>
      </c>
      <c r="AE115">
        <v>2450.59</v>
      </c>
      <c r="AF115">
        <v>1639.89</v>
      </c>
      <c r="AG115">
        <v>810.7</v>
      </c>
      <c r="AH115" t="s">
        <v>33</v>
      </c>
      <c r="AI115" t="str">
        <f t="shared" si="34"/>
        <v>Include</v>
      </c>
      <c r="AJ115" t="str">
        <f t="shared" si="35"/>
        <v/>
      </c>
      <c r="AK115" t="s">
        <v>34</v>
      </c>
      <c r="AL115" t="str">
        <f t="shared" si="30"/>
        <v>Completed</v>
      </c>
      <c r="AM115" t="str">
        <f t="shared" si="36"/>
        <v>Include</v>
      </c>
      <c r="AN115">
        <f t="shared" si="37"/>
        <v>2450.5875000000001</v>
      </c>
      <c r="AO115">
        <f t="shared" si="38"/>
        <v>810.69749999999999</v>
      </c>
      <c r="AP115">
        <f>IF(AN115=0,0,AO115/AN115)</f>
        <v>0.33081761006289306</v>
      </c>
      <c r="AQ115" t="str">
        <f t="shared" si="39"/>
        <v>February</v>
      </c>
      <c r="AR115">
        <f t="shared" si="40"/>
        <v>2024</v>
      </c>
      <c r="AS115" t="str">
        <f t="shared" si="41"/>
        <v>Clean</v>
      </c>
      <c r="AT115" t="str">
        <f>IF(OR(AC115&lt;0,AC115&gt;0.5),"Invalid Discount","Valid")</f>
        <v>Valid</v>
      </c>
      <c r="AU115" t="str">
        <f>IF(G115&lt;E115,"Invalid Shipping Record","Valid")</f>
        <v>Valid</v>
      </c>
      <c r="AV115" t="str">
        <f>IF(OR(AL115="Cancelled",AH115="Failed"),"Exclude","Include")</f>
        <v>Include</v>
      </c>
      <c r="AW115" t="str">
        <f t="shared" si="42"/>
        <v>Match</v>
      </c>
      <c r="AX115" t="str">
        <f t="shared" si="43"/>
        <v>Match</v>
      </c>
    </row>
    <row r="116" spans="1:50">
      <c r="A116" t="s">
        <v>660</v>
      </c>
      <c r="B116">
        <f t="shared" si="44"/>
        <v>1</v>
      </c>
      <c r="C116" t="str">
        <f t="shared" si="32"/>
        <v/>
      </c>
      <c r="D116" s="3" t="s">
        <v>661</v>
      </c>
      <c r="E116" s="7">
        <v>45560</v>
      </c>
      <c r="F116" s="3" t="s">
        <v>662</v>
      </c>
      <c r="G116" s="7">
        <v>45565</v>
      </c>
      <c r="H116" s="7" t="str">
        <f t="shared" si="22"/>
        <v>Valid</v>
      </c>
      <c r="I116" s="9">
        <f t="shared" si="23"/>
        <v>5</v>
      </c>
      <c r="J116" s="9" t="str">
        <f t="shared" si="24"/>
        <v>Valid</v>
      </c>
      <c r="K116" t="s">
        <v>663</v>
      </c>
      <c r="L116" t="s">
        <v>92</v>
      </c>
      <c r="M116" t="s">
        <v>92</v>
      </c>
      <c r="N116" t="s">
        <v>40</v>
      </c>
      <c r="O116" s="3" t="str">
        <f t="shared" si="25"/>
        <v>Small Business</v>
      </c>
      <c r="P116" t="s">
        <v>26</v>
      </c>
      <c r="Q116" s="3" t="str">
        <f t="shared" si="26"/>
        <v>North</v>
      </c>
      <c r="R116" t="s">
        <v>27</v>
      </c>
      <c r="S116" t="s">
        <v>28</v>
      </c>
      <c r="T116" t="s">
        <v>85</v>
      </c>
      <c r="U116" s="3" t="str">
        <f t="shared" si="27"/>
        <v>Technology</v>
      </c>
      <c r="V116" t="s">
        <v>86</v>
      </c>
      <c r="W116" t="s">
        <v>664</v>
      </c>
      <c r="X116" t="s">
        <v>32</v>
      </c>
      <c r="Y116" s="3" t="str">
        <f t="shared" si="28"/>
        <v>Second Class</v>
      </c>
      <c r="Z116">
        <v>1</v>
      </c>
      <c r="AA116">
        <v>4388.3999999999996</v>
      </c>
      <c r="AB116">
        <v>0.1</v>
      </c>
      <c r="AC116">
        <f t="shared" si="29"/>
        <v>0.1</v>
      </c>
      <c r="AD116" t="str">
        <f t="shared" si="33"/>
        <v>Valid</v>
      </c>
      <c r="AE116">
        <v>3949.56</v>
      </c>
      <c r="AF116">
        <v>3186.73</v>
      </c>
      <c r="AG116">
        <v>762.83</v>
      </c>
      <c r="AH116" t="s">
        <v>136</v>
      </c>
      <c r="AI116" t="str">
        <f t="shared" si="34"/>
        <v>Exclude</v>
      </c>
      <c r="AJ116" t="str">
        <f t="shared" si="35"/>
        <v/>
      </c>
      <c r="AK116" t="s">
        <v>77</v>
      </c>
      <c r="AL116" t="str">
        <f t="shared" si="30"/>
        <v>Cancelled</v>
      </c>
      <c r="AM116" t="str">
        <f t="shared" si="36"/>
        <v>Exclude</v>
      </c>
      <c r="AN116">
        <f t="shared" si="37"/>
        <v>3949.56</v>
      </c>
      <c r="AO116">
        <f t="shared" si="38"/>
        <v>762.82999999999993</v>
      </c>
      <c r="AP116">
        <f>IF(AN116=0,0,AO116/AN116)</f>
        <v>0.19314303365438173</v>
      </c>
      <c r="AQ116" t="str">
        <f t="shared" si="39"/>
        <v>September</v>
      </c>
      <c r="AR116">
        <f t="shared" si="40"/>
        <v>2024</v>
      </c>
      <c r="AS116" t="str">
        <f t="shared" si="41"/>
        <v>Clean</v>
      </c>
      <c r="AT116" t="str">
        <f>IF(OR(AC116&lt;0,AC116&gt;0.5),"Invalid Discount","Valid")</f>
        <v>Valid</v>
      </c>
      <c r="AU116" t="str">
        <f>IF(G116&lt;E116,"Invalid Shipping Record","Valid")</f>
        <v>Valid</v>
      </c>
      <c r="AV116" t="str">
        <f>IF(OR(AL116="Cancelled",AH116="Failed"),"Exclude","Include")</f>
        <v>Exclude</v>
      </c>
      <c r="AW116" t="str">
        <f t="shared" si="42"/>
        <v>Match</v>
      </c>
      <c r="AX116" t="str">
        <f t="shared" si="43"/>
        <v>Match</v>
      </c>
    </row>
    <row r="117" spans="1:50">
      <c r="A117" t="s">
        <v>665</v>
      </c>
      <c r="B117">
        <f t="shared" si="44"/>
        <v>1</v>
      </c>
      <c r="C117" t="str">
        <f t="shared" si="32"/>
        <v/>
      </c>
      <c r="D117" s="3" t="s">
        <v>666</v>
      </c>
      <c r="E117" s="7">
        <v>45653</v>
      </c>
      <c r="F117" s="3" t="s">
        <v>667</v>
      </c>
      <c r="G117" s="7">
        <v>45658</v>
      </c>
      <c r="H117" s="7" t="str">
        <f t="shared" si="22"/>
        <v>Valid</v>
      </c>
      <c r="I117" s="9">
        <f t="shared" si="23"/>
        <v>5</v>
      </c>
      <c r="J117" s="9" t="str">
        <f t="shared" si="24"/>
        <v>Valid</v>
      </c>
      <c r="K117" t="s">
        <v>668</v>
      </c>
      <c r="L117" t="s">
        <v>365</v>
      </c>
      <c r="M117" t="s">
        <v>365</v>
      </c>
      <c r="N117" t="s">
        <v>107</v>
      </c>
      <c r="O117" s="3" t="str">
        <f t="shared" si="25"/>
        <v>Corporate</v>
      </c>
      <c r="P117" t="s">
        <v>61</v>
      </c>
      <c r="Q117" s="3" t="str">
        <f t="shared" si="26"/>
        <v>South</v>
      </c>
      <c r="R117" t="s">
        <v>338</v>
      </c>
      <c r="S117" t="s">
        <v>339</v>
      </c>
      <c r="T117" t="s">
        <v>29</v>
      </c>
      <c r="U117" s="3" t="str">
        <f t="shared" si="27"/>
        <v>Office Supplies</v>
      </c>
      <c r="V117" t="s">
        <v>197</v>
      </c>
      <c r="W117" t="s">
        <v>669</v>
      </c>
      <c r="X117" t="s">
        <v>47</v>
      </c>
      <c r="Y117" s="3" t="str">
        <f t="shared" si="28"/>
        <v>Same Day</v>
      </c>
      <c r="Z117">
        <v>2</v>
      </c>
      <c r="AA117">
        <v>446.34</v>
      </c>
      <c r="AB117">
        <v>0.15</v>
      </c>
      <c r="AC117">
        <f t="shared" si="29"/>
        <v>0.15</v>
      </c>
      <c r="AD117" t="str">
        <f t="shared" si="33"/>
        <v>Valid</v>
      </c>
      <c r="AE117">
        <v>758.78</v>
      </c>
      <c r="AF117">
        <v>490.74</v>
      </c>
      <c r="AG117">
        <v>268.04000000000002</v>
      </c>
      <c r="AH117" t="s">
        <v>33</v>
      </c>
      <c r="AI117" t="str">
        <f t="shared" si="34"/>
        <v>Exclude</v>
      </c>
      <c r="AJ117" t="str">
        <f t="shared" si="35"/>
        <v/>
      </c>
      <c r="AK117" t="s">
        <v>77</v>
      </c>
      <c r="AL117" t="str">
        <f t="shared" si="30"/>
        <v>Cancelled</v>
      </c>
      <c r="AM117" t="str">
        <f t="shared" si="36"/>
        <v>Exclude</v>
      </c>
      <c r="AN117">
        <f t="shared" si="37"/>
        <v>758.77799999999991</v>
      </c>
      <c r="AO117">
        <f t="shared" si="38"/>
        <v>268.0379999999999</v>
      </c>
      <c r="AP117">
        <f>IF(AN117=0,0,AO117/AN117)</f>
        <v>0.35324956706704719</v>
      </c>
      <c r="AQ117" t="str">
        <f t="shared" si="39"/>
        <v>December</v>
      </c>
      <c r="AR117">
        <f t="shared" si="40"/>
        <v>2024</v>
      </c>
      <c r="AS117" t="str">
        <f t="shared" si="41"/>
        <v>Clean</v>
      </c>
      <c r="AT117" t="str">
        <f>IF(OR(AC117&lt;0,AC117&gt;0.5),"Invalid Discount","Valid")</f>
        <v>Valid</v>
      </c>
      <c r="AU117" t="str">
        <f>IF(G117&lt;E117,"Invalid Shipping Record","Valid")</f>
        <v>Valid</v>
      </c>
      <c r="AV117" t="str">
        <f>IF(OR(AL117="Cancelled",AH117="Failed"),"Exclude","Include")</f>
        <v>Exclude</v>
      </c>
      <c r="AW117" t="str">
        <f t="shared" si="42"/>
        <v>Match</v>
      </c>
      <c r="AX117" t="str">
        <f t="shared" si="43"/>
        <v>Match</v>
      </c>
    </row>
    <row r="118" spans="1:50">
      <c r="A118" t="s">
        <v>670</v>
      </c>
      <c r="B118">
        <f t="shared" si="44"/>
        <v>1</v>
      </c>
      <c r="C118" t="str">
        <f t="shared" si="32"/>
        <v/>
      </c>
      <c r="D118" s="3" t="s">
        <v>671</v>
      </c>
      <c r="E118" s="7">
        <v>45703</v>
      </c>
      <c r="F118" s="3" t="s">
        <v>672</v>
      </c>
      <c r="G118" s="7">
        <v>45707</v>
      </c>
      <c r="H118" s="7" t="str">
        <f t="shared" si="22"/>
        <v>Valid</v>
      </c>
      <c r="I118" s="9">
        <f t="shared" si="23"/>
        <v>4</v>
      </c>
      <c r="J118" s="9" t="str">
        <f t="shared" si="24"/>
        <v>Valid</v>
      </c>
      <c r="K118" t="s">
        <v>673</v>
      </c>
      <c r="L118" t="s">
        <v>71</v>
      </c>
      <c r="M118" t="s">
        <v>71</v>
      </c>
      <c r="N118" t="s">
        <v>40</v>
      </c>
      <c r="O118" s="3" t="str">
        <f t="shared" si="25"/>
        <v>Small Business</v>
      </c>
      <c r="Q118" s="3" t="str">
        <f t="shared" si="26"/>
        <v>Unknown</v>
      </c>
      <c r="R118" t="s">
        <v>83</v>
      </c>
      <c r="S118" t="s">
        <v>84</v>
      </c>
      <c r="T118" t="s">
        <v>29</v>
      </c>
      <c r="U118" s="3" t="str">
        <f t="shared" si="27"/>
        <v>Office Supplies</v>
      </c>
      <c r="V118" t="s">
        <v>197</v>
      </c>
      <c r="W118" t="s">
        <v>674</v>
      </c>
      <c r="X118" t="s">
        <v>55</v>
      </c>
      <c r="Y118" s="3" t="str">
        <f t="shared" si="28"/>
        <v>First Class</v>
      </c>
      <c r="Z118">
        <v>9</v>
      </c>
      <c r="AA118">
        <v>531.99</v>
      </c>
      <c r="AB118">
        <v>0.25</v>
      </c>
      <c r="AC118">
        <f t="shared" si="29"/>
        <v>0.25</v>
      </c>
      <c r="AD118" t="str">
        <f t="shared" si="33"/>
        <v>Valid</v>
      </c>
      <c r="AE118">
        <v>3590.93</v>
      </c>
      <c r="AF118">
        <v>3061.39</v>
      </c>
      <c r="AG118">
        <v>529.54</v>
      </c>
      <c r="AH118" t="s">
        <v>199</v>
      </c>
      <c r="AI118" t="str">
        <f t="shared" si="34"/>
        <v>Exclude</v>
      </c>
      <c r="AJ118" t="str">
        <f t="shared" si="35"/>
        <v/>
      </c>
      <c r="AK118" t="s">
        <v>77</v>
      </c>
      <c r="AL118" t="str">
        <f t="shared" si="30"/>
        <v>Cancelled</v>
      </c>
      <c r="AM118" t="str">
        <f t="shared" si="36"/>
        <v>Exclude</v>
      </c>
      <c r="AN118">
        <f t="shared" si="37"/>
        <v>3590.9324999999999</v>
      </c>
      <c r="AO118">
        <f t="shared" si="38"/>
        <v>529.54250000000002</v>
      </c>
      <c r="AP118">
        <f>IF(AN118=0,0,AO118/AN118)</f>
        <v>0.14746657031286442</v>
      </c>
      <c r="AQ118" t="str">
        <f t="shared" si="39"/>
        <v>February</v>
      </c>
      <c r="AR118">
        <f t="shared" si="40"/>
        <v>2025</v>
      </c>
      <c r="AS118" t="str">
        <f t="shared" si="41"/>
        <v>Warning</v>
      </c>
      <c r="AT118" t="str">
        <f>IF(OR(AC118&lt;0,AC118&gt;0.5),"Invalid Discount","Valid")</f>
        <v>Valid</v>
      </c>
      <c r="AU118" t="str">
        <f>IF(G118&lt;E118,"Invalid Shipping Record","Valid")</f>
        <v>Valid</v>
      </c>
      <c r="AV118" t="str">
        <f>IF(OR(AL118="Cancelled",AH118="Failed"),"Exclude","Include")</f>
        <v>Exclude</v>
      </c>
      <c r="AW118" t="str">
        <f t="shared" si="42"/>
        <v>Match</v>
      </c>
      <c r="AX118" t="str">
        <f t="shared" si="43"/>
        <v>Match</v>
      </c>
    </row>
    <row r="119" spans="1:50">
      <c r="A119" t="s">
        <v>675</v>
      </c>
      <c r="B119">
        <f t="shared" si="44"/>
        <v>1</v>
      </c>
      <c r="C119" t="str">
        <f t="shared" si="32"/>
        <v/>
      </c>
      <c r="D119" s="3" t="s">
        <v>676</v>
      </c>
      <c r="E119" s="7">
        <v>45337</v>
      </c>
      <c r="F119" s="3" t="s">
        <v>677</v>
      </c>
      <c r="G119" s="7">
        <v>45339</v>
      </c>
      <c r="H119" s="7" t="str">
        <f t="shared" si="22"/>
        <v>Valid</v>
      </c>
      <c r="I119" s="9">
        <f t="shared" si="23"/>
        <v>2</v>
      </c>
      <c r="J119" s="9" t="str">
        <f t="shared" si="24"/>
        <v>Valid</v>
      </c>
      <c r="K119" t="s">
        <v>678</v>
      </c>
      <c r="L119" t="s">
        <v>39</v>
      </c>
      <c r="M119" t="s">
        <v>39</v>
      </c>
      <c r="N119" t="s">
        <v>114</v>
      </c>
      <c r="O119" s="3" t="str">
        <f t="shared" si="25"/>
        <v>Home Office</v>
      </c>
      <c r="P119" t="s">
        <v>61</v>
      </c>
      <c r="Q119" s="3" t="str">
        <f t="shared" si="26"/>
        <v>South</v>
      </c>
      <c r="R119" t="s">
        <v>338</v>
      </c>
      <c r="S119" t="s">
        <v>339</v>
      </c>
      <c r="T119" t="s">
        <v>85</v>
      </c>
      <c r="U119" s="3" t="str">
        <f t="shared" si="27"/>
        <v>Technology</v>
      </c>
      <c r="V119" t="s">
        <v>381</v>
      </c>
      <c r="W119" t="s">
        <v>679</v>
      </c>
      <c r="X119" t="s">
        <v>66</v>
      </c>
      <c r="Y119" s="3" t="str">
        <f t="shared" si="28"/>
        <v>Standard Class</v>
      </c>
      <c r="Z119">
        <v>9</v>
      </c>
      <c r="AA119">
        <v>3324.55</v>
      </c>
      <c r="AB119" t="s">
        <v>680</v>
      </c>
      <c r="AC119" t="str">
        <f t="shared" si="29"/>
        <v>70%</v>
      </c>
      <c r="AD119" t="str">
        <f t="shared" si="33"/>
        <v>Valid</v>
      </c>
      <c r="AE119">
        <v>25432.81</v>
      </c>
      <c r="AF119">
        <v>20370.16</v>
      </c>
      <c r="AG119">
        <v>5062.6499999999996</v>
      </c>
      <c r="AH119" t="s">
        <v>33</v>
      </c>
      <c r="AI119" t="str">
        <f t="shared" si="34"/>
        <v>Include</v>
      </c>
      <c r="AJ119" t="str">
        <f t="shared" si="35"/>
        <v/>
      </c>
      <c r="AK119" t="s">
        <v>34</v>
      </c>
      <c r="AL119" t="str">
        <f t="shared" si="30"/>
        <v>Completed</v>
      </c>
      <c r="AM119" t="str">
        <f t="shared" si="36"/>
        <v>Include</v>
      </c>
      <c r="AN119">
        <f t="shared" si="37"/>
        <v>8976.2850000000017</v>
      </c>
      <c r="AO119">
        <f t="shared" si="38"/>
        <v>-11393.874999999998</v>
      </c>
      <c r="AP119">
        <f>IF(AN119=0,0,AO119/AN119)</f>
        <v>-1.2693307977632167</v>
      </c>
      <c r="AQ119" t="str">
        <f t="shared" si="39"/>
        <v>February</v>
      </c>
      <c r="AR119">
        <f t="shared" si="40"/>
        <v>2024</v>
      </c>
      <c r="AS119" t="str">
        <f t="shared" si="41"/>
        <v>Invalid</v>
      </c>
      <c r="AT119" t="str">
        <f>IF(OR(AC119&lt;0,AC119&gt;0.5),"Invalid Discount","Valid")</f>
        <v>Invalid Discount</v>
      </c>
      <c r="AU119" t="str">
        <f>IF(G119&lt;E119,"Invalid Shipping Record","Valid")</f>
        <v>Valid</v>
      </c>
      <c r="AV119" t="str">
        <f>IF(OR(AL119="Cancelled",AH119="Failed"),"Exclude","Include")</f>
        <v>Include</v>
      </c>
      <c r="AW119" t="str">
        <f t="shared" si="42"/>
        <v>Mismatch</v>
      </c>
      <c r="AX119" t="str">
        <f t="shared" si="43"/>
        <v>Mismatch</v>
      </c>
    </row>
    <row r="120" spans="1:50">
      <c r="A120" t="s">
        <v>681</v>
      </c>
      <c r="B120">
        <f t="shared" si="44"/>
        <v>1</v>
      </c>
      <c r="C120" t="str">
        <f t="shared" si="32"/>
        <v/>
      </c>
      <c r="D120" s="3" t="s">
        <v>682</v>
      </c>
      <c r="E120" s="7">
        <v>45453</v>
      </c>
      <c r="F120" s="3" t="s">
        <v>683</v>
      </c>
      <c r="G120" s="7">
        <v>45461</v>
      </c>
      <c r="H120" s="7" t="str">
        <f t="shared" si="22"/>
        <v>Valid</v>
      </c>
      <c r="I120" s="9">
        <f t="shared" si="23"/>
        <v>8</v>
      </c>
      <c r="J120" s="9" t="str">
        <f t="shared" si="24"/>
        <v>Valid</v>
      </c>
      <c r="K120" t="s">
        <v>684</v>
      </c>
      <c r="L120" t="s">
        <v>685</v>
      </c>
      <c r="M120" t="s">
        <v>82</v>
      </c>
      <c r="N120" t="s">
        <v>114</v>
      </c>
      <c r="O120" s="3" t="str">
        <f t="shared" si="25"/>
        <v>Home Office</v>
      </c>
      <c r="P120" t="s">
        <v>61</v>
      </c>
      <c r="Q120" s="3" t="str">
        <f t="shared" si="26"/>
        <v>South</v>
      </c>
      <c r="R120" t="s">
        <v>99</v>
      </c>
      <c r="S120" t="s">
        <v>100</v>
      </c>
      <c r="T120" t="s">
        <v>85</v>
      </c>
      <c r="U120" s="3" t="str">
        <f t="shared" si="27"/>
        <v>Technology</v>
      </c>
      <c r="V120" t="s">
        <v>93</v>
      </c>
      <c r="W120" t="s">
        <v>686</v>
      </c>
      <c r="X120" t="s">
        <v>47</v>
      </c>
      <c r="Y120" s="3" t="str">
        <f t="shared" si="28"/>
        <v>Same Day</v>
      </c>
      <c r="Z120">
        <v>5</v>
      </c>
      <c r="AA120">
        <v>1580.27</v>
      </c>
      <c r="AB120">
        <v>0.2</v>
      </c>
      <c r="AC120">
        <f t="shared" si="29"/>
        <v>0.2</v>
      </c>
      <c r="AD120" t="str">
        <f t="shared" si="33"/>
        <v>Valid</v>
      </c>
      <c r="AE120">
        <v>6321.08</v>
      </c>
      <c r="AF120">
        <v>4407.22</v>
      </c>
      <c r="AG120">
        <v>1913.86</v>
      </c>
      <c r="AH120" t="s">
        <v>33</v>
      </c>
      <c r="AI120" t="str">
        <f t="shared" si="34"/>
        <v>Include</v>
      </c>
      <c r="AJ120" t="str">
        <f t="shared" si="35"/>
        <v/>
      </c>
      <c r="AK120" t="s">
        <v>34</v>
      </c>
      <c r="AL120" t="str">
        <f t="shared" si="30"/>
        <v>Completed</v>
      </c>
      <c r="AM120" t="str">
        <f t="shared" si="36"/>
        <v>Include</v>
      </c>
      <c r="AN120">
        <f t="shared" si="37"/>
        <v>6321.0800000000008</v>
      </c>
      <c r="AO120">
        <f t="shared" si="38"/>
        <v>1913.8600000000006</v>
      </c>
      <c r="AP120">
        <f>IF(AN120=0,0,AO120/AN120)</f>
        <v>0.30277420947053357</v>
      </c>
      <c r="AQ120" t="str">
        <f t="shared" si="39"/>
        <v>June</v>
      </c>
      <c r="AR120">
        <f t="shared" si="40"/>
        <v>2024</v>
      </c>
      <c r="AS120" t="str">
        <f t="shared" si="41"/>
        <v>Clean</v>
      </c>
      <c r="AT120" t="str">
        <f>IF(OR(AC120&lt;0,AC120&gt;0.5),"Invalid Discount","Valid")</f>
        <v>Valid</v>
      </c>
      <c r="AU120" t="str">
        <f>IF(G120&lt;E120,"Invalid Shipping Record","Valid")</f>
        <v>Valid</v>
      </c>
      <c r="AV120" t="str">
        <f>IF(OR(AL120="Cancelled",AH120="Failed"),"Exclude","Include")</f>
        <v>Include</v>
      </c>
      <c r="AW120" t="str">
        <f t="shared" si="42"/>
        <v>Match</v>
      </c>
      <c r="AX120" t="str">
        <f t="shared" si="43"/>
        <v>Match</v>
      </c>
    </row>
    <row r="121" spans="1:50">
      <c r="A121" t="s">
        <v>687</v>
      </c>
      <c r="B121">
        <f t="shared" si="44"/>
        <v>1</v>
      </c>
      <c r="C121" t="str">
        <f t="shared" si="32"/>
        <v/>
      </c>
      <c r="D121" s="3" t="s">
        <v>688</v>
      </c>
      <c r="E121" s="7">
        <v>45455</v>
      </c>
      <c r="F121" s="3" t="s">
        <v>689</v>
      </c>
      <c r="G121" s="7">
        <v>45462</v>
      </c>
      <c r="H121" s="7" t="str">
        <f t="shared" si="22"/>
        <v>Valid</v>
      </c>
      <c r="I121" s="9">
        <f t="shared" si="23"/>
        <v>7</v>
      </c>
      <c r="J121" s="9" t="str">
        <f t="shared" si="24"/>
        <v>Valid</v>
      </c>
      <c r="K121" t="s">
        <v>690</v>
      </c>
      <c r="L121" t="s">
        <v>106</v>
      </c>
      <c r="M121" t="s">
        <v>106</v>
      </c>
      <c r="N121" t="s">
        <v>40</v>
      </c>
      <c r="O121" s="3" t="str">
        <f t="shared" si="25"/>
        <v>Small Business</v>
      </c>
      <c r="P121" t="s">
        <v>61</v>
      </c>
      <c r="Q121" s="3" t="str">
        <f t="shared" si="26"/>
        <v>South</v>
      </c>
      <c r="R121" t="s">
        <v>241</v>
      </c>
      <c r="S121" t="s">
        <v>242</v>
      </c>
      <c r="T121" t="s">
        <v>44</v>
      </c>
      <c r="U121" s="3" t="str">
        <f t="shared" si="27"/>
        <v>Furniture</v>
      </c>
      <c r="V121" t="s">
        <v>75</v>
      </c>
      <c r="W121" t="s">
        <v>691</v>
      </c>
      <c r="X121" t="s">
        <v>66</v>
      </c>
      <c r="Y121" s="3" t="str">
        <f t="shared" si="28"/>
        <v>Standard Class</v>
      </c>
      <c r="Z121">
        <v>8</v>
      </c>
      <c r="AA121">
        <v>314.05</v>
      </c>
      <c r="AB121">
        <v>0.25</v>
      </c>
      <c r="AC121">
        <f t="shared" si="29"/>
        <v>0.25</v>
      </c>
      <c r="AD121" t="str">
        <f t="shared" si="33"/>
        <v>Valid</v>
      </c>
      <c r="AE121">
        <v>1884.3</v>
      </c>
      <c r="AF121">
        <v>1517.69</v>
      </c>
      <c r="AG121">
        <v>366.61</v>
      </c>
      <c r="AH121" t="s">
        <v>123</v>
      </c>
      <c r="AI121" t="str">
        <f t="shared" si="34"/>
        <v>Include</v>
      </c>
      <c r="AJ121" t="str">
        <f t="shared" si="35"/>
        <v>Refunded Order</v>
      </c>
      <c r="AK121" t="s">
        <v>124</v>
      </c>
      <c r="AL121" t="str">
        <f t="shared" si="30"/>
        <v>Returned</v>
      </c>
      <c r="AM121" t="str">
        <f t="shared" si="36"/>
        <v>Include</v>
      </c>
      <c r="AN121">
        <f t="shared" si="37"/>
        <v>1884.3000000000002</v>
      </c>
      <c r="AO121">
        <f t="shared" si="38"/>
        <v>366.61000000000013</v>
      </c>
      <c r="AP121">
        <f>IF(AN121=0,0,AO121/AN121)</f>
        <v>0.19456031417502526</v>
      </c>
      <c r="AQ121" t="str">
        <f t="shared" si="39"/>
        <v>June</v>
      </c>
      <c r="AR121">
        <f t="shared" si="40"/>
        <v>2024</v>
      </c>
      <c r="AS121" t="str">
        <f t="shared" si="41"/>
        <v>Clean</v>
      </c>
      <c r="AT121" t="str">
        <f>IF(OR(AC121&lt;0,AC121&gt;0.5),"Invalid Discount","Valid")</f>
        <v>Valid</v>
      </c>
      <c r="AU121" t="str">
        <f>IF(G121&lt;E121,"Invalid Shipping Record","Valid")</f>
        <v>Valid</v>
      </c>
      <c r="AV121" t="str">
        <f>IF(OR(AL121="Cancelled",AH121="Failed"),"Exclude","Include")</f>
        <v>Include</v>
      </c>
      <c r="AW121" t="str">
        <f t="shared" si="42"/>
        <v>Match</v>
      </c>
      <c r="AX121" t="str">
        <f t="shared" si="43"/>
        <v>Match</v>
      </c>
    </row>
    <row r="122" spans="1:50">
      <c r="A122" t="s">
        <v>692</v>
      </c>
      <c r="B122">
        <f t="shared" si="44"/>
        <v>1</v>
      </c>
      <c r="C122" t="str">
        <f t="shared" si="32"/>
        <v/>
      </c>
      <c r="D122" s="3" t="s">
        <v>502</v>
      </c>
      <c r="E122" s="7">
        <v>45514</v>
      </c>
      <c r="F122" s="3" t="s">
        <v>693</v>
      </c>
      <c r="G122" s="7">
        <v>45522</v>
      </c>
      <c r="H122" s="7" t="str">
        <f t="shared" si="22"/>
        <v>Valid</v>
      </c>
      <c r="I122" s="9">
        <f t="shared" si="23"/>
        <v>8</v>
      </c>
      <c r="J122" s="9" t="str">
        <f t="shared" si="24"/>
        <v>Valid</v>
      </c>
      <c r="K122" t="s">
        <v>694</v>
      </c>
      <c r="L122" t="s">
        <v>167</v>
      </c>
      <c r="M122" t="s">
        <v>167</v>
      </c>
      <c r="N122" t="s">
        <v>40</v>
      </c>
      <c r="O122" s="3" t="str">
        <f t="shared" si="25"/>
        <v>Small Business</v>
      </c>
      <c r="P122" t="s">
        <v>41</v>
      </c>
      <c r="Q122" s="3" t="str">
        <f t="shared" si="26"/>
        <v>East</v>
      </c>
      <c r="R122" t="s">
        <v>185</v>
      </c>
      <c r="S122" t="s">
        <v>186</v>
      </c>
      <c r="T122" t="s">
        <v>85</v>
      </c>
      <c r="U122" s="3" t="str">
        <f t="shared" si="27"/>
        <v>Technology</v>
      </c>
      <c r="V122" t="s">
        <v>222</v>
      </c>
      <c r="W122" t="s">
        <v>695</v>
      </c>
      <c r="X122" t="s">
        <v>66</v>
      </c>
      <c r="Y122" s="3" t="str">
        <f t="shared" si="28"/>
        <v>Standard Class</v>
      </c>
      <c r="Z122">
        <v>1</v>
      </c>
      <c r="AA122">
        <v>1823.67</v>
      </c>
      <c r="AB122">
        <v>0.2</v>
      </c>
      <c r="AC122">
        <f t="shared" si="29"/>
        <v>0.2</v>
      </c>
      <c r="AD122" t="str">
        <f t="shared" si="33"/>
        <v>Valid</v>
      </c>
      <c r="AE122">
        <v>1458.94</v>
      </c>
      <c r="AF122">
        <v>893.2</v>
      </c>
      <c r="AG122">
        <v>565.74</v>
      </c>
      <c r="AH122" t="s">
        <v>33</v>
      </c>
      <c r="AI122" t="str">
        <f t="shared" si="34"/>
        <v>Include</v>
      </c>
      <c r="AJ122" t="str">
        <f t="shared" si="35"/>
        <v/>
      </c>
      <c r="AK122" t="s">
        <v>124</v>
      </c>
      <c r="AL122" t="str">
        <f t="shared" si="30"/>
        <v>Returned</v>
      </c>
      <c r="AM122" t="str">
        <f t="shared" si="36"/>
        <v>Include</v>
      </c>
      <c r="AN122">
        <f t="shared" si="37"/>
        <v>1458.9360000000001</v>
      </c>
      <c r="AO122">
        <f t="shared" si="38"/>
        <v>565.7360000000001</v>
      </c>
      <c r="AP122">
        <f>IF(AN122=0,0,AO122/AN122)</f>
        <v>0.38777300717783375</v>
      </c>
      <c r="AQ122" t="str">
        <f t="shared" si="39"/>
        <v>August</v>
      </c>
      <c r="AR122">
        <f t="shared" si="40"/>
        <v>2024</v>
      </c>
      <c r="AS122" t="str">
        <f t="shared" si="41"/>
        <v>Clean</v>
      </c>
      <c r="AT122" t="str">
        <f>IF(OR(AC122&lt;0,AC122&gt;0.5),"Invalid Discount","Valid")</f>
        <v>Valid</v>
      </c>
      <c r="AU122" t="str">
        <f>IF(G122&lt;E122,"Invalid Shipping Record","Valid")</f>
        <v>Valid</v>
      </c>
      <c r="AV122" t="str">
        <f>IF(OR(AL122="Cancelled",AH122="Failed"),"Exclude","Include")</f>
        <v>Include</v>
      </c>
      <c r="AW122" t="str">
        <f t="shared" si="42"/>
        <v>Match</v>
      </c>
      <c r="AX122" t="str">
        <f t="shared" si="43"/>
        <v>Match</v>
      </c>
    </row>
    <row r="123" spans="1:50">
      <c r="A123" t="s">
        <v>696</v>
      </c>
      <c r="B123">
        <f t="shared" si="44"/>
        <v>1</v>
      </c>
      <c r="C123" t="str">
        <f t="shared" si="32"/>
        <v/>
      </c>
      <c r="D123" s="3" t="s">
        <v>697</v>
      </c>
      <c r="E123" s="7">
        <v>45891</v>
      </c>
      <c r="F123" s="3" t="s">
        <v>698</v>
      </c>
      <c r="G123" s="7">
        <v>45895</v>
      </c>
      <c r="H123" s="7" t="str">
        <f t="shared" si="22"/>
        <v>Valid</v>
      </c>
      <c r="I123" s="9">
        <f t="shared" si="23"/>
        <v>4</v>
      </c>
      <c r="J123" s="9" t="str">
        <f t="shared" si="24"/>
        <v>Valid</v>
      </c>
      <c r="K123" t="s">
        <v>699</v>
      </c>
      <c r="L123" t="s">
        <v>365</v>
      </c>
      <c r="M123" t="s">
        <v>365</v>
      </c>
      <c r="N123" t="s">
        <v>700</v>
      </c>
      <c r="O123" s="3" t="str">
        <f t="shared" si="25"/>
        <v>Small Business</v>
      </c>
      <c r="P123" t="s">
        <v>61</v>
      </c>
      <c r="Q123" s="3" t="str">
        <f t="shared" si="26"/>
        <v>South</v>
      </c>
      <c r="R123" t="s">
        <v>99</v>
      </c>
      <c r="S123" t="s">
        <v>100</v>
      </c>
      <c r="T123" t="s">
        <v>85</v>
      </c>
      <c r="U123" s="3" t="str">
        <f t="shared" si="27"/>
        <v>Technology</v>
      </c>
      <c r="V123" t="s">
        <v>381</v>
      </c>
      <c r="W123" t="s">
        <v>701</v>
      </c>
      <c r="X123" t="s">
        <v>32</v>
      </c>
      <c r="Y123" s="3" t="str">
        <f t="shared" si="28"/>
        <v>Second Class</v>
      </c>
      <c r="Z123">
        <v>5</v>
      </c>
      <c r="AA123">
        <v>3482.92</v>
      </c>
      <c r="AB123">
        <v>0</v>
      </c>
      <c r="AC123">
        <f t="shared" si="29"/>
        <v>0</v>
      </c>
      <c r="AD123" t="str">
        <f t="shared" si="33"/>
        <v>Valid</v>
      </c>
      <c r="AE123">
        <v>17414.599999999999</v>
      </c>
      <c r="AF123">
        <v>11760.91</v>
      </c>
      <c r="AG123">
        <v>5653.69</v>
      </c>
      <c r="AH123" t="s">
        <v>123</v>
      </c>
      <c r="AI123" t="str">
        <f t="shared" si="34"/>
        <v>Exclude</v>
      </c>
      <c r="AJ123" t="str">
        <f t="shared" si="35"/>
        <v>Refunded Order</v>
      </c>
      <c r="AK123" t="s">
        <v>77</v>
      </c>
      <c r="AL123" t="str">
        <f t="shared" si="30"/>
        <v>Cancelled</v>
      </c>
      <c r="AM123" t="str">
        <f t="shared" si="36"/>
        <v>Exclude</v>
      </c>
      <c r="AN123">
        <f t="shared" si="37"/>
        <v>17414.599999999999</v>
      </c>
      <c r="AO123">
        <f t="shared" si="38"/>
        <v>5653.6899999999987</v>
      </c>
      <c r="AP123">
        <f>IF(AN123=0,0,AO123/AN123)</f>
        <v>0.3246523032398102</v>
      </c>
      <c r="AQ123" t="str">
        <f t="shared" si="39"/>
        <v>August</v>
      </c>
      <c r="AR123">
        <f t="shared" si="40"/>
        <v>2025</v>
      </c>
      <c r="AS123" t="str">
        <f t="shared" si="41"/>
        <v>Clean</v>
      </c>
      <c r="AT123" t="str">
        <f>IF(OR(AC123&lt;0,AC123&gt;0.5),"Invalid Discount","Valid")</f>
        <v>Valid</v>
      </c>
      <c r="AU123" t="str">
        <f>IF(G123&lt;E123,"Invalid Shipping Record","Valid")</f>
        <v>Valid</v>
      </c>
      <c r="AV123" t="str">
        <f>IF(OR(AL123="Cancelled",AH123="Failed"),"Exclude","Include")</f>
        <v>Exclude</v>
      </c>
      <c r="AW123" t="str">
        <f t="shared" si="42"/>
        <v>Match</v>
      </c>
      <c r="AX123" t="str">
        <f t="shared" si="43"/>
        <v>Match</v>
      </c>
    </row>
    <row r="124" spans="1:50">
      <c r="A124" t="s">
        <v>702</v>
      </c>
      <c r="B124">
        <f t="shared" si="44"/>
        <v>1</v>
      </c>
      <c r="C124" t="str">
        <f t="shared" si="32"/>
        <v/>
      </c>
      <c r="D124" s="3" t="s">
        <v>703</v>
      </c>
      <c r="E124" s="7">
        <v>45626</v>
      </c>
      <c r="F124" s="3" t="s">
        <v>704</v>
      </c>
      <c r="G124" s="7">
        <v>45630</v>
      </c>
      <c r="H124" s="7" t="str">
        <f t="shared" si="22"/>
        <v>Valid</v>
      </c>
      <c r="I124" s="9">
        <f t="shared" si="23"/>
        <v>4</v>
      </c>
      <c r="J124" s="9" t="str">
        <f t="shared" si="24"/>
        <v>Valid</v>
      </c>
      <c r="K124" t="s">
        <v>705</v>
      </c>
      <c r="L124" t="s">
        <v>71</v>
      </c>
      <c r="M124" t="s">
        <v>71</v>
      </c>
      <c r="N124" t="s">
        <v>40</v>
      </c>
      <c r="O124" s="3" t="str">
        <f t="shared" si="25"/>
        <v>Small Business</v>
      </c>
      <c r="P124" t="s">
        <v>41</v>
      </c>
      <c r="Q124" s="3" t="str">
        <f t="shared" si="26"/>
        <v>East</v>
      </c>
      <c r="R124" t="s">
        <v>215</v>
      </c>
      <c r="S124" t="s">
        <v>216</v>
      </c>
      <c r="T124" t="s">
        <v>44</v>
      </c>
      <c r="U124" s="3" t="str">
        <f t="shared" si="27"/>
        <v>Furniture</v>
      </c>
      <c r="V124" t="s">
        <v>75</v>
      </c>
      <c r="W124" t="s">
        <v>706</v>
      </c>
      <c r="X124" t="s">
        <v>32</v>
      </c>
      <c r="Y124" s="3" t="str">
        <f t="shared" si="28"/>
        <v>Second Class</v>
      </c>
      <c r="Z124">
        <v>3</v>
      </c>
      <c r="AA124">
        <v>170.35</v>
      </c>
      <c r="AB124">
        <v>0</v>
      </c>
      <c r="AC124">
        <f t="shared" si="29"/>
        <v>0</v>
      </c>
      <c r="AD124" t="str">
        <f t="shared" si="33"/>
        <v>Valid</v>
      </c>
      <c r="AE124">
        <v>511.05</v>
      </c>
      <c r="AF124">
        <v>367.18</v>
      </c>
      <c r="AG124">
        <v>143.87</v>
      </c>
      <c r="AH124" t="s">
        <v>33</v>
      </c>
      <c r="AI124" t="str">
        <f t="shared" si="34"/>
        <v>Include</v>
      </c>
      <c r="AJ124" t="str">
        <f t="shared" si="35"/>
        <v/>
      </c>
      <c r="AK124" t="s">
        <v>34</v>
      </c>
      <c r="AL124" t="str">
        <f t="shared" si="30"/>
        <v>Completed</v>
      </c>
      <c r="AM124" t="str">
        <f t="shared" si="36"/>
        <v>Include</v>
      </c>
      <c r="AN124">
        <f t="shared" si="37"/>
        <v>511.04999999999995</v>
      </c>
      <c r="AO124">
        <f t="shared" si="38"/>
        <v>143.86999999999995</v>
      </c>
      <c r="AP124">
        <f>IF(AN124=0,0,AO124/AN124)</f>
        <v>0.28151844242246349</v>
      </c>
      <c r="AQ124" t="str">
        <f t="shared" si="39"/>
        <v>November</v>
      </c>
      <c r="AR124">
        <f t="shared" si="40"/>
        <v>2024</v>
      </c>
      <c r="AS124" t="str">
        <f t="shared" si="41"/>
        <v>Clean</v>
      </c>
      <c r="AT124" t="str">
        <f>IF(OR(AC124&lt;0,AC124&gt;0.5),"Invalid Discount","Valid")</f>
        <v>Valid</v>
      </c>
      <c r="AU124" t="str">
        <f>IF(G124&lt;E124,"Invalid Shipping Record","Valid")</f>
        <v>Valid</v>
      </c>
      <c r="AV124" t="str">
        <f>IF(OR(AL124="Cancelled",AH124="Failed"),"Exclude","Include")</f>
        <v>Include</v>
      </c>
      <c r="AW124" t="str">
        <f t="shared" si="42"/>
        <v>Match</v>
      </c>
      <c r="AX124" t="str">
        <f t="shared" si="43"/>
        <v>Match</v>
      </c>
    </row>
    <row r="125" spans="1:50">
      <c r="A125" t="s">
        <v>707</v>
      </c>
      <c r="B125">
        <f t="shared" si="44"/>
        <v>2</v>
      </c>
      <c r="C125" t="str">
        <f t="shared" si="32"/>
        <v>Review Required</v>
      </c>
      <c r="D125" s="3" t="s">
        <v>708</v>
      </c>
      <c r="E125" s="7">
        <v>45436</v>
      </c>
      <c r="F125" s="3" t="s">
        <v>709</v>
      </c>
      <c r="G125" s="7">
        <v>45437</v>
      </c>
      <c r="H125" s="7" t="str">
        <f t="shared" si="22"/>
        <v>Valid</v>
      </c>
      <c r="I125" s="9">
        <f t="shared" si="23"/>
        <v>1</v>
      </c>
      <c r="J125" s="9" t="str">
        <f t="shared" si="24"/>
        <v>Valid</v>
      </c>
      <c r="K125" t="s">
        <v>710</v>
      </c>
      <c r="L125" t="s">
        <v>167</v>
      </c>
      <c r="M125" t="s">
        <v>167</v>
      </c>
      <c r="N125" t="s">
        <v>40</v>
      </c>
      <c r="O125" s="3" t="str">
        <f t="shared" si="25"/>
        <v>Small Business</v>
      </c>
      <c r="P125" t="s">
        <v>711</v>
      </c>
      <c r="Q125" s="3" t="str">
        <f t="shared" si="26"/>
        <v>North</v>
      </c>
      <c r="R125" t="s">
        <v>153</v>
      </c>
      <c r="S125" t="s">
        <v>154</v>
      </c>
      <c r="T125" t="s">
        <v>85</v>
      </c>
      <c r="U125" s="3" t="str">
        <f t="shared" si="27"/>
        <v>Technology</v>
      </c>
      <c r="V125" t="s">
        <v>93</v>
      </c>
      <c r="W125" t="s">
        <v>712</v>
      </c>
      <c r="X125" t="s">
        <v>47</v>
      </c>
      <c r="Y125" s="3" t="str">
        <f t="shared" si="28"/>
        <v>Same Day</v>
      </c>
      <c r="Z125">
        <v>1</v>
      </c>
      <c r="AA125">
        <v>634.13</v>
      </c>
      <c r="AB125">
        <v>0</v>
      </c>
      <c r="AC125">
        <f t="shared" si="29"/>
        <v>0</v>
      </c>
      <c r="AD125" t="str">
        <f t="shared" si="33"/>
        <v>Valid</v>
      </c>
      <c r="AE125">
        <v>808.67</v>
      </c>
      <c r="AF125">
        <v>453.35</v>
      </c>
      <c r="AG125">
        <v>180.78</v>
      </c>
      <c r="AH125" t="s">
        <v>123</v>
      </c>
      <c r="AI125" t="str">
        <f t="shared" si="34"/>
        <v>Include</v>
      </c>
      <c r="AJ125" t="str">
        <f t="shared" si="35"/>
        <v>Refunded Order</v>
      </c>
      <c r="AK125" t="s">
        <v>124</v>
      </c>
      <c r="AL125" t="str">
        <f t="shared" si="30"/>
        <v>Returned</v>
      </c>
      <c r="AM125" t="str">
        <f t="shared" si="36"/>
        <v>Include</v>
      </c>
      <c r="AN125">
        <f t="shared" si="37"/>
        <v>634.13</v>
      </c>
      <c r="AO125">
        <f t="shared" si="38"/>
        <v>180.77999999999997</v>
      </c>
      <c r="AP125">
        <f>IF(AN125=0,0,AO125/AN125)</f>
        <v>0.28508350022865969</v>
      </c>
      <c r="AQ125" t="str">
        <f t="shared" si="39"/>
        <v>May</v>
      </c>
      <c r="AR125">
        <f t="shared" si="40"/>
        <v>2024</v>
      </c>
      <c r="AS125" t="str">
        <f t="shared" si="41"/>
        <v>Clean</v>
      </c>
      <c r="AT125" t="str">
        <f>IF(OR(AC125&lt;0,AC125&gt;0.5),"Invalid Discount","Valid")</f>
        <v>Valid</v>
      </c>
      <c r="AU125" t="str">
        <f>IF(G125&lt;E125,"Invalid Shipping Record","Valid")</f>
        <v>Valid</v>
      </c>
      <c r="AV125" t="str">
        <f>IF(OR(AL125="Cancelled",AH125="Failed"),"Exclude","Include")</f>
        <v>Include</v>
      </c>
      <c r="AW125" t="str">
        <f t="shared" si="42"/>
        <v>Mismatch</v>
      </c>
      <c r="AX125" t="str">
        <f t="shared" si="43"/>
        <v>Match</v>
      </c>
    </row>
    <row r="126" spans="1:50">
      <c r="A126" t="s">
        <v>713</v>
      </c>
      <c r="B126">
        <f t="shared" si="44"/>
        <v>1</v>
      </c>
      <c r="C126" t="str">
        <f t="shared" si="32"/>
        <v/>
      </c>
      <c r="D126" s="3" t="s">
        <v>21</v>
      </c>
      <c r="E126" s="7">
        <v>45494</v>
      </c>
      <c r="F126" s="3" t="s">
        <v>714</v>
      </c>
      <c r="G126" s="7">
        <v>45497</v>
      </c>
      <c r="H126" s="7" t="str">
        <f t="shared" si="22"/>
        <v>Valid</v>
      </c>
      <c r="I126" s="9">
        <f t="shared" si="23"/>
        <v>3</v>
      </c>
      <c r="J126" s="9" t="str">
        <f t="shared" si="24"/>
        <v>Valid</v>
      </c>
      <c r="K126" t="s">
        <v>715</v>
      </c>
      <c r="L126" t="s">
        <v>52</v>
      </c>
      <c r="M126" t="s">
        <v>52</v>
      </c>
      <c r="N126" t="s">
        <v>107</v>
      </c>
      <c r="O126" s="3" t="str">
        <f t="shared" si="25"/>
        <v>Corporate</v>
      </c>
      <c r="P126" t="s">
        <v>61</v>
      </c>
      <c r="Q126" s="3" t="str">
        <f t="shared" si="26"/>
        <v>South</v>
      </c>
      <c r="R126" t="s">
        <v>228</v>
      </c>
      <c r="S126" t="s">
        <v>229</v>
      </c>
      <c r="T126" t="s">
        <v>85</v>
      </c>
      <c r="U126" s="3" t="str">
        <f t="shared" si="27"/>
        <v>Technology</v>
      </c>
      <c r="V126" t="s">
        <v>93</v>
      </c>
      <c r="W126" t="s">
        <v>716</v>
      </c>
      <c r="X126" t="s">
        <v>66</v>
      </c>
      <c r="Y126" s="3" t="str">
        <f t="shared" si="28"/>
        <v>Standard Class</v>
      </c>
      <c r="Z126">
        <v>9</v>
      </c>
      <c r="AA126">
        <v>465.06</v>
      </c>
      <c r="AB126">
        <v>-0.15</v>
      </c>
      <c r="AC126">
        <f t="shared" si="29"/>
        <v>-0.15</v>
      </c>
      <c r="AD126" t="str">
        <f t="shared" si="33"/>
        <v>Invalid Discount</v>
      </c>
      <c r="AE126">
        <v>4185.54</v>
      </c>
      <c r="AF126">
        <v>3443.74</v>
      </c>
      <c r="AG126">
        <v>741.8</v>
      </c>
      <c r="AH126" t="s">
        <v>33</v>
      </c>
      <c r="AI126" t="str">
        <f t="shared" si="34"/>
        <v>Include</v>
      </c>
      <c r="AJ126" t="str">
        <f t="shared" si="35"/>
        <v/>
      </c>
      <c r="AK126" t="s">
        <v>34</v>
      </c>
      <c r="AL126" t="str">
        <f t="shared" si="30"/>
        <v>Completed</v>
      </c>
      <c r="AM126" t="str">
        <f t="shared" si="36"/>
        <v>Include</v>
      </c>
      <c r="AN126">
        <f t="shared" si="37"/>
        <v>4813.3709999999992</v>
      </c>
      <c r="AO126">
        <f t="shared" si="38"/>
        <v>1369.6309999999994</v>
      </c>
      <c r="AP126">
        <f>IF(AN126=0,0,AO126/AN126)</f>
        <v>0.28454715001191466</v>
      </c>
      <c r="AQ126" t="str">
        <f t="shared" si="39"/>
        <v>July</v>
      </c>
      <c r="AR126">
        <f t="shared" si="40"/>
        <v>2024</v>
      </c>
      <c r="AS126" t="str">
        <f t="shared" si="41"/>
        <v>Invalid</v>
      </c>
      <c r="AT126" t="str">
        <f>IF(OR(AC126&lt;0,AC126&gt;0.5),"Invalid Discount","Valid")</f>
        <v>Invalid Discount</v>
      </c>
      <c r="AU126" t="str">
        <f>IF(G126&lt;E126,"Invalid Shipping Record","Valid")</f>
        <v>Valid</v>
      </c>
      <c r="AV126" t="str">
        <f>IF(OR(AL126="Cancelled",AH126="Failed"),"Exclude","Include")</f>
        <v>Include</v>
      </c>
      <c r="AW126" t="str">
        <f t="shared" si="42"/>
        <v>Mismatch</v>
      </c>
      <c r="AX126" t="str">
        <f t="shared" si="43"/>
        <v>Mismatch</v>
      </c>
    </row>
    <row r="127" spans="1:50">
      <c r="A127" t="s">
        <v>717</v>
      </c>
      <c r="B127">
        <f t="shared" si="44"/>
        <v>1</v>
      </c>
      <c r="C127" t="str">
        <f t="shared" si="32"/>
        <v/>
      </c>
      <c r="D127" s="3" t="s">
        <v>718</v>
      </c>
      <c r="E127" s="7">
        <v>45855</v>
      </c>
      <c r="F127" s="3" t="s">
        <v>719</v>
      </c>
      <c r="G127" s="7">
        <v>45856</v>
      </c>
      <c r="H127" s="7" t="str">
        <f t="shared" si="22"/>
        <v>Valid</v>
      </c>
      <c r="I127" s="9">
        <f t="shared" si="23"/>
        <v>1</v>
      </c>
      <c r="J127" s="9" t="str">
        <f t="shared" si="24"/>
        <v>Valid</v>
      </c>
      <c r="K127" t="s">
        <v>720</v>
      </c>
      <c r="L127" t="s">
        <v>92</v>
      </c>
      <c r="M127" t="s">
        <v>92</v>
      </c>
      <c r="N127" t="s">
        <v>40</v>
      </c>
      <c r="O127" s="3" t="str">
        <f t="shared" si="25"/>
        <v>Small Business</v>
      </c>
      <c r="P127" t="s">
        <v>72</v>
      </c>
      <c r="Q127" s="3" t="str">
        <f t="shared" si="26"/>
        <v>West</v>
      </c>
      <c r="R127" t="s">
        <v>27</v>
      </c>
      <c r="S127" t="s">
        <v>134</v>
      </c>
      <c r="T127" t="s">
        <v>44</v>
      </c>
      <c r="U127" s="3" t="str">
        <f t="shared" si="27"/>
        <v>Furniture</v>
      </c>
      <c r="V127" t="s">
        <v>45</v>
      </c>
      <c r="W127" t="s">
        <v>721</v>
      </c>
      <c r="X127" t="s">
        <v>47</v>
      </c>
      <c r="Y127" s="3" t="str">
        <f t="shared" si="28"/>
        <v>Same Day</v>
      </c>
      <c r="Z127">
        <v>6</v>
      </c>
      <c r="AA127">
        <v>3235.27</v>
      </c>
      <c r="AB127">
        <v>0.25</v>
      </c>
      <c r="AC127">
        <f t="shared" si="29"/>
        <v>0.25</v>
      </c>
      <c r="AD127" t="str">
        <f t="shared" si="33"/>
        <v>Valid</v>
      </c>
      <c r="AE127">
        <v>14558.72</v>
      </c>
      <c r="AF127">
        <v>9591.48</v>
      </c>
      <c r="AG127">
        <v>4967.24</v>
      </c>
      <c r="AH127" t="s">
        <v>123</v>
      </c>
      <c r="AI127" t="str">
        <f t="shared" si="34"/>
        <v>Include</v>
      </c>
      <c r="AJ127" t="str">
        <f t="shared" si="35"/>
        <v>Refunded Order</v>
      </c>
      <c r="AK127" t="s">
        <v>124</v>
      </c>
      <c r="AL127" t="str">
        <f t="shared" si="30"/>
        <v>Returned</v>
      </c>
      <c r="AM127" t="str">
        <f t="shared" si="36"/>
        <v>Include</v>
      </c>
      <c r="AN127">
        <f t="shared" si="37"/>
        <v>14558.715</v>
      </c>
      <c r="AO127">
        <f t="shared" si="38"/>
        <v>4967.2350000000006</v>
      </c>
      <c r="AP127">
        <f>IF(AN127=0,0,AO127/AN127)</f>
        <v>0.34118636157105903</v>
      </c>
      <c r="AQ127" t="str">
        <f t="shared" si="39"/>
        <v>July</v>
      </c>
      <c r="AR127">
        <f t="shared" si="40"/>
        <v>2025</v>
      </c>
      <c r="AS127" t="str">
        <f t="shared" si="41"/>
        <v>Clean</v>
      </c>
      <c r="AT127" t="str">
        <f>IF(OR(AC127&lt;0,AC127&gt;0.5),"Invalid Discount","Valid")</f>
        <v>Valid</v>
      </c>
      <c r="AU127" t="str">
        <f>IF(G127&lt;E127,"Invalid Shipping Record","Valid")</f>
        <v>Valid</v>
      </c>
      <c r="AV127" t="str">
        <f>IF(OR(AL127="Cancelled",AH127="Failed"),"Exclude","Include")</f>
        <v>Include</v>
      </c>
      <c r="AW127" t="str">
        <f t="shared" si="42"/>
        <v>Match</v>
      </c>
      <c r="AX127" t="str">
        <f t="shared" si="43"/>
        <v>Match</v>
      </c>
    </row>
    <row r="128" spans="1:50">
      <c r="A128" t="s">
        <v>722</v>
      </c>
      <c r="B128">
        <f t="shared" si="44"/>
        <v>1</v>
      </c>
      <c r="C128" t="str">
        <f t="shared" si="32"/>
        <v/>
      </c>
      <c r="D128" s="3" t="s">
        <v>723</v>
      </c>
      <c r="E128" s="7">
        <v>45924</v>
      </c>
      <c r="F128" s="3" t="s">
        <v>724</v>
      </c>
      <c r="G128" s="7">
        <v>45926</v>
      </c>
      <c r="H128" s="7" t="str">
        <f t="shared" si="22"/>
        <v>Valid</v>
      </c>
      <c r="I128" s="9">
        <f t="shared" si="23"/>
        <v>2</v>
      </c>
      <c r="J128" s="9" t="str">
        <f t="shared" si="24"/>
        <v>Valid</v>
      </c>
      <c r="K128" t="s">
        <v>725</v>
      </c>
      <c r="L128" t="s">
        <v>141</v>
      </c>
      <c r="M128" t="s">
        <v>141</v>
      </c>
      <c r="N128" t="s">
        <v>107</v>
      </c>
      <c r="O128" s="3" t="str">
        <f t="shared" si="25"/>
        <v>Corporate</v>
      </c>
      <c r="P128" t="s">
        <v>26</v>
      </c>
      <c r="Q128" s="3" t="str">
        <f t="shared" si="26"/>
        <v>North</v>
      </c>
      <c r="R128" t="s">
        <v>505</v>
      </c>
      <c r="S128" t="s">
        <v>506</v>
      </c>
      <c r="T128" t="s">
        <v>85</v>
      </c>
      <c r="U128" s="3" t="str">
        <f t="shared" si="27"/>
        <v>Technology</v>
      </c>
      <c r="V128" t="s">
        <v>93</v>
      </c>
      <c r="W128" t="s">
        <v>726</v>
      </c>
      <c r="X128" t="s">
        <v>66</v>
      </c>
      <c r="Y128" s="3" t="str">
        <f t="shared" si="28"/>
        <v>Standard Class</v>
      </c>
      <c r="Z128">
        <v>3</v>
      </c>
      <c r="AA128">
        <v>1593.86</v>
      </c>
      <c r="AB128">
        <v>0.1</v>
      </c>
      <c r="AC128">
        <f t="shared" si="29"/>
        <v>0.1</v>
      </c>
      <c r="AD128" t="str">
        <f t="shared" si="33"/>
        <v>Valid</v>
      </c>
      <c r="AE128">
        <v>4303.42</v>
      </c>
      <c r="AF128">
        <v>2568.5700000000002</v>
      </c>
      <c r="AG128">
        <v>1734.85</v>
      </c>
      <c r="AH128" t="s">
        <v>33</v>
      </c>
      <c r="AI128" t="str">
        <f t="shared" si="34"/>
        <v>Include</v>
      </c>
      <c r="AJ128" t="str">
        <f t="shared" si="35"/>
        <v/>
      </c>
      <c r="AK128" t="s">
        <v>34</v>
      </c>
      <c r="AL128" t="str">
        <f t="shared" si="30"/>
        <v>Completed</v>
      </c>
      <c r="AM128" t="str">
        <f t="shared" si="36"/>
        <v>Include</v>
      </c>
      <c r="AN128">
        <f t="shared" si="37"/>
        <v>4303.4220000000005</v>
      </c>
      <c r="AO128">
        <f t="shared" si="38"/>
        <v>1734.8520000000003</v>
      </c>
      <c r="AP128">
        <f>IF(AN128=0,0,AO128/AN128)</f>
        <v>0.40313313451481175</v>
      </c>
      <c r="AQ128" t="str">
        <f t="shared" si="39"/>
        <v>September</v>
      </c>
      <c r="AR128">
        <f t="shared" si="40"/>
        <v>2025</v>
      </c>
      <c r="AS128" t="str">
        <f t="shared" si="41"/>
        <v>Clean</v>
      </c>
      <c r="AT128" t="str">
        <f>IF(OR(AC128&lt;0,AC128&gt;0.5),"Invalid Discount","Valid")</f>
        <v>Valid</v>
      </c>
      <c r="AU128" t="str">
        <f>IF(G128&lt;E128,"Invalid Shipping Record","Valid")</f>
        <v>Valid</v>
      </c>
      <c r="AV128" t="str">
        <f>IF(OR(AL128="Cancelled",AH128="Failed"),"Exclude","Include")</f>
        <v>Include</v>
      </c>
      <c r="AW128" t="str">
        <f t="shared" si="42"/>
        <v>Match</v>
      </c>
      <c r="AX128" t="str">
        <f t="shared" si="43"/>
        <v>Match</v>
      </c>
    </row>
    <row r="129" spans="1:50">
      <c r="A129" t="s">
        <v>727</v>
      </c>
      <c r="B129">
        <f t="shared" si="44"/>
        <v>1</v>
      </c>
      <c r="C129" t="str">
        <f t="shared" si="32"/>
        <v/>
      </c>
      <c r="D129" s="3" t="s">
        <v>190</v>
      </c>
      <c r="E129" s="7">
        <v>45687</v>
      </c>
      <c r="F129" s="3" t="s">
        <v>728</v>
      </c>
      <c r="G129" s="7">
        <v>45683</v>
      </c>
      <c r="H129" s="7" t="str">
        <f t="shared" si="22"/>
        <v>Invalid Shipping Record</v>
      </c>
      <c r="I129" s="9">
        <f t="shared" si="23"/>
        <v>-4</v>
      </c>
      <c r="J129" s="9" t="str">
        <f t="shared" si="24"/>
        <v>Invalid Shipping Record</v>
      </c>
      <c r="K129" t="s">
        <v>729</v>
      </c>
      <c r="L129" t="s">
        <v>141</v>
      </c>
      <c r="M129" t="s">
        <v>141</v>
      </c>
      <c r="N129" t="s">
        <v>107</v>
      </c>
      <c r="O129" s="3" t="str">
        <f t="shared" si="25"/>
        <v>Corporate</v>
      </c>
      <c r="P129" t="s">
        <v>72</v>
      </c>
      <c r="Q129" s="3" t="str">
        <f t="shared" si="26"/>
        <v>West</v>
      </c>
      <c r="R129" t="s">
        <v>83</v>
      </c>
      <c r="S129" t="s">
        <v>84</v>
      </c>
      <c r="T129" t="s">
        <v>29</v>
      </c>
      <c r="U129" s="3" t="str">
        <f t="shared" si="27"/>
        <v>Office Supplies</v>
      </c>
      <c r="V129" t="s">
        <v>155</v>
      </c>
      <c r="W129" t="s">
        <v>730</v>
      </c>
      <c r="X129" t="s">
        <v>32</v>
      </c>
      <c r="Y129" s="3" t="str">
        <f t="shared" si="28"/>
        <v>Second Class</v>
      </c>
      <c r="Z129">
        <v>2</v>
      </c>
      <c r="AA129">
        <v>3039.3</v>
      </c>
      <c r="AB129">
        <v>0.05</v>
      </c>
      <c r="AC129">
        <f t="shared" si="29"/>
        <v>0.05</v>
      </c>
      <c r="AD129" t="str">
        <f t="shared" si="33"/>
        <v>Valid</v>
      </c>
      <c r="AE129">
        <v>5774.67</v>
      </c>
      <c r="AF129">
        <v>3518.36</v>
      </c>
      <c r="AG129">
        <v>2256.31</v>
      </c>
      <c r="AH129" t="s">
        <v>33</v>
      </c>
      <c r="AI129" t="str">
        <f t="shared" si="34"/>
        <v>Include</v>
      </c>
      <c r="AJ129" t="str">
        <f t="shared" si="35"/>
        <v/>
      </c>
      <c r="AK129" t="s">
        <v>34</v>
      </c>
      <c r="AL129" t="str">
        <f t="shared" si="30"/>
        <v>Completed</v>
      </c>
      <c r="AM129" t="str">
        <f t="shared" si="36"/>
        <v>Include</v>
      </c>
      <c r="AN129">
        <f t="shared" si="37"/>
        <v>5774.67</v>
      </c>
      <c r="AO129">
        <f t="shared" si="38"/>
        <v>2256.31</v>
      </c>
      <c r="AP129">
        <f>IF(AN129=0,0,AO129/AN129)</f>
        <v>0.39072535746631409</v>
      </c>
      <c r="AQ129" t="str">
        <f t="shared" si="39"/>
        <v>January</v>
      </c>
      <c r="AR129">
        <f t="shared" si="40"/>
        <v>2025</v>
      </c>
      <c r="AS129" t="str">
        <f t="shared" si="41"/>
        <v>Invalid</v>
      </c>
      <c r="AT129" t="str">
        <f>IF(OR(AC129&lt;0,AC129&gt;0.5),"Invalid Discount","Valid")</f>
        <v>Valid</v>
      </c>
      <c r="AU129" t="str">
        <f>IF(G129&lt;E129,"Invalid Shipping Record","Valid")</f>
        <v>Invalid Shipping Record</v>
      </c>
      <c r="AV129" t="str">
        <f>IF(OR(AL129="Cancelled",AH129="Failed"),"Exclude","Include")</f>
        <v>Include</v>
      </c>
      <c r="AW129" t="str">
        <f t="shared" si="42"/>
        <v>Match</v>
      </c>
      <c r="AX129" t="str">
        <f t="shared" si="43"/>
        <v>Match</v>
      </c>
    </row>
    <row r="130" spans="1:50">
      <c r="A130" t="s">
        <v>731</v>
      </c>
      <c r="B130">
        <f t="shared" si="44"/>
        <v>1</v>
      </c>
      <c r="C130" t="str">
        <f t="shared" si="32"/>
        <v/>
      </c>
      <c r="D130" s="3" t="s">
        <v>732</v>
      </c>
      <c r="E130" s="7">
        <v>45639</v>
      </c>
      <c r="F130" s="3" t="s">
        <v>733</v>
      </c>
      <c r="G130" s="7">
        <v>45642</v>
      </c>
      <c r="H130" s="7" t="str">
        <f t="shared" ref="H130:H193" si="45">IF(G130&lt;E130,"Invalid Shipping Record","Valid")</f>
        <v>Valid</v>
      </c>
      <c r="I130" s="9">
        <f t="shared" ref="I130:I193" si="46">G130-E130</f>
        <v>3</v>
      </c>
      <c r="J130" s="9" t="str">
        <f t="shared" ref="J130:J193" si="47">IF(OR(E130="",G130=""),"Missing Date",IF(OR(NOT(ISNUMBER(E130)),NOT(ISNUMBER(G130))),"Invalid Date",IF(G130&lt;E130,"Invalid Shipping Record","Valid")))</f>
        <v>Valid</v>
      </c>
      <c r="K130" t="s">
        <v>734</v>
      </c>
      <c r="L130" t="s">
        <v>92</v>
      </c>
      <c r="M130" t="s">
        <v>92</v>
      </c>
      <c r="N130" t="s">
        <v>40</v>
      </c>
      <c r="O130" s="3" t="str">
        <f t="shared" ref="O130:O193" si="48">PROPER(TRIM(N130))</f>
        <v>Small Business</v>
      </c>
      <c r="P130" t="s">
        <v>41</v>
      </c>
      <c r="Q130" s="3" t="str">
        <f t="shared" ref="Q130:Q193" si="49">IF(TRIM(P130)="","Unknown",PROPER(TRIM(P130)))</f>
        <v>East</v>
      </c>
      <c r="R130" t="s">
        <v>42</v>
      </c>
      <c r="S130" t="s">
        <v>43</v>
      </c>
      <c r="T130" t="s">
        <v>44</v>
      </c>
      <c r="U130" s="3" t="str">
        <f t="shared" ref="U130:U193" si="50">PROPER(TRIM(T130))</f>
        <v>Furniture</v>
      </c>
      <c r="V130" t="s">
        <v>64</v>
      </c>
      <c r="W130" t="s">
        <v>735</v>
      </c>
      <c r="X130" t="s">
        <v>66</v>
      </c>
      <c r="Y130" s="3" t="str">
        <f t="shared" ref="Y130:Y193" si="51">IF(TRIM(X130)="","Unknown",PROPER(TRIM(X130)))</f>
        <v>Standard Class</v>
      </c>
      <c r="Z130">
        <v>5</v>
      </c>
      <c r="AA130">
        <v>923.45</v>
      </c>
      <c r="AB130">
        <v>0.05</v>
      </c>
      <c r="AC130">
        <f t="shared" ref="AC130:AC193" si="52">IF(AND(AB130=" ",Z130=" ",AA130=" ",AF130=" "),0,AB130)</f>
        <v>0.05</v>
      </c>
      <c r="AD130" t="str">
        <f t="shared" si="33"/>
        <v>Valid</v>
      </c>
      <c r="AE130">
        <v>4386.3900000000003</v>
      </c>
      <c r="AF130">
        <v>3366.88</v>
      </c>
      <c r="AG130">
        <v>1019.51</v>
      </c>
      <c r="AH130" t="s">
        <v>33</v>
      </c>
      <c r="AI130" t="str">
        <f t="shared" si="34"/>
        <v>Include</v>
      </c>
      <c r="AJ130" t="str">
        <f t="shared" si="35"/>
        <v/>
      </c>
      <c r="AK130" t="s">
        <v>124</v>
      </c>
      <c r="AL130" t="str">
        <f t="shared" ref="AL130:AL193" si="53">PROPER(TRIM(AK130))</f>
        <v>Returned</v>
      </c>
      <c r="AM130" t="str">
        <f t="shared" si="36"/>
        <v>Include</v>
      </c>
      <c r="AN130">
        <f t="shared" si="37"/>
        <v>4386.3874999999998</v>
      </c>
      <c r="AO130">
        <f t="shared" si="38"/>
        <v>1019.5074999999997</v>
      </c>
      <c r="AP130">
        <f>IF(AN130=0,0,AO130/AN130)</f>
        <v>0.2324253158208206</v>
      </c>
      <c r="AQ130" t="str">
        <f t="shared" si="39"/>
        <v>December</v>
      </c>
      <c r="AR130">
        <f t="shared" si="40"/>
        <v>2024</v>
      </c>
      <c r="AS130" t="str">
        <f t="shared" si="41"/>
        <v>Clean</v>
      </c>
      <c r="AT130" t="str">
        <f>IF(OR(AC130&lt;0,AC130&gt;0.5),"Invalid Discount","Valid")</f>
        <v>Valid</v>
      </c>
      <c r="AU130" t="str">
        <f>IF(G130&lt;E130,"Invalid Shipping Record","Valid")</f>
        <v>Valid</v>
      </c>
      <c r="AV130" t="str">
        <f>IF(OR(AL130="Cancelled",AH130="Failed"),"Exclude","Include")</f>
        <v>Include</v>
      </c>
      <c r="AW130" t="str">
        <f t="shared" si="42"/>
        <v>Match</v>
      </c>
      <c r="AX130" t="str">
        <f t="shared" si="43"/>
        <v>Match</v>
      </c>
    </row>
    <row r="131" spans="1:50">
      <c r="A131" t="s">
        <v>736</v>
      </c>
      <c r="B131">
        <f t="shared" si="44"/>
        <v>1</v>
      </c>
      <c r="C131" t="str">
        <f t="shared" ref="C131:C194" si="54">IF(B131&gt;1,"Review Required","")</f>
        <v/>
      </c>
      <c r="D131" s="3" t="s">
        <v>405</v>
      </c>
      <c r="E131" s="7">
        <v>45492</v>
      </c>
      <c r="F131" s="3" t="s">
        <v>737</v>
      </c>
      <c r="G131" s="7">
        <v>45498</v>
      </c>
      <c r="H131" s="7" t="str">
        <f t="shared" si="45"/>
        <v>Valid</v>
      </c>
      <c r="I131" s="9">
        <f t="shared" si="46"/>
        <v>6</v>
      </c>
      <c r="J131" s="9" t="str">
        <f t="shared" si="47"/>
        <v>Valid</v>
      </c>
      <c r="K131" t="s">
        <v>738</v>
      </c>
      <c r="L131" t="s">
        <v>52</v>
      </c>
      <c r="M131" t="s">
        <v>52</v>
      </c>
      <c r="N131" t="s">
        <v>40</v>
      </c>
      <c r="O131" s="3" t="str">
        <f t="shared" si="48"/>
        <v>Small Business</v>
      </c>
      <c r="P131" t="s">
        <v>72</v>
      </c>
      <c r="Q131" s="3" t="str">
        <f t="shared" si="49"/>
        <v>West</v>
      </c>
      <c r="R131" t="s">
        <v>248</v>
      </c>
      <c r="S131" t="s">
        <v>249</v>
      </c>
      <c r="T131" t="s">
        <v>29</v>
      </c>
      <c r="U131" s="3" t="str">
        <f t="shared" si="50"/>
        <v>Office Supplies</v>
      </c>
      <c r="V131" t="s">
        <v>197</v>
      </c>
      <c r="W131" t="s">
        <v>739</v>
      </c>
      <c r="X131" t="s">
        <v>66</v>
      </c>
      <c r="Y131" s="3" t="str">
        <f t="shared" si="51"/>
        <v>Standard Class</v>
      </c>
      <c r="Z131">
        <v>7</v>
      </c>
      <c r="AA131">
        <v>2741.29</v>
      </c>
      <c r="AB131">
        <v>0.05</v>
      </c>
      <c r="AC131">
        <f t="shared" si="52"/>
        <v>0.05</v>
      </c>
      <c r="AD131" t="str">
        <f t="shared" ref="AD131:AD194" si="55">IF(AC131&lt;0,"Invalid Discount","Valid")</f>
        <v>Valid</v>
      </c>
      <c r="AE131">
        <v>18229.580000000002</v>
      </c>
      <c r="AF131">
        <v>15139.15</v>
      </c>
      <c r="AG131">
        <v>3090.43</v>
      </c>
      <c r="AH131" t="s">
        <v>33</v>
      </c>
      <c r="AI131" t="str">
        <f t="shared" ref="AI131:AI194" si="56">IF(OR(AH131="Failed",AL131="Cancelled"),"Exclude","Include")</f>
        <v>Include</v>
      </c>
      <c r="AJ131" t="str">
        <f t="shared" ref="AJ131:AJ194" si="57">IF(AH131="Refunded","Refunded Order","")</f>
        <v/>
      </c>
      <c r="AK131" t="s">
        <v>34</v>
      </c>
      <c r="AL131" t="str">
        <f t="shared" si="53"/>
        <v>Completed</v>
      </c>
      <c r="AM131" t="str">
        <f t="shared" ref="AM131:AM194" si="58">IF(AL131="Cancelled","Exclude","Include")</f>
        <v>Include</v>
      </c>
      <c r="AN131">
        <f t="shared" ref="AN131:AN194" si="59">Z131*AA131*(1-AC131)</f>
        <v>18229.5785</v>
      </c>
      <c r="AO131">
        <f t="shared" ref="AO131:AO194" si="60">AN131-AF131</f>
        <v>3090.4285</v>
      </c>
      <c r="AP131">
        <f>IF(AN131=0,0,AO131/AN131)</f>
        <v>0.16952824773211295</v>
      </c>
      <c r="AQ131" t="str">
        <f t="shared" ref="AQ131:AQ194" si="61">TEXT(E131,"mmmm")</f>
        <v>July</v>
      </c>
      <c r="AR131">
        <f t="shared" ref="AR131:AR194" si="62">YEAR(E131)</f>
        <v>2024</v>
      </c>
      <c r="AS131" t="str">
        <f t="shared" ref="AS131:AS194" si="63">IF(OR(AC131&lt;0,AC131&gt;1,G131&lt;E131),"Invalid",IF(OR(Q131="Unknown",Y131="Unknown"),"Warning","Clean"))</f>
        <v>Clean</v>
      </c>
      <c r="AT131" t="str">
        <f>IF(OR(AC131&lt;0,AC131&gt;0.5),"Invalid Discount","Valid")</f>
        <v>Valid</v>
      </c>
      <c r="AU131" t="str">
        <f>IF(G131&lt;E131,"Invalid Shipping Record","Valid")</f>
        <v>Valid</v>
      </c>
      <c r="AV131" t="str">
        <f>IF(OR(AL131="Cancelled",AH131="Failed"),"Exclude","Include")</f>
        <v>Include</v>
      </c>
      <c r="AW131" t="str">
        <f t="shared" ref="AW131:AW194" si="64">IF(ROUND(AE131,2)=ROUND(AN131,2),"Match","Mismatch")</f>
        <v>Match</v>
      </c>
      <c r="AX131" t="str">
        <f t="shared" ref="AX131:AX194" si="65">IF(ROUND(AG131,2)=ROUND(AO131,2),"Match","Mismatch")</f>
        <v>Match</v>
      </c>
    </row>
    <row r="132" spans="1:50">
      <c r="A132" t="s">
        <v>740</v>
      </c>
      <c r="B132">
        <f t="shared" si="44"/>
        <v>1</v>
      </c>
      <c r="C132" t="str">
        <f t="shared" si="54"/>
        <v/>
      </c>
      <c r="D132" s="3" t="s">
        <v>741</v>
      </c>
      <c r="E132" s="7">
        <v>45318</v>
      </c>
      <c r="F132" s="3" t="s">
        <v>742</v>
      </c>
      <c r="G132" s="7">
        <v>45324</v>
      </c>
      <c r="H132" s="7" t="str">
        <f t="shared" si="45"/>
        <v>Valid</v>
      </c>
      <c r="I132" s="9">
        <f t="shared" si="46"/>
        <v>6</v>
      </c>
      <c r="J132" s="9" t="str">
        <f t="shared" si="47"/>
        <v>Valid</v>
      </c>
      <c r="K132" t="s">
        <v>743</v>
      </c>
      <c r="L132" t="s">
        <v>60</v>
      </c>
      <c r="M132" t="s">
        <v>60</v>
      </c>
      <c r="N132" t="s">
        <v>25</v>
      </c>
      <c r="O132" s="3" t="str">
        <f t="shared" si="48"/>
        <v>Consumer</v>
      </c>
      <c r="P132" t="s">
        <v>72</v>
      </c>
      <c r="Q132" s="3" t="str">
        <f t="shared" si="49"/>
        <v>West</v>
      </c>
      <c r="R132" t="s">
        <v>234</v>
      </c>
      <c r="S132" t="s">
        <v>235</v>
      </c>
      <c r="T132" t="s">
        <v>29</v>
      </c>
      <c r="U132" s="3" t="str">
        <f t="shared" si="50"/>
        <v>Office Supplies</v>
      </c>
      <c r="V132" t="s">
        <v>108</v>
      </c>
      <c r="W132" t="s">
        <v>744</v>
      </c>
      <c r="X132" t="s">
        <v>47</v>
      </c>
      <c r="Y132" s="3" t="str">
        <f t="shared" si="51"/>
        <v>Same Day</v>
      </c>
      <c r="Z132">
        <v>5</v>
      </c>
      <c r="AA132">
        <v>218.42</v>
      </c>
      <c r="AB132">
        <v>0.2</v>
      </c>
      <c r="AC132">
        <f t="shared" si="52"/>
        <v>0.2</v>
      </c>
      <c r="AD132" t="str">
        <f t="shared" si="55"/>
        <v>Valid</v>
      </c>
      <c r="AE132">
        <v>873.68</v>
      </c>
      <c r="AF132">
        <v>661.72</v>
      </c>
      <c r="AG132">
        <v>211.96</v>
      </c>
      <c r="AH132" t="s">
        <v>136</v>
      </c>
      <c r="AI132" t="str">
        <f t="shared" si="56"/>
        <v>Exclude</v>
      </c>
      <c r="AJ132" t="str">
        <f t="shared" si="57"/>
        <v/>
      </c>
      <c r="AK132" t="s">
        <v>77</v>
      </c>
      <c r="AL132" t="str">
        <f t="shared" si="53"/>
        <v>Cancelled</v>
      </c>
      <c r="AM132" t="str">
        <f t="shared" si="58"/>
        <v>Exclude</v>
      </c>
      <c r="AN132">
        <f t="shared" si="59"/>
        <v>873.68</v>
      </c>
      <c r="AO132">
        <f t="shared" si="60"/>
        <v>211.95999999999992</v>
      </c>
      <c r="AP132">
        <f>IF(AN132=0,0,AO132/AN132)</f>
        <v>0.24260598846259493</v>
      </c>
      <c r="AQ132" t="str">
        <f t="shared" si="61"/>
        <v>January</v>
      </c>
      <c r="AR132">
        <f t="shared" si="62"/>
        <v>2024</v>
      </c>
      <c r="AS132" t="str">
        <f t="shared" si="63"/>
        <v>Clean</v>
      </c>
      <c r="AT132" t="str">
        <f>IF(OR(AC132&lt;0,AC132&gt;0.5),"Invalid Discount","Valid")</f>
        <v>Valid</v>
      </c>
      <c r="AU132" t="str">
        <f>IF(G132&lt;E132,"Invalid Shipping Record","Valid")</f>
        <v>Valid</v>
      </c>
      <c r="AV132" t="str">
        <f>IF(OR(AL132="Cancelled",AH132="Failed"),"Exclude","Include")</f>
        <v>Exclude</v>
      </c>
      <c r="AW132" t="str">
        <f t="shared" si="64"/>
        <v>Match</v>
      </c>
      <c r="AX132" t="str">
        <f t="shared" si="65"/>
        <v>Match</v>
      </c>
    </row>
    <row r="133" spans="1:50">
      <c r="A133" t="s">
        <v>745</v>
      </c>
      <c r="B133">
        <f t="shared" si="44"/>
        <v>1</v>
      </c>
      <c r="C133" t="str">
        <f t="shared" si="54"/>
        <v/>
      </c>
      <c r="D133" s="3" t="s">
        <v>746</v>
      </c>
      <c r="E133" s="7">
        <v>45929</v>
      </c>
      <c r="F133" s="3" t="s">
        <v>747</v>
      </c>
      <c r="G133" s="7">
        <v>45934</v>
      </c>
      <c r="H133" s="7" t="str">
        <f t="shared" si="45"/>
        <v>Valid</v>
      </c>
      <c r="I133" s="9">
        <f t="shared" si="46"/>
        <v>5</v>
      </c>
      <c r="J133" s="9" t="str">
        <f t="shared" si="47"/>
        <v>Valid</v>
      </c>
      <c r="K133" t="s">
        <v>748</v>
      </c>
      <c r="L133" t="s">
        <v>71</v>
      </c>
      <c r="M133" t="s">
        <v>71</v>
      </c>
      <c r="N133" t="s">
        <v>114</v>
      </c>
      <c r="O133" s="3" t="str">
        <f t="shared" si="48"/>
        <v>Home Office</v>
      </c>
      <c r="P133" t="s">
        <v>41</v>
      </c>
      <c r="Q133" s="3" t="str">
        <f t="shared" si="49"/>
        <v>East</v>
      </c>
      <c r="R133" t="s">
        <v>310</v>
      </c>
      <c r="S133" t="s">
        <v>311</v>
      </c>
      <c r="T133" t="s">
        <v>29</v>
      </c>
      <c r="U133" s="3" t="str">
        <f t="shared" si="50"/>
        <v>Office Supplies</v>
      </c>
      <c r="V133" t="s">
        <v>30</v>
      </c>
      <c r="W133" t="s">
        <v>749</v>
      </c>
      <c r="X133" t="s">
        <v>47</v>
      </c>
      <c r="Y133" s="3" t="str">
        <f t="shared" si="51"/>
        <v>Same Day</v>
      </c>
      <c r="Z133">
        <v>9</v>
      </c>
      <c r="AA133">
        <v>373.91</v>
      </c>
      <c r="AB133">
        <v>0.2</v>
      </c>
      <c r="AC133">
        <f t="shared" si="52"/>
        <v>0.2</v>
      </c>
      <c r="AD133" t="str">
        <f t="shared" si="55"/>
        <v>Valid</v>
      </c>
      <c r="AE133">
        <v>2692.15</v>
      </c>
      <c r="AF133">
        <v>2044.49</v>
      </c>
      <c r="AG133">
        <v>647.66</v>
      </c>
      <c r="AH133" t="s">
        <v>33</v>
      </c>
      <c r="AI133" t="str">
        <f t="shared" si="56"/>
        <v>Include</v>
      </c>
      <c r="AJ133" t="str">
        <f t="shared" si="57"/>
        <v/>
      </c>
      <c r="AK133" t="s">
        <v>34</v>
      </c>
      <c r="AL133" t="str">
        <f t="shared" si="53"/>
        <v>Completed</v>
      </c>
      <c r="AM133" t="str">
        <f t="shared" si="58"/>
        <v>Include</v>
      </c>
      <c r="AN133">
        <f t="shared" si="59"/>
        <v>2692.152</v>
      </c>
      <c r="AO133">
        <f t="shared" si="60"/>
        <v>647.66200000000003</v>
      </c>
      <c r="AP133">
        <f>IF(AN133=0,0,AO133/AN133)</f>
        <v>0.24057408348414205</v>
      </c>
      <c r="AQ133" t="str">
        <f t="shared" si="61"/>
        <v>September</v>
      </c>
      <c r="AR133">
        <f t="shared" si="62"/>
        <v>2025</v>
      </c>
      <c r="AS133" t="str">
        <f t="shared" si="63"/>
        <v>Clean</v>
      </c>
      <c r="AT133" t="str">
        <f>IF(OR(AC133&lt;0,AC133&gt;0.5),"Invalid Discount","Valid")</f>
        <v>Valid</v>
      </c>
      <c r="AU133" t="str">
        <f>IF(G133&lt;E133,"Invalid Shipping Record","Valid")</f>
        <v>Valid</v>
      </c>
      <c r="AV133" t="str">
        <f>IF(OR(AL133="Cancelled",AH133="Failed"),"Exclude","Include")</f>
        <v>Include</v>
      </c>
      <c r="AW133" t="str">
        <f t="shared" si="64"/>
        <v>Match</v>
      </c>
      <c r="AX133" t="str">
        <f t="shared" si="65"/>
        <v>Match</v>
      </c>
    </row>
    <row r="134" spans="1:50">
      <c r="A134" t="s">
        <v>750</v>
      </c>
      <c r="B134">
        <f t="shared" si="44"/>
        <v>1</v>
      </c>
      <c r="C134" t="str">
        <f t="shared" si="54"/>
        <v/>
      </c>
      <c r="D134" s="3" t="s">
        <v>751</v>
      </c>
      <c r="E134" s="7">
        <v>45600</v>
      </c>
      <c r="F134" s="3" t="s">
        <v>751</v>
      </c>
      <c r="G134" s="7">
        <v>45600</v>
      </c>
      <c r="H134" s="7" t="str">
        <f t="shared" si="45"/>
        <v>Valid</v>
      </c>
      <c r="I134" s="9">
        <f t="shared" si="46"/>
        <v>0</v>
      </c>
      <c r="J134" s="9" t="str">
        <f t="shared" si="47"/>
        <v>Valid</v>
      </c>
      <c r="K134" t="s">
        <v>752</v>
      </c>
      <c r="L134" t="s">
        <v>365</v>
      </c>
      <c r="M134" t="s">
        <v>365</v>
      </c>
      <c r="N134" t="s">
        <v>107</v>
      </c>
      <c r="O134" s="3" t="str">
        <f t="shared" si="48"/>
        <v>Corporate</v>
      </c>
      <c r="P134" t="s">
        <v>41</v>
      </c>
      <c r="Q134" s="3" t="str">
        <f t="shared" si="49"/>
        <v>East</v>
      </c>
      <c r="R134" t="s">
        <v>215</v>
      </c>
      <c r="S134" t="s">
        <v>216</v>
      </c>
      <c r="T134" t="s">
        <v>85</v>
      </c>
      <c r="U134" s="3" t="str">
        <f t="shared" si="50"/>
        <v>Technology</v>
      </c>
      <c r="V134" t="s">
        <v>381</v>
      </c>
      <c r="W134" t="s">
        <v>753</v>
      </c>
      <c r="X134" t="s">
        <v>55</v>
      </c>
      <c r="Y134" s="3" t="str">
        <f t="shared" si="51"/>
        <v>First Class</v>
      </c>
      <c r="Z134">
        <v>2</v>
      </c>
      <c r="AA134">
        <v>533.08000000000004</v>
      </c>
      <c r="AB134">
        <v>0</v>
      </c>
      <c r="AC134">
        <f t="shared" si="52"/>
        <v>0</v>
      </c>
      <c r="AD134" t="str">
        <f t="shared" si="55"/>
        <v>Valid</v>
      </c>
      <c r="AE134">
        <v>1066.1600000000001</v>
      </c>
      <c r="AF134">
        <v>656.3</v>
      </c>
      <c r="AG134">
        <v>409.86</v>
      </c>
      <c r="AH134" t="s">
        <v>199</v>
      </c>
      <c r="AI134" t="str">
        <f t="shared" si="56"/>
        <v>Exclude</v>
      </c>
      <c r="AJ134" t="str">
        <f t="shared" si="57"/>
        <v/>
      </c>
      <c r="AK134" t="s">
        <v>77</v>
      </c>
      <c r="AL134" t="str">
        <f t="shared" si="53"/>
        <v>Cancelled</v>
      </c>
      <c r="AM134" t="str">
        <f t="shared" si="58"/>
        <v>Exclude</v>
      </c>
      <c r="AN134">
        <f t="shared" si="59"/>
        <v>1066.1600000000001</v>
      </c>
      <c r="AO134">
        <f t="shared" si="60"/>
        <v>409.86000000000013</v>
      </c>
      <c r="AP134">
        <f>IF(AN134=0,0,AO134/AN134)</f>
        <v>0.38442635251744589</v>
      </c>
      <c r="AQ134" t="str">
        <f t="shared" si="61"/>
        <v>November</v>
      </c>
      <c r="AR134">
        <f t="shared" si="62"/>
        <v>2024</v>
      </c>
      <c r="AS134" t="str">
        <f t="shared" si="63"/>
        <v>Clean</v>
      </c>
      <c r="AT134" t="str">
        <f>IF(OR(AC134&lt;0,AC134&gt;0.5),"Invalid Discount","Valid")</f>
        <v>Valid</v>
      </c>
      <c r="AU134" t="str">
        <f>IF(G134&lt;E134,"Invalid Shipping Record","Valid")</f>
        <v>Valid</v>
      </c>
      <c r="AV134" t="str">
        <f>IF(OR(AL134="Cancelled",AH134="Failed"),"Exclude","Include")</f>
        <v>Exclude</v>
      </c>
      <c r="AW134" t="str">
        <f t="shared" si="64"/>
        <v>Match</v>
      </c>
      <c r="AX134" t="str">
        <f t="shared" si="65"/>
        <v>Match</v>
      </c>
    </row>
    <row r="135" spans="1:50">
      <c r="A135" t="s">
        <v>754</v>
      </c>
      <c r="B135">
        <f t="shared" si="44"/>
        <v>1</v>
      </c>
      <c r="C135" t="str">
        <f t="shared" si="54"/>
        <v/>
      </c>
      <c r="D135" s="3" t="s">
        <v>755</v>
      </c>
      <c r="E135" s="7">
        <v>45639</v>
      </c>
      <c r="F135" s="3" t="s">
        <v>756</v>
      </c>
      <c r="G135" s="7">
        <v>45644</v>
      </c>
      <c r="H135" s="7" t="str">
        <f t="shared" si="45"/>
        <v>Valid</v>
      </c>
      <c r="I135" s="9">
        <f t="shared" si="46"/>
        <v>5</v>
      </c>
      <c r="J135" s="9" t="str">
        <f t="shared" si="47"/>
        <v>Valid</v>
      </c>
      <c r="K135" t="s">
        <v>757</v>
      </c>
      <c r="L135" t="s">
        <v>24</v>
      </c>
      <c r="M135" t="s">
        <v>24</v>
      </c>
      <c r="N135" t="s">
        <v>25</v>
      </c>
      <c r="O135" s="3" t="str">
        <f t="shared" si="48"/>
        <v>Consumer</v>
      </c>
      <c r="P135" t="s">
        <v>72</v>
      </c>
      <c r="Q135" s="3" t="str">
        <f t="shared" si="49"/>
        <v>West</v>
      </c>
      <c r="R135" t="s">
        <v>248</v>
      </c>
      <c r="S135" t="s">
        <v>249</v>
      </c>
      <c r="T135" t="s">
        <v>85</v>
      </c>
      <c r="U135" s="3" t="str">
        <f t="shared" si="50"/>
        <v>Technology</v>
      </c>
      <c r="V135" t="s">
        <v>222</v>
      </c>
      <c r="W135" t="s">
        <v>758</v>
      </c>
      <c r="X135" t="s">
        <v>32</v>
      </c>
      <c r="Y135" s="3" t="str">
        <f t="shared" si="51"/>
        <v>Second Class</v>
      </c>
      <c r="Z135">
        <v>8</v>
      </c>
      <c r="AA135">
        <v>3372.15</v>
      </c>
      <c r="AB135">
        <v>0.15</v>
      </c>
      <c r="AC135">
        <f t="shared" si="52"/>
        <v>0.15</v>
      </c>
      <c r="AD135" t="str">
        <f t="shared" si="55"/>
        <v>Valid</v>
      </c>
      <c r="AE135">
        <v>22930.62</v>
      </c>
      <c r="AF135">
        <v>16875.55</v>
      </c>
      <c r="AG135">
        <v>6055.07</v>
      </c>
      <c r="AH135" t="s">
        <v>33</v>
      </c>
      <c r="AI135" t="str">
        <f t="shared" si="56"/>
        <v>Include</v>
      </c>
      <c r="AJ135" t="str">
        <f t="shared" si="57"/>
        <v/>
      </c>
      <c r="AK135" t="s">
        <v>34</v>
      </c>
      <c r="AL135" t="str">
        <f t="shared" si="53"/>
        <v>Completed</v>
      </c>
      <c r="AM135" t="str">
        <f t="shared" si="58"/>
        <v>Include</v>
      </c>
      <c r="AN135">
        <f t="shared" si="59"/>
        <v>22930.62</v>
      </c>
      <c r="AO135">
        <f t="shared" si="60"/>
        <v>6055.07</v>
      </c>
      <c r="AP135">
        <f>IF(AN135=0,0,AO135/AN135)</f>
        <v>0.26406045715292475</v>
      </c>
      <c r="AQ135" t="str">
        <f t="shared" si="61"/>
        <v>December</v>
      </c>
      <c r="AR135">
        <f t="shared" si="62"/>
        <v>2024</v>
      </c>
      <c r="AS135" t="str">
        <f t="shared" si="63"/>
        <v>Clean</v>
      </c>
      <c r="AT135" t="str">
        <f>IF(OR(AC135&lt;0,AC135&gt;0.5),"Invalid Discount","Valid")</f>
        <v>Valid</v>
      </c>
      <c r="AU135" t="str">
        <f>IF(G135&lt;E135,"Invalid Shipping Record","Valid")</f>
        <v>Valid</v>
      </c>
      <c r="AV135" t="str">
        <f>IF(OR(AL135="Cancelled",AH135="Failed"),"Exclude","Include")</f>
        <v>Include</v>
      </c>
      <c r="AW135" t="str">
        <f t="shared" si="64"/>
        <v>Match</v>
      </c>
      <c r="AX135" t="str">
        <f t="shared" si="65"/>
        <v>Match</v>
      </c>
    </row>
    <row r="136" spans="1:50">
      <c r="A136" t="s">
        <v>759</v>
      </c>
      <c r="B136">
        <f t="shared" si="44"/>
        <v>1</v>
      </c>
      <c r="C136" t="str">
        <f t="shared" si="54"/>
        <v/>
      </c>
      <c r="D136" s="3" t="s">
        <v>760</v>
      </c>
      <c r="E136" s="7">
        <v>45852</v>
      </c>
      <c r="F136" s="3" t="s">
        <v>761</v>
      </c>
      <c r="G136" s="7">
        <v>45852</v>
      </c>
      <c r="H136" s="7" t="str">
        <f t="shared" si="45"/>
        <v>Valid</v>
      </c>
      <c r="I136" s="9">
        <f t="shared" si="46"/>
        <v>0</v>
      </c>
      <c r="J136" s="9" t="str">
        <f t="shared" si="47"/>
        <v>Valid</v>
      </c>
      <c r="K136" t="s">
        <v>762</v>
      </c>
      <c r="L136" t="s">
        <v>82</v>
      </c>
      <c r="M136" t="s">
        <v>82</v>
      </c>
      <c r="N136" t="s">
        <v>114</v>
      </c>
      <c r="O136" s="3" t="str">
        <f t="shared" si="48"/>
        <v>Home Office</v>
      </c>
      <c r="P136" t="s">
        <v>41</v>
      </c>
      <c r="Q136" s="3" t="str">
        <f t="shared" si="49"/>
        <v>East</v>
      </c>
      <c r="R136" t="s">
        <v>120</v>
      </c>
      <c r="S136" t="s">
        <v>121</v>
      </c>
      <c r="T136" t="s">
        <v>44</v>
      </c>
      <c r="U136" s="3" t="str">
        <f t="shared" si="50"/>
        <v>Furniture</v>
      </c>
      <c r="V136" t="s">
        <v>203</v>
      </c>
      <c r="W136" t="s">
        <v>763</v>
      </c>
      <c r="Y136" s="3" t="str">
        <f t="shared" si="51"/>
        <v>Unknown</v>
      </c>
      <c r="Z136">
        <v>5</v>
      </c>
      <c r="AA136">
        <v>383.1</v>
      </c>
      <c r="AB136">
        <v>0.25</v>
      </c>
      <c r="AC136">
        <f t="shared" si="52"/>
        <v>0.25</v>
      </c>
      <c r="AD136" t="str">
        <f t="shared" si="55"/>
        <v>Valid</v>
      </c>
      <c r="AE136">
        <v>1436.62</v>
      </c>
      <c r="AF136">
        <v>912.52</v>
      </c>
      <c r="AG136">
        <v>524.1</v>
      </c>
      <c r="AH136" t="s">
        <v>136</v>
      </c>
      <c r="AI136" t="str">
        <f t="shared" si="56"/>
        <v>Exclude</v>
      </c>
      <c r="AJ136" t="str">
        <f t="shared" si="57"/>
        <v/>
      </c>
      <c r="AK136" t="s">
        <v>77</v>
      </c>
      <c r="AL136" t="str">
        <f t="shared" si="53"/>
        <v>Cancelled</v>
      </c>
      <c r="AM136" t="str">
        <f t="shared" si="58"/>
        <v>Exclude</v>
      </c>
      <c r="AN136">
        <f t="shared" si="59"/>
        <v>1436.625</v>
      </c>
      <c r="AO136">
        <f t="shared" si="60"/>
        <v>524.10500000000002</v>
      </c>
      <c r="AP136">
        <f>IF(AN136=0,0,AO136/AN136)</f>
        <v>0.36481684503610895</v>
      </c>
      <c r="AQ136" t="str">
        <f t="shared" si="61"/>
        <v>July</v>
      </c>
      <c r="AR136">
        <f t="shared" si="62"/>
        <v>2025</v>
      </c>
      <c r="AS136" t="str">
        <f t="shared" si="63"/>
        <v>Warning</v>
      </c>
      <c r="AT136" t="str">
        <f>IF(OR(AC136&lt;0,AC136&gt;0.5),"Invalid Discount","Valid")</f>
        <v>Valid</v>
      </c>
      <c r="AU136" t="str">
        <f>IF(G136&lt;E136,"Invalid Shipping Record","Valid")</f>
        <v>Valid</v>
      </c>
      <c r="AV136" t="str">
        <f>IF(OR(AL136="Cancelled",AH136="Failed"),"Exclude","Include")</f>
        <v>Exclude</v>
      </c>
      <c r="AW136" t="str">
        <f t="shared" si="64"/>
        <v>Mismatch</v>
      </c>
      <c r="AX136" t="str">
        <f t="shared" si="65"/>
        <v>Mismatch</v>
      </c>
    </row>
    <row r="137" spans="1:50">
      <c r="A137" t="s">
        <v>764</v>
      </c>
      <c r="B137">
        <f t="shared" si="44"/>
        <v>1</v>
      </c>
      <c r="C137" t="str">
        <f t="shared" si="54"/>
        <v/>
      </c>
      <c r="D137" s="3" t="s">
        <v>765</v>
      </c>
      <c r="E137" s="7">
        <v>45893</v>
      </c>
      <c r="F137" s="3" t="s">
        <v>765</v>
      </c>
      <c r="G137" s="7">
        <v>45893</v>
      </c>
      <c r="H137" s="7" t="str">
        <f t="shared" si="45"/>
        <v>Valid</v>
      </c>
      <c r="I137" s="9">
        <f t="shared" si="46"/>
        <v>0</v>
      </c>
      <c r="J137" s="9" t="str">
        <f t="shared" si="47"/>
        <v>Valid</v>
      </c>
      <c r="K137" t="s">
        <v>766</v>
      </c>
      <c r="L137" t="s">
        <v>209</v>
      </c>
      <c r="M137" t="s">
        <v>209</v>
      </c>
      <c r="N137" t="s">
        <v>40</v>
      </c>
      <c r="O137" s="3" t="str">
        <f t="shared" si="48"/>
        <v>Small Business</v>
      </c>
      <c r="P137" t="s">
        <v>61</v>
      </c>
      <c r="Q137" s="3" t="str">
        <f t="shared" si="49"/>
        <v>South</v>
      </c>
      <c r="R137" t="s">
        <v>241</v>
      </c>
      <c r="S137" t="s">
        <v>242</v>
      </c>
      <c r="T137" t="s">
        <v>44</v>
      </c>
      <c r="U137" s="3" t="str">
        <f t="shared" si="50"/>
        <v>Furniture</v>
      </c>
      <c r="V137" t="s">
        <v>203</v>
      </c>
      <c r="W137" t="s">
        <v>767</v>
      </c>
      <c r="X137" t="s">
        <v>66</v>
      </c>
      <c r="Y137" s="3" t="str">
        <f t="shared" si="51"/>
        <v>Standard Class</v>
      </c>
      <c r="Z137">
        <v>1</v>
      </c>
      <c r="AA137">
        <v>3424.78</v>
      </c>
      <c r="AB137">
        <v>0</v>
      </c>
      <c r="AC137">
        <f t="shared" si="52"/>
        <v>0</v>
      </c>
      <c r="AD137" t="str">
        <f t="shared" si="55"/>
        <v>Valid</v>
      </c>
      <c r="AE137">
        <v>3424.78</v>
      </c>
      <c r="AF137">
        <v>1951.45</v>
      </c>
      <c r="AG137">
        <v>1473.33</v>
      </c>
      <c r="AH137" t="s">
        <v>33</v>
      </c>
      <c r="AI137" t="str">
        <f t="shared" si="56"/>
        <v>Include</v>
      </c>
      <c r="AJ137" t="str">
        <f t="shared" si="57"/>
        <v/>
      </c>
      <c r="AK137" t="s">
        <v>34</v>
      </c>
      <c r="AL137" t="str">
        <f t="shared" si="53"/>
        <v>Completed</v>
      </c>
      <c r="AM137" t="str">
        <f t="shared" si="58"/>
        <v>Include</v>
      </c>
      <c r="AN137">
        <f t="shared" si="59"/>
        <v>3424.78</v>
      </c>
      <c r="AO137">
        <f t="shared" si="60"/>
        <v>1473.3300000000002</v>
      </c>
      <c r="AP137">
        <f>IF(AN137=0,0,AO137/AN137)</f>
        <v>0.43019697615613267</v>
      </c>
      <c r="AQ137" t="str">
        <f t="shared" si="61"/>
        <v>August</v>
      </c>
      <c r="AR137">
        <f t="shared" si="62"/>
        <v>2025</v>
      </c>
      <c r="AS137" t="str">
        <f t="shared" si="63"/>
        <v>Clean</v>
      </c>
      <c r="AT137" t="str">
        <f>IF(OR(AC137&lt;0,AC137&gt;0.5),"Invalid Discount","Valid")</f>
        <v>Valid</v>
      </c>
      <c r="AU137" t="str">
        <f>IF(G137&lt;E137,"Invalid Shipping Record","Valid")</f>
        <v>Valid</v>
      </c>
      <c r="AV137" t="str">
        <f>IF(OR(AL137="Cancelled",AH137="Failed"),"Exclude","Include")</f>
        <v>Include</v>
      </c>
      <c r="AW137" t="str">
        <f t="shared" si="64"/>
        <v>Match</v>
      </c>
      <c r="AX137" t="str">
        <f t="shared" si="65"/>
        <v>Match</v>
      </c>
    </row>
    <row r="138" spans="1:50">
      <c r="A138" t="s">
        <v>768</v>
      </c>
      <c r="B138">
        <f t="shared" si="44"/>
        <v>1</v>
      </c>
      <c r="C138" t="str">
        <f t="shared" si="54"/>
        <v/>
      </c>
      <c r="D138" s="3" t="s">
        <v>769</v>
      </c>
      <c r="E138" s="7">
        <v>45697</v>
      </c>
      <c r="F138" s="3" t="s">
        <v>770</v>
      </c>
      <c r="G138" s="7">
        <v>45703</v>
      </c>
      <c r="H138" s="7" t="str">
        <f t="shared" si="45"/>
        <v>Valid</v>
      </c>
      <c r="I138" s="9">
        <f t="shared" si="46"/>
        <v>6</v>
      </c>
      <c r="J138" s="9" t="str">
        <f t="shared" si="47"/>
        <v>Valid</v>
      </c>
      <c r="K138" t="s">
        <v>771</v>
      </c>
      <c r="L138" t="s">
        <v>39</v>
      </c>
      <c r="M138" t="s">
        <v>39</v>
      </c>
      <c r="N138" t="s">
        <v>114</v>
      </c>
      <c r="O138" s="3" t="str">
        <f t="shared" si="48"/>
        <v>Home Office</v>
      </c>
      <c r="P138" t="s">
        <v>41</v>
      </c>
      <c r="Q138" s="3" t="str">
        <f t="shared" si="49"/>
        <v>East</v>
      </c>
      <c r="R138" t="s">
        <v>310</v>
      </c>
      <c r="S138" t="s">
        <v>311</v>
      </c>
      <c r="T138" t="s">
        <v>29</v>
      </c>
      <c r="U138" s="3" t="str">
        <f t="shared" si="50"/>
        <v>Office Supplies</v>
      </c>
      <c r="V138" t="s">
        <v>197</v>
      </c>
      <c r="W138" t="s">
        <v>772</v>
      </c>
      <c r="X138" t="s">
        <v>773</v>
      </c>
      <c r="Y138" s="3" t="str">
        <f t="shared" si="51"/>
        <v>Standard Class</v>
      </c>
      <c r="Z138">
        <v>9</v>
      </c>
      <c r="AA138">
        <v>4330.33</v>
      </c>
      <c r="AB138">
        <v>0.2</v>
      </c>
      <c r="AC138">
        <f t="shared" si="52"/>
        <v>0.2</v>
      </c>
      <c r="AD138" t="str">
        <f t="shared" si="55"/>
        <v>Valid</v>
      </c>
      <c r="AE138">
        <v>31178.38</v>
      </c>
      <c r="AF138">
        <v>21421.09</v>
      </c>
      <c r="AG138">
        <v>9757.2900000000009</v>
      </c>
      <c r="AH138" t="s">
        <v>33</v>
      </c>
      <c r="AI138" t="str">
        <f t="shared" si="56"/>
        <v>Include</v>
      </c>
      <c r="AJ138" t="str">
        <f t="shared" si="57"/>
        <v/>
      </c>
      <c r="AK138" t="s">
        <v>34</v>
      </c>
      <c r="AL138" t="str">
        <f t="shared" si="53"/>
        <v>Completed</v>
      </c>
      <c r="AM138" t="str">
        <f t="shared" si="58"/>
        <v>Include</v>
      </c>
      <c r="AN138">
        <f t="shared" si="59"/>
        <v>31178.376000000004</v>
      </c>
      <c r="AO138">
        <f t="shared" si="60"/>
        <v>9757.2860000000037</v>
      </c>
      <c r="AP138">
        <f>IF(AN138=0,0,AO138/AN138)</f>
        <v>0.31295042435821552</v>
      </c>
      <c r="AQ138" t="str">
        <f t="shared" si="61"/>
        <v>February</v>
      </c>
      <c r="AR138">
        <f t="shared" si="62"/>
        <v>2025</v>
      </c>
      <c r="AS138" t="str">
        <f t="shared" si="63"/>
        <v>Clean</v>
      </c>
      <c r="AT138" t="str">
        <f>IF(OR(AC138&lt;0,AC138&gt;0.5),"Invalid Discount","Valid")</f>
        <v>Valid</v>
      </c>
      <c r="AU138" t="str">
        <f>IF(G138&lt;E138,"Invalid Shipping Record","Valid")</f>
        <v>Valid</v>
      </c>
      <c r="AV138" t="str">
        <f>IF(OR(AL138="Cancelled",AH138="Failed"),"Exclude","Include")</f>
        <v>Include</v>
      </c>
      <c r="AW138" t="str">
        <f t="shared" si="64"/>
        <v>Match</v>
      </c>
      <c r="AX138" t="str">
        <f t="shared" si="65"/>
        <v>Match</v>
      </c>
    </row>
    <row r="139" spans="1:50">
      <c r="A139" t="s">
        <v>774</v>
      </c>
      <c r="B139">
        <f t="shared" si="44"/>
        <v>1</v>
      </c>
      <c r="C139" t="str">
        <f t="shared" si="54"/>
        <v/>
      </c>
      <c r="D139" s="3" t="s">
        <v>775</v>
      </c>
      <c r="E139" s="7">
        <v>45666</v>
      </c>
      <c r="F139" s="3" t="s">
        <v>776</v>
      </c>
      <c r="G139" s="7">
        <v>45666</v>
      </c>
      <c r="H139" s="7" t="str">
        <f t="shared" si="45"/>
        <v>Valid</v>
      </c>
      <c r="I139" s="9">
        <f t="shared" si="46"/>
        <v>0</v>
      </c>
      <c r="J139" s="9" t="str">
        <f t="shared" si="47"/>
        <v>Valid</v>
      </c>
      <c r="K139" t="s">
        <v>777</v>
      </c>
      <c r="L139" t="s">
        <v>167</v>
      </c>
      <c r="M139" t="s">
        <v>167</v>
      </c>
      <c r="N139" t="s">
        <v>40</v>
      </c>
      <c r="O139" s="3" t="str">
        <f t="shared" si="48"/>
        <v>Small Business</v>
      </c>
      <c r="P139" t="s">
        <v>26</v>
      </c>
      <c r="Q139" s="3" t="str">
        <f t="shared" si="49"/>
        <v>North</v>
      </c>
      <c r="R139" t="s">
        <v>27</v>
      </c>
      <c r="S139" t="s">
        <v>28</v>
      </c>
      <c r="T139" t="s">
        <v>44</v>
      </c>
      <c r="U139" s="3" t="str">
        <f t="shared" si="50"/>
        <v>Furniture</v>
      </c>
      <c r="V139" t="s">
        <v>75</v>
      </c>
      <c r="W139" t="s">
        <v>778</v>
      </c>
      <c r="X139" t="s">
        <v>47</v>
      </c>
      <c r="Y139" s="3" t="str">
        <f t="shared" si="51"/>
        <v>Same Day</v>
      </c>
      <c r="Z139">
        <v>8</v>
      </c>
      <c r="AA139">
        <v>2667.07</v>
      </c>
      <c r="AB139">
        <v>0.1</v>
      </c>
      <c r="AC139">
        <f t="shared" si="52"/>
        <v>0.1</v>
      </c>
      <c r="AD139" t="str">
        <f t="shared" si="55"/>
        <v>Valid</v>
      </c>
      <c r="AE139">
        <v>19202.900000000001</v>
      </c>
      <c r="AF139">
        <v>15526.62</v>
      </c>
      <c r="AG139">
        <v>3676.28</v>
      </c>
      <c r="AH139" t="s">
        <v>33</v>
      </c>
      <c r="AI139" t="str">
        <f t="shared" si="56"/>
        <v>Include</v>
      </c>
      <c r="AJ139" t="str">
        <f t="shared" si="57"/>
        <v/>
      </c>
      <c r="AK139" t="s">
        <v>34</v>
      </c>
      <c r="AL139" t="str">
        <f t="shared" si="53"/>
        <v>Completed</v>
      </c>
      <c r="AM139" t="str">
        <f t="shared" si="58"/>
        <v>Include</v>
      </c>
      <c r="AN139">
        <f t="shared" si="59"/>
        <v>19202.904000000002</v>
      </c>
      <c r="AO139">
        <f t="shared" si="60"/>
        <v>3676.2840000000015</v>
      </c>
      <c r="AP139">
        <f>IF(AN139=0,0,AO139/AN139)</f>
        <v>0.19144416906942829</v>
      </c>
      <c r="AQ139" t="str">
        <f t="shared" si="61"/>
        <v>January</v>
      </c>
      <c r="AR139">
        <f t="shared" si="62"/>
        <v>2025</v>
      </c>
      <c r="AS139" t="str">
        <f t="shared" si="63"/>
        <v>Clean</v>
      </c>
      <c r="AT139" t="str">
        <f>IF(OR(AC139&lt;0,AC139&gt;0.5),"Invalid Discount","Valid")</f>
        <v>Valid</v>
      </c>
      <c r="AU139" t="str">
        <f>IF(G139&lt;E139,"Invalid Shipping Record","Valid")</f>
        <v>Valid</v>
      </c>
      <c r="AV139" t="str">
        <f>IF(OR(AL139="Cancelled",AH139="Failed"),"Exclude","Include")</f>
        <v>Include</v>
      </c>
      <c r="AW139" t="str">
        <f t="shared" si="64"/>
        <v>Match</v>
      </c>
      <c r="AX139" t="str">
        <f t="shared" si="65"/>
        <v>Match</v>
      </c>
    </row>
    <row r="140" spans="1:50">
      <c r="A140" t="s">
        <v>779</v>
      </c>
      <c r="B140">
        <f t="shared" si="44"/>
        <v>1</v>
      </c>
      <c r="C140" t="str">
        <f t="shared" si="54"/>
        <v/>
      </c>
      <c r="D140" s="3" t="s">
        <v>780</v>
      </c>
      <c r="E140" s="7">
        <v>45311</v>
      </c>
      <c r="F140" s="3" t="s">
        <v>781</v>
      </c>
      <c r="G140" s="7">
        <v>45317</v>
      </c>
      <c r="H140" s="7" t="str">
        <f t="shared" si="45"/>
        <v>Valid</v>
      </c>
      <c r="I140" s="9">
        <f t="shared" si="46"/>
        <v>6</v>
      </c>
      <c r="J140" s="9" t="str">
        <f t="shared" si="47"/>
        <v>Valid</v>
      </c>
      <c r="K140" t="s">
        <v>782</v>
      </c>
      <c r="L140" t="s">
        <v>209</v>
      </c>
      <c r="M140" t="s">
        <v>209</v>
      </c>
      <c r="N140" t="s">
        <v>114</v>
      </c>
      <c r="O140" s="3" t="str">
        <f t="shared" si="48"/>
        <v>Home Office</v>
      </c>
      <c r="P140" t="s">
        <v>41</v>
      </c>
      <c r="Q140" s="3" t="str">
        <f t="shared" si="49"/>
        <v>East</v>
      </c>
      <c r="R140" t="s">
        <v>310</v>
      </c>
      <c r="S140" t="s">
        <v>311</v>
      </c>
      <c r="T140" t="s">
        <v>85</v>
      </c>
      <c r="U140" s="3" t="str">
        <f t="shared" si="50"/>
        <v>Technology</v>
      </c>
      <c r="V140" t="s">
        <v>381</v>
      </c>
      <c r="W140" t="s">
        <v>783</v>
      </c>
      <c r="X140" t="s">
        <v>66</v>
      </c>
      <c r="Y140" s="3" t="str">
        <f t="shared" si="51"/>
        <v>Standard Class</v>
      </c>
      <c r="Z140">
        <v>8</v>
      </c>
      <c r="AA140">
        <v>4003.05</v>
      </c>
      <c r="AB140">
        <v>0.25</v>
      </c>
      <c r="AC140">
        <f t="shared" si="52"/>
        <v>0.25</v>
      </c>
      <c r="AD140" t="str">
        <f t="shared" si="55"/>
        <v>Valid</v>
      </c>
      <c r="AE140">
        <v>24018.3</v>
      </c>
      <c r="AF140">
        <v>14070.78</v>
      </c>
      <c r="AG140">
        <v>9947.52</v>
      </c>
      <c r="AH140" t="s">
        <v>33</v>
      </c>
      <c r="AI140" t="str">
        <f t="shared" si="56"/>
        <v>Include</v>
      </c>
      <c r="AJ140" t="str">
        <f t="shared" si="57"/>
        <v/>
      </c>
      <c r="AK140" t="s">
        <v>34</v>
      </c>
      <c r="AL140" t="str">
        <f t="shared" si="53"/>
        <v>Completed</v>
      </c>
      <c r="AM140" t="str">
        <f t="shared" si="58"/>
        <v>Include</v>
      </c>
      <c r="AN140">
        <f t="shared" si="59"/>
        <v>24018.300000000003</v>
      </c>
      <c r="AO140">
        <f t="shared" si="60"/>
        <v>9947.5200000000023</v>
      </c>
      <c r="AP140">
        <f>IF(AN140=0,0,AO140/AN140)</f>
        <v>0.41416419979765434</v>
      </c>
      <c r="AQ140" t="str">
        <f t="shared" si="61"/>
        <v>January</v>
      </c>
      <c r="AR140">
        <f t="shared" si="62"/>
        <v>2024</v>
      </c>
      <c r="AS140" t="str">
        <f t="shared" si="63"/>
        <v>Clean</v>
      </c>
      <c r="AT140" t="str">
        <f>IF(OR(AC140&lt;0,AC140&gt;0.5),"Invalid Discount","Valid")</f>
        <v>Valid</v>
      </c>
      <c r="AU140" t="str">
        <f>IF(G140&lt;E140,"Invalid Shipping Record","Valid")</f>
        <v>Valid</v>
      </c>
      <c r="AV140" t="str">
        <f>IF(OR(AL140="Cancelled",AH140="Failed"),"Exclude","Include")</f>
        <v>Include</v>
      </c>
      <c r="AW140" t="str">
        <f t="shared" si="64"/>
        <v>Match</v>
      </c>
      <c r="AX140" t="str">
        <f t="shared" si="65"/>
        <v>Match</v>
      </c>
    </row>
    <row r="141" spans="1:50">
      <c r="A141" t="s">
        <v>784</v>
      </c>
      <c r="B141">
        <f t="shared" si="44"/>
        <v>1</v>
      </c>
      <c r="C141" t="str">
        <f t="shared" si="54"/>
        <v/>
      </c>
      <c r="D141" s="3" t="s">
        <v>785</v>
      </c>
      <c r="E141" s="7">
        <v>45718</v>
      </c>
      <c r="F141" s="3" t="s">
        <v>786</v>
      </c>
      <c r="G141" s="7">
        <v>45723</v>
      </c>
      <c r="H141" s="7" t="str">
        <f t="shared" si="45"/>
        <v>Valid</v>
      </c>
      <c r="I141" s="9">
        <f t="shared" si="46"/>
        <v>5</v>
      </c>
      <c r="J141" s="9" t="str">
        <f t="shared" si="47"/>
        <v>Valid</v>
      </c>
      <c r="K141" t="s">
        <v>787</v>
      </c>
      <c r="L141" t="s">
        <v>92</v>
      </c>
      <c r="M141" t="s">
        <v>92</v>
      </c>
      <c r="N141" t="s">
        <v>114</v>
      </c>
      <c r="O141" s="3" t="str">
        <f t="shared" si="48"/>
        <v>Home Office</v>
      </c>
      <c r="P141" t="s">
        <v>61</v>
      </c>
      <c r="Q141" s="3" t="str">
        <f t="shared" si="49"/>
        <v>South</v>
      </c>
      <c r="R141" t="s">
        <v>228</v>
      </c>
      <c r="S141" t="s">
        <v>229</v>
      </c>
      <c r="T141" t="s">
        <v>29</v>
      </c>
      <c r="U141" s="3" t="str">
        <f t="shared" si="50"/>
        <v>Office Supplies</v>
      </c>
      <c r="V141" t="s">
        <v>108</v>
      </c>
      <c r="W141" t="s">
        <v>788</v>
      </c>
      <c r="X141" t="s">
        <v>66</v>
      </c>
      <c r="Y141" s="3" t="str">
        <f t="shared" si="51"/>
        <v>Standard Class</v>
      </c>
      <c r="Z141">
        <v>8</v>
      </c>
      <c r="AA141">
        <v>1287.6300000000001</v>
      </c>
      <c r="AB141">
        <v>0</v>
      </c>
      <c r="AC141">
        <f t="shared" si="52"/>
        <v>0</v>
      </c>
      <c r="AD141" t="str">
        <f t="shared" si="55"/>
        <v>Valid</v>
      </c>
      <c r="AE141">
        <v>10301.040000000001</v>
      </c>
      <c r="AF141">
        <v>6564.06</v>
      </c>
      <c r="AG141">
        <v>3736.98</v>
      </c>
      <c r="AH141" t="s">
        <v>33</v>
      </c>
      <c r="AI141" t="str">
        <f t="shared" si="56"/>
        <v>Include</v>
      </c>
      <c r="AJ141" t="str">
        <f t="shared" si="57"/>
        <v/>
      </c>
      <c r="AK141" t="s">
        <v>34</v>
      </c>
      <c r="AL141" t="str">
        <f t="shared" si="53"/>
        <v>Completed</v>
      </c>
      <c r="AM141" t="str">
        <f t="shared" si="58"/>
        <v>Include</v>
      </c>
      <c r="AN141">
        <f t="shared" si="59"/>
        <v>10301.040000000001</v>
      </c>
      <c r="AO141">
        <f t="shared" si="60"/>
        <v>3736.9800000000005</v>
      </c>
      <c r="AP141">
        <f>IF(AN141=0,0,AO141/AN141)</f>
        <v>0.3627769623261341</v>
      </c>
      <c r="AQ141" t="str">
        <f t="shared" si="61"/>
        <v>March</v>
      </c>
      <c r="AR141">
        <f t="shared" si="62"/>
        <v>2025</v>
      </c>
      <c r="AS141" t="str">
        <f t="shared" si="63"/>
        <v>Clean</v>
      </c>
      <c r="AT141" t="str">
        <f>IF(OR(AC141&lt;0,AC141&gt;0.5),"Invalid Discount","Valid")</f>
        <v>Valid</v>
      </c>
      <c r="AU141" t="str">
        <f>IF(G141&lt;E141,"Invalid Shipping Record","Valid")</f>
        <v>Valid</v>
      </c>
      <c r="AV141" t="str">
        <f>IF(OR(AL141="Cancelled",AH141="Failed"),"Exclude","Include")</f>
        <v>Include</v>
      </c>
      <c r="AW141" t="str">
        <f t="shared" si="64"/>
        <v>Match</v>
      </c>
      <c r="AX141" t="str">
        <f t="shared" si="65"/>
        <v>Match</v>
      </c>
    </row>
    <row r="142" spans="1:50">
      <c r="A142" t="s">
        <v>789</v>
      </c>
      <c r="B142">
        <f t="shared" si="44"/>
        <v>1</v>
      </c>
      <c r="C142" t="str">
        <f t="shared" si="54"/>
        <v/>
      </c>
      <c r="D142" s="3" t="s">
        <v>790</v>
      </c>
      <c r="E142" s="7">
        <v>45443</v>
      </c>
      <c r="F142" s="3" t="s">
        <v>791</v>
      </c>
      <c r="G142" s="7">
        <v>45444</v>
      </c>
      <c r="H142" s="7" t="str">
        <f t="shared" si="45"/>
        <v>Valid</v>
      </c>
      <c r="I142" s="9">
        <f t="shared" si="46"/>
        <v>1</v>
      </c>
      <c r="J142" s="9" t="str">
        <f t="shared" si="47"/>
        <v>Valid</v>
      </c>
      <c r="K142" t="s">
        <v>792</v>
      </c>
      <c r="L142" t="s">
        <v>39</v>
      </c>
      <c r="M142" t="s">
        <v>39</v>
      </c>
      <c r="N142" t="s">
        <v>107</v>
      </c>
      <c r="O142" s="3" t="str">
        <f t="shared" si="48"/>
        <v>Corporate</v>
      </c>
      <c r="P142" t="s">
        <v>61</v>
      </c>
      <c r="Q142" s="3" t="str">
        <f t="shared" si="49"/>
        <v>South</v>
      </c>
      <c r="R142" t="s">
        <v>228</v>
      </c>
      <c r="S142" t="s">
        <v>229</v>
      </c>
      <c r="T142" t="s">
        <v>44</v>
      </c>
      <c r="U142" s="3" t="str">
        <f t="shared" si="50"/>
        <v>Furniture</v>
      </c>
      <c r="V142" t="s">
        <v>203</v>
      </c>
      <c r="W142" t="s">
        <v>793</v>
      </c>
      <c r="X142" t="s">
        <v>47</v>
      </c>
      <c r="Y142" s="3" t="str">
        <f t="shared" si="51"/>
        <v>Same Day</v>
      </c>
      <c r="Z142">
        <v>3</v>
      </c>
      <c r="AA142">
        <v>2914.55</v>
      </c>
      <c r="AB142">
        <v>0</v>
      </c>
      <c r="AC142">
        <f t="shared" si="52"/>
        <v>0</v>
      </c>
      <c r="AD142" t="str">
        <f t="shared" si="55"/>
        <v>Valid</v>
      </c>
      <c r="AE142">
        <v>8743.65</v>
      </c>
      <c r="AF142">
        <v>6603.76</v>
      </c>
      <c r="AG142">
        <v>2139.89</v>
      </c>
      <c r="AH142" t="s">
        <v>33</v>
      </c>
      <c r="AI142" t="str">
        <f t="shared" si="56"/>
        <v>Include</v>
      </c>
      <c r="AJ142" t="str">
        <f t="shared" si="57"/>
        <v/>
      </c>
      <c r="AK142" t="s">
        <v>34</v>
      </c>
      <c r="AL142" t="str">
        <f t="shared" si="53"/>
        <v>Completed</v>
      </c>
      <c r="AM142" t="str">
        <f t="shared" si="58"/>
        <v>Include</v>
      </c>
      <c r="AN142">
        <f t="shared" si="59"/>
        <v>8743.6500000000015</v>
      </c>
      <c r="AO142">
        <f t="shared" si="60"/>
        <v>2139.8900000000012</v>
      </c>
      <c r="AP142">
        <f>IF(AN142=0,0,AO142/AN142)</f>
        <v>0.24473646589239059</v>
      </c>
      <c r="AQ142" t="str">
        <f t="shared" si="61"/>
        <v>May</v>
      </c>
      <c r="AR142">
        <f t="shared" si="62"/>
        <v>2024</v>
      </c>
      <c r="AS142" t="str">
        <f t="shared" si="63"/>
        <v>Clean</v>
      </c>
      <c r="AT142" t="str">
        <f>IF(OR(AC142&lt;0,AC142&gt;0.5),"Invalid Discount","Valid")</f>
        <v>Valid</v>
      </c>
      <c r="AU142" t="str">
        <f>IF(G142&lt;E142,"Invalid Shipping Record","Valid")</f>
        <v>Valid</v>
      </c>
      <c r="AV142" t="str">
        <f>IF(OR(AL142="Cancelled",AH142="Failed"),"Exclude","Include")</f>
        <v>Include</v>
      </c>
      <c r="AW142" t="str">
        <f t="shared" si="64"/>
        <v>Match</v>
      </c>
      <c r="AX142" t="str">
        <f t="shared" si="65"/>
        <v>Match</v>
      </c>
    </row>
    <row r="143" spans="1:50">
      <c r="A143" t="s">
        <v>794</v>
      </c>
      <c r="B143">
        <f t="shared" si="44"/>
        <v>1</v>
      </c>
      <c r="C143" t="str">
        <f t="shared" si="54"/>
        <v/>
      </c>
      <c r="D143" s="3" t="s">
        <v>795</v>
      </c>
      <c r="E143" s="7">
        <v>45374</v>
      </c>
      <c r="F143" s="3" t="s">
        <v>796</v>
      </c>
      <c r="G143" s="7">
        <v>45380</v>
      </c>
      <c r="H143" s="7" t="str">
        <f t="shared" si="45"/>
        <v>Valid</v>
      </c>
      <c r="I143" s="9">
        <f t="shared" si="46"/>
        <v>6</v>
      </c>
      <c r="J143" s="9" t="str">
        <f t="shared" si="47"/>
        <v>Valid</v>
      </c>
      <c r="K143" t="s">
        <v>797</v>
      </c>
      <c r="L143" t="s">
        <v>141</v>
      </c>
      <c r="M143" t="s">
        <v>141</v>
      </c>
      <c r="N143" t="s">
        <v>107</v>
      </c>
      <c r="O143" s="3" t="str">
        <f t="shared" si="48"/>
        <v>Corporate</v>
      </c>
      <c r="P143" t="s">
        <v>26</v>
      </c>
      <c r="Q143" s="3" t="str">
        <f t="shared" si="49"/>
        <v>North</v>
      </c>
      <c r="R143" t="s">
        <v>505</v>
      </c>
      <c r="S143" t="s">
        <v>506</v>
      </c>
      <c r="T143" t="s">
        <v>44</v>
      </c>
      <c r="U143" s="3" t="str">
        <f t="shared" si="50"/>
        <v>Furniture</v>
      </c>
      <c r="V143" t="s">
        <v>203</v>
      </c>
      <c r="W143" t="s">
        <v>798</v>
      </c>
      <c r="X143" t="s">
        <v>47</v>
      </c>
      <c r="Y143" s="3" t="str">
        <f t="shared" si="51"/>
        <v>Same Day</v>
      </c>
      <c r="Z143">
        <v>7</v>
      </c>
      <c r="AA143">
        <v>634.29</v>
      </c>
      <c r="AB143">
        <v>0.1</v>
      </c>
      <c r="AC143">
        <f t="shared" si="52"/>
        <v>0.1</v>
      </c>
      <c r="AD143" t="str">
        <f t="shared" si="55"/>
        <v>Valid</v>
      </c>
      <c r="AE143">
        <v>3996.03</v>
      </c>
      <c r="AF143">
        <v>2859.51</v>
      </c>
      <c r="AG143">
        <v>1136.52</v>
      </c>
      <c r="AH143" t="s">
        <v>33</v>
      </c>
      <c r="AI143" t="str">
        <f t="shared" si="56"/>
        <v>Include</v>
      </c>
      <c r="AJ143" t="str">
        <f t="shared" si="57"/>
        <v/>
      </c>
      <c r="AK143" t="s">
        <v>124</v>
      </c>
      <c r="AL143" t="str">
        <f t="shared" si="53"/>
        <v>Returned</v>
      </c>
      <c r="AM143" t="str">
        <f t="shared" si="58"/>
        <v>Include</v>
      </c>
      <c r="AN143">
        <f t="shared" si="59"/>
        <v>3996.027</v>
      </c>
      <c r="AO143">
        <f t="shared" si="60"/>
        <v>1136.5169999999998</v>
      </c>
      <c r="AP143">
        <f>IF(AN143=0,0,AO143/AN143)</f>
        <v>0.28441174196270441</v>
      </c>
      <c r="AQ143" t="str">
        <f t="shared" si="61"/>
        <v>March</v>
      </c>
      <c r="AR143">
        <f t="shared" si="62"/>
        <v>2024</v>
      </c>
      <c r="AS143" t="str">
        <f t="shared" si="63"/>
        <v>Clean</v>
      </c>
      <c r="AT143" t="str">
        <f>IF(OR(AC143&lt;0,AC143&gt;0.5),"Invalid Discount","Valid")</f>
        <v>Valid</v>
      </c>
      <c r="AU143" t="str">
        <f>IF(G143&lt;E143,"Invalid Shipping Record","Valid")</f>
        <v>Valid</v>
      </c>
      <c r="AV143" t="str">
        <f>IF(OR(AL143="Cancelled",AH143="Failed"),"Exclude","Include")</f>
        <v>Include</v>
      </c>
      <c r="AW143" t="str">
        <f t="shared" si="64"/>
        <v>Match</v>
      </c>
      <c r="AX143" t="str">
        <f t="shared" si="65"/>
        <v>Match</v>
      </c>
    </row>
    <row r="144" spans="1:50">
      <c r="A144" t="s">
        <v>799</v>
      </c>
      <c r="B144">
        <f t="shared" si="44"/>
        <v>2</v>
      </c>
      <c r="C144" t="str">
        <f t="shared" si="54"/>
        <v>Review Required</v>
      </c>
      <c r="D144" s="3" t="s">
        <v>800</v>
      </c>
      <c r="E144" s="7">
        <v>45381</v>
      </c>
      <c r="F144" s="3" t="s">
        <v>801</v>
      </c>
      <c r="G144" s="7">
        <v>45377</v>
      </c>
      <c r="H144" s="7" t="str">
        <f t="shared" si="45"/>
        <v>Invalid Shipping Record</v>
      </c>
      <c r="I144" s="9">
        <f t="shared" si="46"/>
        <v>-4</v>
      </c>
      <c r="J144" s="9" t="str">
        <f t="shared" si="47"/>
        <v>Invalid Shipping Record</v>
      </c>
      <c r="K144" t="s">
        <v>802</v>
      </c>
      <c r="L144" t="s">
        <v>106</v>
      </c>
      <c r="M144" t="s">
        <v>106</v>
      </c>
      <c r="N144" t="s">
        <v>114</v>
      </c>
      <c r="O144" s="3" t="str">
        <f t="shared" si="48"/>
        <v>Home Office</v>
      </c>
      <c r="P144" t="s">
        <v>26</v>
      </c>
      <c r="Q144" s="3" t="str">
        <f t="shared" si="49"/>
        <v>North</v>
      </c>
      <c r="R144" t="s">
        <v>27</v>
      </c>
      <c r="S144" t="s">
        <v>28</v>
      </c>
      <c r="T144" t="s">
        <v>85</v>
      </c>
      <c r="U144" s="3" t="str">
        <f t="shared" si="50"/>
        <v>Technology</v>
      </c>
      <c r="V144" t="s">
        <v>222</v>
      </c>
      <c r="W144" t="s">
        <v>803</v>
      </c>
      <c r="X144" t="s">
        <v>32</v>
      </c>
      <c r="Y144" s="3" t="str">
        <f t="shared" si="51"/>
        <v>Second Class</v>
      </c>
      <c r="Z144">
        <v>5</v>
      </c>
      <c r="AA144">
        <v>907.54</v>
      </c>
      <c r="AB144">
        <v>0.15</v>
      </c>
      <c r="AC144">
        <f t="shared" si="52"/>
        <v>0.15</v>
      </c>
      <c r="AD144" t="str">
        <f t="shared" si="55"/>
        <v>Valid</v>
      </c>
      <c r="AE144">
        <v>3857.04</v>
      </c>
      <c r="AF144">
        <v>2769.26</v>
      </c>
      <c r="AG144">
        <v>1087.78</v>
      </c>
      <c r="AH144" t="s">
        <v>33</v>
      </c>
      <c r="AI144" t="str">
        <f t="shared" si="56"/>
        <v>Include</v>
      </c>
      <c r="AJ144" t="str">
        <f t="shared" si="57"/>
        <v/>
      </c>
      <c r="AK144" t="s">
        <v>34</v>
      </c>
      <c r="AL144" t="str">
        <f t="shared" si="53"/>
        <v>Completed</v>
      </c>
      <c r="AM144" t="str">
        <f t="shared" si="58"/>
        <v>Include</v>
      </c>
      <c r="AN144">
        <f t="shared" si="59"/>
        <v>3857.0449999999996</v>
      </c>
      <c r="AO144">
        <f t="shared" si="60"/>
        <v>1087.7849999999994</v>
      </c>
      <c r="AP144">
        <f>IF(AN144=0,0,AO144/AN144)</f>
        <v>0.28202548842442843</v>
      </c>
      <c r="AQ144" t="str">
        <f t="shared" si="61"/>
        <v>March</v>
      </c>
      <c r="AR144">
        <f t="shared" si="62"/>
        <v>2024</v>
      </c>
      <c r="AS144" t="str">
        <f t="shared" si="63"/>
        <v>Invalid</v>
      </c>
      <c r="AT144" t="str">
        <f>IF(OR(AC144&lt;0,AC144&gt;0.5),"Invalid Discount","Valid")</f>
        <v>Valid</v>
      </c>
      <c r="AU144" t="str">
        <f>IF(G144&lt;E144,"Invalid Shipping Record","Valid")</f>
        <v>Invalid Shipping Record</v>
      </c>
      <c r="AV144" t="str">
        <f>IF(OR(AL144="Cancelled",AH144="Failed"),"Exclude","Include")</f>
        <v>Include</v>
      </c>
      <c r="AW144" t="str">
        <f t="shared" si="64"/>
        <v>Mismatch</v>
      </c>
      <c r="AX144" t="str">
        <f t="shared" si="65"/>
        <v>Mismatch</v>
      </c>
    </row>
    <row r="145" spans="1:50">
      <c r="A145" t="s">
        <v>804</v>
      </c>
      <c r="B145">
        <f t="shared" si="44"/>
        <v>1</v>
      </c>
      <c r="C145" t="str">
        <f t="shared" si="54"/>
        <v/>
      </c>
      <c r="D145" s="3" t="s">
        <v>541</v>
      </c>
      <c r="E145" s="7">
        <v>45375</v>
      </c>
      <c r="F145" s="3" t="s">
        <v>805</v>
      </c>
      <c r="G145" s="7">
        <v>45377</v>
      </c>
      <c r="H145" s="7" t="str">
        <f t="shared" si="45"/>
        <v>Valid</v>
      </c>
      <c r="I145" s="9">
        <f t="shared" si="46"/>
        <v>2</v>
      </c>
      <c r="J145" s="9" t="str">
        <f t="shared" si="47"/>
        <v>Valid</v>
      </c>
      <c r="K145" t="s">
        <v>806</v>
      </c>
      <c r="L145" t="s">
        <v>141</v>
      </c>
      <c r="M145" t="s">
        <v>141</v>
      </c>
      <c r="N145" t="s">
        <v>25</v>
      </c>
      <c r="O145" s="3" t="str">
        <f t="shared" si="48"/>
        <v>Consumer</v>
      </c>
      <c r="P145" t="s">
        <v>72</v>
      </c>
      <c r="Q145" s="3" t="str">
        <f t="shared" si="49"/>
        <v>West</v>
      </c>
      <c r="R145" t="s">
        <v>234</v>
      </c>
      <c r="S145" t="s">
        <v>235</v>
      </c>
      <c r="T145" t="s">
        <v>29</v>
      </c>
      <c r="U145" s="3" t="str">
        <f t="shared" si="50"/>
        <v>Office Supplies</v>
      </c>
      <c r="V145" t="s">
        <v>30</v>
      </c>
      <c r="W145" t="s">
        <v>807</v>
      </c>
      <c r="X145" t="s">
        <v>32</v>
      </c>
      <c r="Y145" s="3" t="str">
        <f t="shared" si="51"/>
        <v>Second Class</v>
      </c>
      <c r="Z145">
        <v>1</v>
      </c>
      <c r="AA145">
        <v>3409.5</v>
      </c>
      <c r="AB145">
        <v>0.1</v>
      </c>
      <c r="AC145">
        <f t="shared" si="52"/>
        <v>0.1</v>
      </c>
      <c r="AD145" t="str">
        <f t="shared" si="55"/>
        <v>Valid</v>
      </c>
      <c r="AE145">
        <v>3068.55</v>
      </c>
      <c r="AF145">
        <v>1916.16</v>
      </c>
      <c r="AG145">
        <v>1152.3900000000001</v>
      </c>
      <c r="AH145" t="s">
        <v>33</v>
      </c>
      <c r="AI145" t="str">
        <f t="shared" si="56"/>
        <v>Include</v>
      </c>
      <c r="AJ145" t="str">
        <f t="shared" si="57"/>
        <v/>
      </c>
      <c r="AK145" t="s">
        <v>124</v>
      </c>
      <c r="AL145" t="str">
        <f t="shared" si="53"/>
        <v>Returned</v>
      </c>
      <c r="AM145" t="str">
        <f t="shared" si="58"/>
        <v>Include</v>
      </c>
      <c r="AN145">
        <f t="shared" si="59"/>
        <v>3068.55</v>
      </c>
      <c r="AO145">
        <f t="shared" si="60"/>
        <v>1152.3900000000001</v>
      </c>
      <c r="AP145">
        <f>IF(AN145=0,0,AO145/AN145)</f>
        <v>0.3755487119323459</v>
      </c>
      <c r="AQ145" t="str">
        <f t="shared" si="61"/>
        <v>March</v>
      </c>
      <c r="AR145">
        <f t="shared" si="62"/>
        <v>2024</v>
      </c>
      <c r="AS145" t="str">
        <f t="shared" si="63"/>
        <v>Clean</v>
      </c>
      <c r="AT145" t="str">
        <f>IF(OR(AC145&lt;0,AC145&gt;0.5),"Invalid Discount","Valid")</f>
        <v>Valid</v>
      </c>
      <c r="AU145" t="str">
        <f>IF(G145&lt;E145,"Invalid Shipping Record","Valid")</f>
        <v>Valid</v>
      </c>
      <c r="AV145" t="str">
        <f>IF(OR(AL145="Cancelled",AH145="Failed"),"Exclude","Include")</f>
        <v>Include</v>
      </c>
      <c r="AW145" t="str">
        <f t="shared" si="64"/>
        <v>Match</v>
      </c>
      <c r="AX145" t="str">
        <f t="shared" si="65"/>
        <v>Match</v>
      </c>
    </row>
    <row r="146" spans="1:50">
      <c r="A146" t="s">
        <v>808</v>
      </c>
      <c r="B146">
        <f t="shared" si="44"/>
        <v>1</v>
      </c>
      <c r="C146" t="str">
        <f t="shared" si="54"/>
        <v/>
      </c>
      <c r="D146" s="3" t="s">
        <v>577</v>
      </c>
      <c r="E146" s="7">
        <v>45450</v>
      </c>
      <c r="F146" s="3" t="s">
        <v>809</v>
      </c>
      <c r="G146" s="7">
        <v>45458</v>
      </c>
      <c r="H146" s="7" t="str">
        <f t="shared" si="45"/>
        <v>Valid</v>
      </c>
      <c r="I146" s="9">
        <f t="shared" si="46"/>
        <v>8</v>
      </c>
      <c r="J146" s="9" t="str">
        <f t="shared" si="47"/>
        <v>Valid</v>
      </c>
      <c r="K146" t="s">
        <v>810</v>
      </c>
      <c r="L146" t="s">
        <v>365</v>
      </c>
      <c r="M146" t="s">
        <v>365</v>
      </c>
      <c r="N146" t="s">
        <v>40</v>
      </c>
      <c r="O146" s="3" t="str">
        <f t="shared" si="48"/>
        <v>Small Business</v>
      </c>
      <c r="P146" t="s">
        <v>61</v>
      </c>
      <c r="Q146" s="3" t="str">
        <f t="shared" si="49"/>
        <v>South</v>
      </c>
      <c r="R146" t="s">
        <v>62</v>
      </c>
      <c r="S146" t="s">
        <v>63</v>
      </c>
      <c r="T146" t="s">
        <v>85</v>
      </c>
      <c r="U146" s="3" t="str">
        <f t="shared" si="50"/>
        <v>Technology</v>
      </c>
      <c r="V146" t="s">
        <v>86</v>
      </c>
      <c r="W146" t="s">
        <v>811</v>
      </c>
      <c r="X146" t="s">
        <v>55</v>
      </c>
      <c r="Y146" s="3" t="str">
        <f t="shared" si="51"/>
        <v>First Class</v>
      </c>
      <c r="Z146">
        <v>7</v>
      </c>
      <c r="AA146">
        <v>2147.9899999999998</v>
      </c>
      <c r="AB146">
        <v>0.25</v>
      </c>
      <c r="AC146">
        <f t="shared" si="52"/>
        <v>0.25</v>
      </c>
      <c r="AD146" t="str">
        <f t="shared" si="55"/>
        <v>Valid</v>
      </c>
      <c r="AE146">
        <v>11276.95</v>
      </c>
      <c r="AF146">
        <v>6908.76</v>
      </c>
      <c r="AG146">
        <v>4368.1899999999996</v>
      </c>
      <c r="AH146" t="s">
        <v>123</v>
      </c>
      <c r="AI146" t="str">
        <f t="shared" si="56"/>
        <v>Include</v>
      </c>
      <c r="AJ146" t="str">
        <f t="shared" si="57"/>
        <v>Refunded Order</v>
      </c>
      <c r="AK146" t="s">
        <v>124</v>
      </c>
      <c r="AL146" t="str">
        <f t="shared" si="53"/>
        <v>Returned</v>
      </c>
      <c r="AM146" t="str">
        <f t="shared" si="58"/>
        <v>Include</v>
      </c>
      <c r="AN146">
        <f t="shared" si="59"/>
        <v>11276.947499999998</v>
      </c>
      <c r="AO146">
        <f t="shared" si="60"/>
        <v>4368.1874999999982</v>
      </c>
      <c r="AP146">
        <f>IF(AN146=0,0,AO146/AN146)</f>
        <v>0.38735548782150481</v>
      </c>
      <c r="AQ146" t="str">
        <f t="shared" si="61"/>
        <v>June</v>
      </c>
      <c r="AR146">
        <f t="shared" si="62"/>
        <v>2024</v>
      </c>
      <c r="AS146" t="str">
        <f t="shared" si="63"/>
        <v>Clean</v>
      </c>
      <c r="AT146" t="str">
        <f>IF(OR(AC146&lt;0,AC146&gt;0.5),"Invalid Discount","Valid")</f>
        <v>Valid</v>
      </c>
      <c r="AU146" t="str">
        <f>IF(G146&lt;E146,"Invalid Shipping Record","Valid")</f>
        <v>Valid</v>
      </c>
      <c r="AV146" t="str">
        <f>IF(OR(AL146="Cancelled",AH146="Failed"),"Exclude","Include")</f>
        <v>Include</v>
      </c>
      <c r="AW146" t="str">
        <f t="shared" si="64"/>
        <v>Match</v>
      </c>
      <c r="AX146" t="str">
        <f t="shared" si="65"/>
        <v>Match</v>
      </c>
    </row>
    <row r="147" spans="1:50">
      <c r="A147" t="s">
        <v>812</v>
      </c>
      <c r="B147">
        <f t="shared" si="44"/>
        <v>1</v>
      </c>
      <c r="C147" t="str">
        <f t="shared" si="54"/>
        <v/>
      </c>
      <c r="D147" s="3" t="s">
        <v>813</v>
      </c>
      <c r="E147" s="7">
        <v>45758</v>
      </c>
      <c r="F147" s="3" t="s">
        <v>814</v>
      </c>
      <c r="G147" s="7">
        <v>45760</v>
      </c>
      <c r="H147" s="7" t="str">
        <f t="shared" si="45"/>
        <v>Valid</v>
      </c>
      <c r="I147" s="9">
        <f t="shared" si="46"/>
        <v>2</v>
      </c>
      <c r="J147" s="9" t="str">
        <f t="shared" si="47"/>
        <v>Valid</v>
      </c>
      <c r="K147" t="s">
        <v>815</v>
      </c>
      <c r="L147" t="s">
        <v>39</v>
      </c>
      <c r="M147" t="s">
        <v>39</v>
      </c>
      <c r="N147" t="s">
        <v>40</v>
      </c>
      <c r="O147" s="3" t="str">
        <f t="shared" si="48"/>
        <v>Small Business</v>
      </c>
      <c r="P147" t="s">
        <v>72</v>
      </c>
      <c r="Q147" s="3" t="str">
        <f t="shared" si="49"/>
        <v>West</v>
      </c>
      <c r="R147" t="s">
        <v>248</v>
      </c>
      <c r="S147" t="s">
        <v>249</v>
      </c>
      <c r="T147" t="s">
        <v>29</v>
      </c>
      <c r="U147" s="3" t="str">
        <f t="shared" si="50"/>
        <v>Office Supplies</v>
      </c>
      <c r="V147" t="s">
        <v>30</v>
      </c>
      <c r="W147" t="s">
        <v>816</v>
      </c>
      <c r="X147" t="s">
        <v>66</v>
      </c>
      <c r="Y147" s="3" t="str">
        <f t="shared" si="51"/>
        <v>Standard Class</v>
      </c>
      <c r="Z147">
        <v>4</v>
      </c>
      <c r="AA147">
        <v>4182.1499999999996</v>
      </c>
      <c r="AB147">
        <v>0.1</v>
      </c>
      <c r="AC147">
        <f t="shared" si="52"/>
        <v>0.1</v>
      </c>
      <c r="AD147" t="str">
        <f t="shared" si="55"/>
        <v>Valid</v>
      </c>
      <c r="AE147">
        <v>15055.74</v>
      </c>
      <c r="AF147">
        <v>9808.83</v>
      </c>
      <c r="AG147">
        <v>5246.91</v>
      </c>
      <c r="AH147" t="s">
        <v>33</v>
      </c>
      <c r="AI147" t="str">
        <f t="shared" si="56"/>
        <v>Include</v>
      </c>
      <c r="AJ147" t="str">
        <f t="shared" si="57"/>
        <v/>
      </c>
      <c r="AK147" t="s">
        <v>34</v>
      </c>
      <c r="AL147" t="str">
        <f t="shared" si="53"/>
        <v>Completed</v>
      </c>
      <c r="AM147" t="str">
        <f t="shared" si="58"/>
        <v>Include</v>
      </c>
      <c r="AN147">
        <f t="shared" si="59"/>
        <v>15055.74</v>
      </c>
      <c r="AO147">
        <f t="shared" si="60"/>
        <v>5246.91</v>
      </c>
      <c r="AP147">
        <f>IF(AN147=0,0,AO147/AN147)</f>
        <v>0.34849897779850075</v>
      </c>
      <c r="AQ147" t="str">
        <f t="shared" si="61"/>
        <v>April</v>
      </c>
      <c r="AR147">
        <f t="shared" si="62"/>
        <v>2025</v>
      </c>
      <c r="AS147" t="str">
        <f t="shared" si="63"/>
        <v>Clean</v>
      </c>
      <c r="AT147" t="str">
        <f>IF(OR(AC147&lt;0,AC147&gt;0.5),"Invalid Discount","Valid")</f>
        <v>Valid</v>
      </c>
      <c r="AU147" t="str">
        <f>IF(G147&lt;E147,"Invalid Shipping Record","Valid")</f>
        <v>Valid</v>
      </c>
      <c r="AV147" t="str">
        <f>IF(OR(AL147="Cancelled",AH147="Failed"),"Exclude","Include")</f>
        <v>Include</v>
      </c>
      <c r="AW147" t="str">
        <f t="shared" si="64"/>
        <v>Match</v>
      </c>
      <c r="AX147" t="str">
        <f t="shared" si="65"/>
        <v>Match</v>
      </c>
    </row>
    <row r="148" spans="1:50">
      <c r="A148" t="s">
        <v>817</v>
      </c>
      <c r="B148">
        <f t="shared" si="44"/>
        <v>1</v>
      </c>
      <c r="C148" t="str">
        <f t="shared" si="54"/>
        <v/>
      </c>
      <c r="D148" s="3" t="s">
        <v>818</v>
      </c>
      <c r="E148" s="7">
        <v>45868</v>
      </c>
      <c r="F148" s="3" t="s">
        <v>819</v>
      </c>
      <c r="G148" s="7">
        <v>45870</v>
      </c>
      <c r="H148" s="7" t="str">
        <f t="shared" si="45"/>
        <v>Valid</v>
      </c>
      <c r="I148" s="9">
        <f t="shared" si="46"/>
        <v>2</v>
      </c>
      <c r="J148" s="9" t="str">
        <f t="shared" si="47"/>
        <v>Valid</v>
      </c>
      <c r="K148" t="s">
        <v>820</v>
      </c>
      <c r="L148" t="s">
        <v>167</v>
      </c>
      <c r="M148" t="s">
        <v>167</v>
      </c>
      <c r="N148" t="s">
        <v>40</v>
      </c>
      <c r="O148" s="3" t="str">
        <f t="shared" si="48"/>
        <v>Small Business</v>
      </c>
      <c r="P148" t="s">
        <v>61</v>
      </c>
      <c r="Q148" s="3" t="str">
        <f t="shared" si="49"/>
        <v>South</v>
      </c>
      <c r="R148" t="s">
        <v>338</v>
      </c>
      <c r="S148" t="s">
        <v>339</v>
      </c>
      <c r="T148" t="s">
        <v>29</v>
      </c>
      <c r="U148" s="3" t="str">
        <f t="shared" si="50"/>
        <v>Office Supplies</v>
      </c>
      <c r="V148" t="s">
        <v>155</v>
      </c>
      <c r="W148" t="s">
        <v>821</v>
      </c>
      <c r="X148" t="s">
        <v>47</v>
      </c>
      <c r="Y148" s="3" t="str">
        <f t="shared" si="51"/>
        <v>Same Day</v>
      </c>
      <c r="Z148">
        <v>9</v>
      </c>
      <c r="AA148">
        <v>3165.43</v>
      </c>
      <c r="AB148">
        <v>0.1</v>
      </c>
      <c r="AC148">
        <f t="shared" si="52"/>
        <v>0.1</v>
      </c>
      <c r="AD148" t="str">
        <f t="shared" si="55"/>
        <v>Valid</v>
      </c>
      <c r="AE148">
        <v>25639.98</v>
      </c>
      <c r="AF148">
        <v>21635.08</v>
      </c>
      <c r="AG148">
        <v>4004.9</v>
      </c>
      <c r="AH148" t="s">
        <v>33</v>
      </c>
      <c r="AI148" t="str">
        <f t="shared" si="56"/>
        <v>Include</v>
      </c>
      <c r="AJ148" t="str">
        <f t="shared" si="57"/>
        <v/>
      </c>
      <c r="AK148" t="s">
        <v>34</v>
      </c>
      <c r="AL148" t="str">
        <f t="shared" si="53"/>
        <v>Completed</v>
      </c>
      <c r="AM148" t="str">
        <f t="shared" si="58"/>
        <v>Include</v>
      </c>
      <c r="AN148">
        <f t="shared" si="59"/>
        <v>25639.983</v>
      </c>
      <c r="AO148">
        <f t="shared" si="60"/>
        <v>4004.9029999999984</v>
      </c>
      <c r="AP148">
        <f>IF(AN148=0,0,AO148/AN148)</f>
        <v>0.1561975684617263</v>
      </c>
      <c r="AQ148" t="str">
        <f t="shared" si="61"/>
        <v>July</v>
      </c>
      <c r="AR148">
        <f t="shared" si="62"/>
        <v>2025</v>
      </c>
      <c r="AS148" t="str">
        <f t="shared" si="63"/>
        <v>Clean</v>
      </c>
      <c r="AT148" t="str">
        <f>IF(OR(AC148&lt;0,AC148&gt;0.5),"Invalid Discount","Valid")</f>
        <v>Valid</v>
      </c>
      <c r="AU148" t="str">
        <f>IF(G148&lt;E148,"Invalid Shipping Record","Valid")</f>
        <v>Valid</v>
      </c>
      <c r="AV148" t="str">
        <f>IF(OR(AL148="Cancelled",AH148="Failed"),"Exclude","Include")</f>
        <v>Include</v>
      </c>
      <c r="AW148" t="str">
        <f t="shared" si="64"/>
        <v>Match</v>
      </c>
      <c r="AX148" t="str">
        <f t="shared" si="65"/>
        <v>Match</v>
      </c>
    </row>
    <row r="149" spans="1:50">
      <c r="A149" t="s">
        <v>822</v>
      </c>
      <c r="B149">
        <f t="shared" si="44"/>
        <v>1</v>
      </c>
      <c r="C149" t="str">
        <f t="shared" si="54"/>
        <v/>
      </c>
      <c r="D149" s="3" t="s">
        <v>823</v>
      </c>
      <c r="E149" s="7">
        <v>45649</v>
      </c>
      <c r="F149" s="3" t="s">
        <v>824</v>
      </c>
      <c r="G149" s="7">
        <v>45656</v>
      </c>
      <c r="H149" s="7" t="str">
        <f t="shared" si="45"/>
        <v>Valid</v>
      </c>
      <c r="I149" s="9">
        <f t="shared" si="46"/>
        <v>7</v>
      </c>
      <c r="J149" s="9" t="str">
        <f t="shared" si="47"/>
        <v>Valid</v>
      </c>
      <c r="K149" t="s">
        <v>825</v>
      </c>
      <c r="L149" t="s">
        <v>141</v>
      </c>
      <c r="M149" t="s">
        <v>141</v>
      </c>
      <c r="N149" t="s">
        <v>114</v>
      </c>
      <c r="O149" s="3" t="str">
        <f t="shared" si="48"/>
        <v>Home Office</v>
      </c>
      <c r="P149" t="s">
        <v>72</v>
      </c>
      <c r="Q149" s="3" t="str">
        <f t="shared" si="49"/>
        <v>West</v>
      </c>
      <c r="R149" t="s">
        <v>248</v>
      </c>
      <c r="S149" t="s">
        <v>249</v>
      </c>
      <c r="T149" t="s">
        <v>44</v>
      </c>
      <c r="U149" s="3" t="str">
        <f t="shared" si="50"/>
        <v>Furniture</v>
      </c>
      <c r="V149" t="s">
        <v>64</v>
      </c>
      <c r="W149" t="s">
        <v>826</v>
      </c>
      <c r="X149" t="s">
        <v>55</v>
      </c>
      <c r="Y149" s="3" t="str">
        <f t="shared" si="51"/>
        <v>First Class</v>
      </c>
      <c r="Z149">
        <v>8</v>
      </c>
      <c r="AA149">
        <v>386.1</v>
      </c>
      <c r="AB149">
        <v>0.1</v>
      </c>
      <c r="AC149">
        <f t="shared" si="52"/>
        <v>0.1</v>
      </c>
      <c r="AD149" t="str">
        <f t="shared" si="55"/>
        <v>Valid</v>
      </c>
      <c r="AE149">
        <v>2779.92</v>
      </c>
      <c r="AF149">
        <v>1744.05</v>
      </c>
      <c r="AG149">
        <v>1035.8699999999999</v>
      </c>
      <c r="AH149" t="s">
        <v>33</v>
      </c>
      <c r="AI149" t="str">
        <f t="shared" si="56"/>
        <v>Include</v>
      </c>
      <c r="AJ149" t="str">
        <f t="shared" si="57"/>
        <v/>
      </c>
      <c r="AK149" t="s">
        <v>34</v>
      </c>
      <c r="AL149" t="str">
        <f t="shared" si="53"/>
        <v>Completed</v>
      </c>
      <c r="AM149" t="str">
        <f t="shared" si="58"/>
        <v>Include</v>
      </c>
      <c r="AN149">
        <f t="shared" si="59"/>
        <v>2779.92</v>
      </c>
      <c r="AO149">
        <f t="shared" si="60"/>
        <v>1035.8700000000001</v>
      </c>
      <c r="AP149">
        <f>IF(AN149=0,0,AO149/AN149)</f>
        <v>0.37262583095916435</v>
      </c>
      <c r="AQ149" t="str">
        <f t="shared" si="61"/>
        <v>December</v>
      </c>
      <c r="AR149">
        <f t="shared" si="62"/>
        <v>2024</v>
      </c>
      <c r="AS149" t="str">
        <f t="shared" si="63"/>
        <v>Clean</v>
      </c>
      <c r="AT149" t="str">
        <f>IF(OR(AC149&lt;0,AC149&gt;0.5),"Invalid Discount","Valid")</f>
        <v>Valid</v>
      </c>
      <c r="AU149" t="str">
        <f>IF(G149&lt;E149,"Invalid Shipping Record","Valid")</f>
        <v>Valid</v>
      </c>
      <c r="AV149" t="str">
        <f>IF(OR(AL149="Cancelled",AH149="Failed"),"Exclude","Include")</f>
        <v>Include</v>
      </c>
      <c r="AW149" t="str">
        <f t="shared" si="64"/>
        <v>Match</v>
      </c>
      <c r="AX149" t="str">
        <f t="shared" si="65"/>
        <v>Match</v>
      </c>
    </row>
    <row r="150" spans="1:50">
      <c r="A150" t="s">
        <v>827</v>
      </c>
      <c r="B150">
        <f t="shared" si="44"/>
        <v>1</v>
      </c>
      <c r="C150" t="str">
        <f t="shared" si="54"/>
        <v/>
      </c>
      <c r="D150" s="3" t="s">
        <v>828</v>
      </c>
      <c r="E150" s="7">
        <v>45697</v>
      </c>
      <c r="F150" s="3" t="s">
        <v>829</v>
      </c>
      <c r="G150" s="7">
        <v>45701</v>
      </c>
      <c r="H150" s="7" t="str">
        <f t="shared" si="45"/>
        <v>Valid</v>
      </c>
      <c r="I150" s="9">
        <f t="shared" si="46"/>
        <v>4</v>
      </c>
      <c r="J150" s="9" t="str">
        <f t="shared" si="47"/>
        <v>Valid</v>
      </c>
      <c r="K150" t="s">
        <v>830</v>
      </c>
      <c r="L150" t="s">
        <v>39</v>
      </c>
      <c r="M150" t="s">
        <v>39</v>
      </c>
      <c r="N150" t="s">
        <v>114</v>
      </c>
      <c r="O150" s="3" t="str">
        <f t="shared" si="48"/>
        <v>Home Office</v>
      </c>
      <c r="P150" t="s">
        <v>72</v>
      </c>
      <c r="Q150" s="3" t="str">
        <f t="shared" si="49"/>
        <v>West</v>
      </c>
      <c r="R150" t="s">
        <v>83</v>
      </c>
      <c r="S150" t="s">
        <v>84</v>
      </c>
      <c r="T150" t="s">
        <v>85</v>
      </c>
      <c r="U150" s="3" t="str">
        <f t="shared" si="50"/>
        <v>Technology</v>
      </c>
      <c r="V150" t="s">
        <v>222</v>
      </c>
      <c r="W150" t="s">
        <v>831</v>
      </c>
      <c r="Y150" s="3" t="str">
        <f t="shared" si="51"/>
        <v>Unknown</v>
      </c>
      <c r="Z150">
        <v>8</v>
      </c>
      <c r="AA150">
        <v>1696.07</v>
      </c>
      <c r="AB150">
        <v>0.25</v>
      </c>
      <c r="AC150">
        <f t="shared" si="52"/>
        <v>0.25</v>
      </c>
      <c r="AD150" t="str">
        <f t="shared" si="55"/>
        <v>Valid</v>
      </c>
      <c r="AE150">
        <v>10176.42</v>
      </c>
      <c r="AF150">
        <v>7604.47</v>
      </c>
      <c r="AG150">
        <v>2571.9499999999998</v>
      </c>
      <c r="AH150" t="s">
        <v>33</v>
      </c>
      <c r="AI150" t="str">
        <f t="shared" si="56"/>
        <v>Include</v>
      </c>
      <c r="AJ150" t="str">
        <f t="shared" si="57"/>
        <v/>
      </c>
      <c r="AK150" t="s">
        <v>34</v>
      </c>
      <c r="AL150" t="str">
        <f t="shared" si="53"/>
        <v>Completed</v>
      </c>
      <c r="AM150" t="str">
        <f t="shared" si="58"/>
        <v>Include</v>
      </c>
      <c r="AN150">
        <f t="shared" si="59"/>
        <v>10176.42</v>
      </c>
      <c r="AO150">
        <f t="shared" si="60"/>
        <v>2571.9499999999998</v>
      </c>
      <c r="AP150">
        <f>IF(AN150=0,0,AO150/AN150)</f>
        <v>0.252736227474888</v>
      </c>
      <c r="AQ150" t="str">
        <f t="shared" si="61"/>
        <v>February</v>
      </c>
      <c r="AR150">
        <f t="shared" si="62"/>
        <v>2025</v>
      </c>
      <c r="AS150" t="str">
        <f t="shared" si="63"/>
        <v>Warning</v>
      </c>
      <c r="AT150" t="str">
        <f>IF(OR(AC150&lt;0,AC150&gt;0.5),"Invalid Discount","Valid")</f>
        <v>Valid</v>
      </c>
      <c r="AU150" t="str">
        <f>IF(G150&lt;E150,"Invalid Shipping Record","Valid")</f>
        <v>Valid</v>
      </c>
      <c r="AV150" t="str">
        <f>IF(OR(AL150="Cancelled",AH150="Failed"),"Exclude","Include")</f>
        <v>Include</v>
      </c>
      <c r="AW150" t="str">
        <f t="shared" si="64"/>
        <v>Match</v>
      </c>
      <c r="AX150" t="str">
        <f t="shared" si="65"/>
        <v>Match</v>
      </c>
    </row>
    <row r="151" spans="1:50">
      <c r="A151" t="s">
        <v>832</v>
      </c>
      <c r="B151">
        <f t="shared" si="44"/>
        <v>1</v>
      </c>
      <c r="C151" t="str">
        <f t="shared" si="54"/>
        <v/>
      </c>
      <c r="D151" s="3" t="s">
        <v>833</v>
      </c>
      <c r="E151" s="7">
        <v>45321</v>
      </c>
      <c r="F151" s="3" t="s">
        <v>833</v>
      </c>
      <c r="G151" s="7">
        <v>45321</v>
      </c>
      <c r="H151" s="7" t="str">
        <f t="shared" si="45"/>
        <v>Valid</v>
      </c>
      <c r="I151" s="9">
        <f t="shared" si="46"/>
        <v>0</v>
      </c>
      <c r="J151" s="9" t="str">
        <f t="shared" si="47"/>
        <v>Valid</v>
      </c>
      <c r="K151" t="s">
        <v>834</v>
      </c>
      <c r="L151" t="s">
        <v>161</v>
      </c>
      <c r="M151" t="s">
        <v>161</v>
      </c>
      <c r="N151" t="s">
        <v>40</v>
      </c>
      <c r="O151" s="3" t="str">
        <f t="shared" si="48"/>
        <v>Small Business</v>
      </c>
      <c r="P151" t="s">
        <v>835</v>
      </c>
      <c r="Q151" s="3" t="str">
        <f t="shared" si="49"/>
        <v>West</v>
      </c>
      <c r="R151" t="s">
        <v>27</v>
      </c>
      <c r="S151" t="s">
        <v>134</v>
      </c>
      <c r="T151" t="s">
        <v>85</v>
      </c>
      <c r="U151" s="3" t="str">
        <f t="shared" si="50"/>
        <v>Technology</v>
      </c>
      <c r="V151" t="s">
        <v>93</v>
      </c>
      <c r="W151" t="s">
        <v>836</v>
      </c>
      <c r="X151" t="s">
        <v>47</v>
      </c>
      <c r="Y151" s="3" t="str">
        <f t="shared" si="51"/>
        <v>Same Day</v>
      </c>
      <c r="Z151">
        <v>7</v>
      </c>
      <c r="AA151">
        <v>2527.61</v>
      </c>
      <c r="AB151">
        <v>0.25</v>
      </c>
      <c r="AC151">
        <f t="shared" si="52"/>
        <v>0.25</v>
      </c>
      <c r="AD151" t="str">
        <f t="shared" si="55"/>
        <v>Valid</v>
      </c>
      <c r="AE151">
        <v>13269.95</v>
      </c>
      <c r="AF151">
        <v>8977.1</v>
      </c>
      <c r="AG151">
        <v>4292.8500000000004</v>
      </c>
      <c r="AH151" t="s">
        <v>33</v>
      </c>
      <c r="AI151" t="str">
        <f t="shared" si="56"/>
        <v>Include</v>
      </c>
      <c r="AJ151" t="str">
        <f t="shared" si="57"/>
        <v/>
      </c>
      <c r="AK151" t="s">
        <v>34</v>
      </c>
      <c r="AL151" t="str">
        <f t="shared" si="53"/>
        <v>Completed</v>
      </c>
      <c r="AM151" t="str">
        <f t="shared" si="58"/>
        <v>Include</v>
      </c>
      <c r="AN151">
        <f t="shared" si="59"/>
        <v>13269.952499999999</v>
      </c>
      <c r="AO151">
        <f t="shared" si="60"/>
        <v>4292.8524999999991</v>
      </c>
      <c r="AP151">
        <f>IF(AN151=0,0,AO151/AN151)</f>
        <v>0.32350172315989822</v>
      </c>
      <c r="AQ151" t="str">
        <f t="shared" si="61"/>
        <v>January</v>
      </c>
      <c r="AR151">
        <f t="shared" si="62"/>
        <v>2024</v>
      </c>
      <c r="AS151" t="str">
        <f t="shared" si="63"/>
        <v>Clean</v>
      </c>
      <c r="AT151" t="str">
        <f>IF(OR(AC151&lt;0,AC151&gt;0.5),"Invalid Discount","Valid")</f>
        <v>Valid</v>
      </c>
      <c r="AU151" t="str">
        <f>IF(G151&lt;E151,"Invalid Shipping Record","Valid")</f>
        <v>Valid</v>
      </c>
      <c r="AV151" t="str">
        <f>IF(OR(AL151="Cancelled",AH151="Failed"),"Exclude","Include")</f>
        <v>Include</v>
      </c>
      <c r="AW151" t="str">
        <f t="shared" si="64"/>
        <v>Match</v>
      </c>
      <c r="AX151" t="str">
        <f t="shared" si="65"/>
        <v>Match</v>
      </c>
    </row>
    <row r="152" spans="1:50">
      <c r="A152" t="s">
        <v>837</v>
      </c>
      <c r="B152">
        <f t="shared" si="44"/>
        <v>1</v>
      </c>
      <c r="C152" t="str">
        <f t="shared" si="54"/>
        <v/>
      </c>
      <c r="D152" s="3" t="s">
        <v>838</v>
      </c>
      <c r="E152" s="7">
        <v>45355</v>
      </c>
      <c r="F152" s="3" t="s">
        <v>839</v>
      </c>
      <c r="G152" s="7">
        <v>45363</v>
      </c>
      <c r="H152" s="7" t="str">
        <f t="shared" si="45"/>
        <v>Valid</v>
      </c>
      <c r="I152" s="9">
        <f t="shared" si="46"/>
        <v>8</v>
      </c>
      <c r="J152" s="9" t="str">
        <f t="shared" si="47"/>
        <v>Valid</v>
      </c>
      <c r="K152" t="s">
        <v>840</v>
      </c>
      <c r="L152" t="s">
        <v>60</v>
      </c>
      <c r="M152" t="s">
        <v>60</v>
      </c>
      <c r="N152" t="s">
        <v>25</v>
      </c>
      <c r="O152" s="3" t="str">
        <f t="shared" si="48"/>
        <v>Consumer</v>
      </c>
      <c r="Q152" s="3" t="str">
        <f t="shared" si="49"/>
        <v>Unknown</v>
      </c>
      <c r="R152" t="s">
        <v>234</v>
      </c>
      <c r="S152" t="s">
        <v>235</v>
      </c>
      <c r="T152" t="s">
        <v>44</v>
      </c>
      <c r="U152" s="3" t="str">
        <f t="shared" si="50"/>
        <v>Furniture</v>
      </c>
      <c r="V152" t="s">
        <v>203</v>
      </c>
      <c r="W152" t="s">
        <v>841</v>
      </c>
      <c r="X152" t="s">
        <v>55</v>
      </c>
      <c r="Y152" s="3" t="str">
        <f t="shared" si="51"/>
        <v>First Class</v>
      </c>
      <c r="Z152">
        <v>1</v>
      </c>
      <c r="AA152">
        <v>1554.12</v>
      </c>
      <c r="AB152">
        <v>0.1</v>
      </c>
      <c r="AC152">
        <f t="shared" si="52"/>
        <v>0.1</v>
      </c>
      <c r="AD152" t="str">
        <f t="shared" si="55"/>
        <v>Valid</v>
      </c>
      <c r="AE152">
        <v>1398.71</v>
      </c>
      <c r="AF152">
        <v>1056.92</v>
      </c>
      <c r="AG152">
        <v>341.79</v>
      </c>
      <c r="AH152" t="s">
        <v>33</v>
      </c>
      <c r="AI152" t="str">
        <f t="shared" si="56"/>
        <v>Include</v>
      </c>
      <c r="AJ152" t="str">
        <f t="shared" si="57"/>
        <v/>
      </c>
      <c r="AK152" t="s">
        <v>34</v>
      </c>
      <c r="AL152" t="str">
        <f t="shared" si="53"/>
        <v>Completed</v>
      </c>
      <c r="AM152" t="str">
        <f t="shared" si="58"/>
        <v>Include</v>
      </c>
      <c r="AN152">
        <f t="shared" si="59"/>
        <v>1398.7079999999999</v>
      </c>
      <c r="AO152">
        <f t="shared" si="60"/>
        <v>341.78799999999978</v>
      </c>
      <c r="AP152">
        <f>IF(AN152=0,0,AO152/AN152)</f>
        <v>0.24435979489643286</v>
      </c>
      <c r="AQ152" t="str">
        <f t="shared" si="61"/>
        <v>March</v>
      </c>
      <c r="AR152">
        <f t="shared" si="62"/>
        <v>2024</v>
      </c>
      <c r="AS152" t="str">
        <f t="shared" si="63"/>
        <v>Warning</v>
      </c>
      <c r="AT152" t="str">
        <f>IF(OR(AC152&lt;0,AC152&gt;0.5),"Invalid Discount","Valid")</f>
        <v>Valid</v>
      </c>
      <c r="AU152" t="str">
        <f>IF(G152&lt;E152,"Invalid Shipping Record","Valid")</f>
        <v>Valid</v>
      </c>
      <c r="AV152" t="str">
        <f>IF(OR(AL152="Cancelled",AH152="Failed"),"Exclude","Include")</f>
        <v>Include</v>
      </c>
      <c r="AW152" t="str">
        <f t="shared" si="64"/>
        <v>Match</v>
      </c>
      <c r="AX152" t="str">
        <f t="shared" si="65"/>
        <v>Match</v>
      </c>
    </row>
    <row r="153" spans="1:50">
      <c r="A153" t="s">
        <v>842</v>
      </c>
      <c r="B153">
        <f t="shared" si="44"/>
        <v>1</v>
      </c>
      <c r="C153" t="str">
        <f t="shared" si="54"/>
        <v/>
      </c>
      <c r="D153" s="3" t="s">
        <v>843</v>
      </c>
      <c r="E153" s="7">
        <v>45470</v>
      </c>
      <c r="F153" s="3" t="s">
        <v>844</v>
      </c>
      <c r="G153" s="7">
        <v>45470</v>
      </c>
      <c r="H153" s="7" t="str">
        <f t="shared" si="45"/>
        <v>Valid</v>
      </c>
      <c r="I153" s="9">
        <f t="shared" si="46"/>
        <v>0</v>
      </c>
      <c r="J153" s="9" t="str">
        <f t="shared" si="47"/>
        <v>Valid</v>
      </c>
      <c r="K153" t="s">
        <v>845</v>
      </c>
      <c r="L153" t="s">
        <v>92</v>
      </c>
      <c r="M153" t="s">
        <v>92</v>
      </c>
      <c r="N153" t="s">
        <v>114</v>
      </c>
      <c r="O153" s="3" t="str">
        <f t="shared" si="48"/>
        <v>Home Office</v>
      </c>
      <c r="Q153" s="3" t="str">
        <f t="shared" si="49"/>
        <v>Unknown</v>
      </c>
      <c r="R153" t="s">
        <v>83</v>
      </c>
      <c r="S153" t="s">
        <v>84</v>
      </c>
      <c r="T153" t="s">
        <v>85</v>
      </c>
      <c r="U153" s="3" t="str">
        <f t="shared" si="50"/>
        <v>Technology</v>
      </c>
      <c r="V153" t="s">
        <v>93</v>
      </c>
      <c r="W153" t="s">
        <v>846</v>
      </c>
      <c r="X153" t="s">
        <v>66</v>
      </c>
      <c r="Y153" s="3" t="str">
        <f t="shared" si="51"/>
        <v>Standard Class</v>
      </c>
      <c r="Z153">
        <v>2</v>
      </c>
      <c r="AA153">
        <v>3859.11</v>
      </c>
      <c r="AB153">
        <v>0</v>
      </c>
      <c r="AC153">
        <f t="shared" si="52"/>
        <v>0</v>
      </c>
      <c r="AD153" t="str">
        <f t="shared" si="55"/>
        <v>Valid</v>
      </c>
      <c r="AE153">
        <v>7718.22</v>
      </c>
      <c r="AF153">
        <v>5355.93</v>
      </c>
      <c r="AG153">
        <v>2362.29</v>
      </c>
      <c r="AH153" t="s">
        <v>136</v>
      </c>
      <c r="AI153" t="str">
        <f t="shared" si="56"/>
        <v>Include</v>
      </c>
      <c r="AJ153" t="str">
        <f t="shared" si="57"/>
        <v/>
      </c>
      <c r="AK153" t="s">
        <v>124</v>
      </c>
      <c r="AL153" t="str">
        <f t="shared" si="53"/>
        <v>Returned</v>
      </c>
      <c r="AM153" t="str">
        <f t="shared" si="58"/>
        <v>Include</v>
      </c>
      <c r="AN153">
        <f t="shared" si="59"/>
        <v>7718.22</v>
      </c>
      <c r="AO153">
        <f t="shared" si="60"/>
        <v>2362.29</v>
      </c>
      <c r="AP153">
        <f>IF(AN153=0,0,AO153/AN153)</f>
        <v>0.30606668376905555</v>
      </c>
      <c r="AQ153" t="str">
        <f t="shared" si="61"/>
        <v>June</v>
      </c>
      <c r="AR153">
        <f t="shared" si="62"/>
        <v>2024</v>
      </c>
      <c r="AS153" t="str">
        <f t="shared" si="63"/>
        <v>Warning</v>
      </c>
      <c r="AT153" t="str">
        <f>IF(OR(AC153&lt;0,AC153&gt;0.5),"Invalid Discount","Valid")</f>
        <v>Valid</v>
      </c>
      <c r="AU153" t="str">
        <f>IF(G153&lt;E153,"Invalid Shipping Record","Valid")</f>
        <v>Valid</v>
      </c>
      <c r="AV153" t="str">
        <f>IF(OR(AL153="Cancelled",AH153="Failed"),"Exclude","Include")</f>
        <v>Include</v>
      </c>
      <c r="AW153" t="str">
        <f t="shared" si="64"/>
        <v>Match</v>
      </c>
      <c r="AX153" t="str">
        <f t="shared" si="65"/>
        <v>Match</v>
      </c>
    </row>
    <row r="154" spans="1:50">
      <c r="A154" t="s">
        <v>847</v>
      </c>
      <c r="B154">
        <f t="shared" si="44"/>
        <v>1</v>
      </c>
      <c r="C154" t="str">
        <f t="shared" si="54"/>
        <v/>
      </c>
      <c r="D154" s="3" t="s">
        <v>848</v>
      </c>
      <c r="E154" s="7">
        <v>45457</v>
      </c>
      <c r="F154" s="3" t="s">
        <v>849</v>
      </c>
      <c r="G154" s="7">
        <v>45460</v>
      </c>
      <c r="H154" s="7" t="str">
        <f t="shared" si="45"/>
        <v>Valid</v>
      </c>
      <c r="I154" s="9">
        <f t="shared" si="46"/>
        <v>3</v>
      </c>
      <c r="J154" s="9" t="str">
        <f t="shared" si="47"/>
        <v>Valid</v>
      </c>
      <c r="K154" t="s">
        <v>850</v>
      </c>
      <c r="L154" t="s">
        <v>365</v>
      </c>
      <c r="M154" t="s">
        <v>365</v>
      </c>
      <c r="N154" t="s">
        <v>40</v>
      </c>
      <c r="O154" s="3" t="str">
        <f t="shared" si="48"/>
        <v>Small Business</v>
      </c>
      <c r="P154" t="s">
        <v>61</v>
      </c>
      <c r="Q154" s="3" t="str">
        <f t="shared" si="49"/>
        <v>South</v>
      </c>
      <c r="R154" t="s">
        <v>241</v>
      </c>
      <c r="S154" t="s">
        <v>242</v>
      </c>
      <c r="T154" t="s">
        <v>44</v>
      </c>
      <c r="U154" s="3" t="str">
        <f t="shared" si="50"/>
        <v>Furniture</v>
      </c>
      <c r="V154" t="s">
        <v>45</v>
      </c>
      <c r="W154" t="s">
        <v>851</v>
      </c>
      <c r="X154" t="s">
        <v>32</v>
      </c>
      <c r="Y154" s="3" t="str">
        <f t="shared" si="51"/>
        <v>Second Class</v>
      </c>
      <c r="Z154">
        <v>6</v>
      </c>
      <c r="AA154">
        <v>1088.04</v>
      </c>
      <c r="AB154">
        <v>0.1</v>
      </c>
      <c r="AC154">
        <f t="shared" si="52"/>
        <v>0.1</v>
      </c>
      <c r="AD154" t="str">
        <f t="shared" si="55"/>
        <v>Valid</v>
      </c>
      <c r="AE154">
        <v>5875.42</v>
      </c>
      <c r="AF154">
        <v>4380.55</v>
      </c>
      <c r="AG154">
        <v>1494.87</v>
      </c>
      <c r="AH154" t="s">
        <v>136</v>
      </c>
      <c r="AI154" t="str">
        <f t="shared" si="56"/>
        <v>Include</v>
      </c>
      <c r="AJ154" t="str">
        <f t="shared" si="57"/>
        <v/>
      </c>
      <c r="AK154" t="s">
        <v>124</v>
      </c>
      <c r="AL154" t="str">
        <f t="shared" si="53"/>
        <v>Returned</v>
      </c>
      <c r="AM154" t="str">
        <f t="shared" si="58"/>
        <v>Include</v>
      </c>
      <c r="AN154">
        <f t="shared" si="59"/>
        <v>5875.4160000000002</v>
      </c>
      <c r="AO154">
        <f t="shared" si="60"/>
        <v>1494.866</v>
      </c>
      <c r="AP154">
        <f>IF(AN154=0,0,AO154/AN154)</f>
        <v>0.25442726098032886</v>
      </c>
      <c r="AQ154" t="str">
        <f t="shared" si="61"/>
        <v>June</v>
      </c>
      <c r="AR154">
        <f t="shared" si="62"/>
        <v>2024</v>
      </c>
      <c r="AS154" t="str">
        <f t="shared" si="63"/>
        <v>Clean</v>
      </c>
      <c r="AT154" t="str">
        <f>IF(OR(AC154&lt;0,AC154&gt;0.5),"Invalid Discount","Valid")</f>
        <v>Valid</v>
      </c>
      <c r="AU154" t="str">
        <f>IF(G154&lt;E154,"Invalid Shipping Record","Valid")</f>
        <v>Valid</v>
      </c>
      <c r="AV154" t="str">
        <f>IF(OR(AL154="Cancelled",AH154="Failed"),"Exclude","Include")</f>
        <v>Include</v>
      </c>
      <c r="AW154" t="str">
        <f t="shared" si="64"/>
        <v>Match</v>
      </c>
      <c r="AX154" t="str">
        <f t="shared" si="65"/>
        <v>Match</v>
      </c>
    </row>
    <row r="155" spans="1:50">
      <c r="A155" t="s">
        <v>852</v>
      </c>
      <c r="B155">
        <f t="shared" si="44"/>
        <v>1</v>
      </c>
      <c r="C155" t="str">
        <f t="shared" si="54"/>
        <v/>
      </c>
      <c r="D155" s="3" t="s">
        <v>853</v>
      </c>
      <c r="E155" s="7">
        <v>45923</v>
      </c>
      <c r="F155" s="3" t="s">
        <v>854</v>
      </c>
      <c r="G155" s="7">
        <v>45925</v>
      </c>
      <c r="H155" s="7" t="str">
        <f t="shared" si="45"/>
        <v>Valid</v>
      </c>
      <c r="I155" s="9">
        <f t="shared" si="46"/>
        <v>2</v>
      </c>
      <c r="J155" s="9" t="str">
        <f t="shared" si="47"/>
        <v>Valid</v>
      </c>
      <c r="K155" t="s">
        <v>855</v>
      </c>
      <c r="L155" t="s">
        <v>106</v>
      </c>
      <c r="M155" t="s">
        <v>106</v>
      </c>
      <c r="N155" t="s">
        <v>25</v>
      </c>
      <c r="O155" s="3" t="str">
        <f t="shared" si="48"/>
        <v>Consumer</v>
      </c>
      <c r="P155" t="s">
        <v>41</v>
      </c>
      <c r="Q155" s="3" t="str">
        <f t="shared" si="49"/>
        <v>East</v>
      </c>
      <c r="R155" t="s">
        <v>42</v>
      </c>
      <c r="S155" t="s">
        <v>43</v>
      </c>
      <c r="T155" t="s">
        <v>29</v>
      </c>
      <c r="U155" s="3" t="str">
        <f t="shared" si="50"/>
        <v>Office Supplies</v>
      </c>
      <c r="V155" t="s">
        <v>108</v>
      </c>
      <c r="W155" t="s">
        <v>856</v>
      </c>
      <c r="X155" t="s">
        <v>66</v>
      </c>
      <c r="Y155" s="3" t="str">
        <f t="shared" si="51"/>
        <v>Standard Class</v>
      </c>
      <c r="Z155">
        <v>7</v>
      </c>
      <c r="AA155">
        <v>3280.31</v>
      </c>
      <c r="AB155">
        <v>0</v>
      </c>
      <c r="AC155">
        <f t="shared" si="52"/>
        <v>0</v>
      </c>
      <c r="AD155" t="str">
        <f t="shared" si="55"/>
        <v>Valid</v>
      </c>
      <c r="AE155">
        <v>22962.17</v>
      </c>
      <c r="AF155">
        <v>15716.5</v>
      </c>
      <c r="AG155">
        <v>7245.67</v>
      </c>
      <c r="AH155" t="s">
        <v>123</v>
      </c>
      <c r="AI155" t="str">
        <f t="shared" si="56"/>
        <v>Include</v>
      </c>
      <c r="AJ155" t="str">
        <f t="shared" si="57"/>
        <v>Refunded Order</v>
      </c>
      <c r="AK155" t="s">
        <v>124</v>
      </c>
      <c r="AL155" t="str">
        <f t="shared" si="53"/>
        <v>Returned</v>
      </c>
      <c r="AM155" t="str">
        <f t="shared" si="58"/>
        <v>Include</v>
      </c>
      <c r="AN155">
        <f t="shared" si="59"/>
        <v>22962.17</v>
      </c>
      <c r="AO155">
        <f t="shared" si="60"/>
        <v>7245.6699999999983</v>
      </c>
      <c r="AP155">
        <f>IF(AN155=0,0,AO155/AN155)</f>
        <v>0.31554813852523517</v>
      </c>
      <c r="AQ155" t="str">
        <f t="shared" si="61"/>
        <v>September</v>
      </c>
      <c r="AR155">
        <f t="shared" si="62"/>
        <v>2025</v>
      </c>
      <c r="AS155" t="str">
        <f t="shared" si="63"/>
        <v>Clean</v>
      </c>
      <c r="AT155" t="str">
        <f>IF(OR(AC155&lt;0,AC155&gt;0.5),"Invalid Discount","Valid")</f>
        <v>Valid</v>
      </c>
      <c r="AU155" t="str">
        <f>IF(G155&lt;E155,"Invalid Shipping Record","Valid")</f>
        <v>Valid</v>
      </c>
      <c r="AV155" t="str">
        <f>IF(OR(AL155="Cancelled",AH155="Failed"),"Exclude","Include")</f>
        <v>Include</v>
      </c>
      <c r="AW155" t="str">
        <f t="shared" si="64"/>
        <v>Match</v>
      </c>
      <c r="AX155" t="str">
        <f t="shared" si="65"/>
        <v>Match</v>
      </c>
    </row>
    <row r="156" spans="1:50">
      <c r="A156" t="s">
        <v>857</v>
      </c>
      <c r="B156">
        <f t="shared" ref="B156:B219" si="66">COUNTIF($A:$A,A156)</f>
        <v>1</v>
      </c>
      <c r="C156" t="str">
        <f t="shared" si="54"/>
        <v/>
      </c>
      <c r="D156" s="3" t="s">
        <v>858</v>
      </c>
      <c r="E156" s="7">
        <v>45334</v>
      </c>
      <c r="F156" s="3" t="s">
        <v>859</v>
      </c>
      <c r="G156" s="7">
        <v>45333</v>
      </c>
      <c r="H156" s="7" t="str">
        <f t="shared" si="45"/>
        <v>Invalid Shipping Record</v>
      </c>
      <c r="I156" s="9">
        <f t="shared" si="46"/>
        <v>-1</v>
      </c>
      <c r="J156" s="9" t="str">
        <f t="shared" si="47"/>
        <v>Invalid Shipping Record</v>
      </c>
      <c r="K156" t="s">
        <v>668</v>
      </c>
      <c r="L156" t="s">
        <v>141</v>
      </c>
      <c r="M156" t="s">
        <v>141</v>
      </c>
      <c r="N156" t="s">
        <v>25</v>
      </c>
      <c r="O156" s="3" t="str">
        <f t="shared" si="48"/>
        <v>Consumer</v>
      </c>
      <c r="P156" t="s">
        <v>61</v>
      </c>
      <c r="Q156" s="3" t="str">
        <f t="shared" si="49"/>
        <v>South</v>
      </c>
      <c r="R156" t="s">
        <v>338</v>
      </c>
      <c r="S156" t="s">
        <v>339</v>
      </c>
      <c r="T156" t="s">
        <v>44</v>
      </c>
      <c r="U156" s="3" t="str">
        <f t="shared" si="50"/>
        <v>Furniture</v>
      </c>
      <c r="V156" t="s">
        <v>203</v>
      </c>
      <c r="W156" t="s">
        <v>860</v>
      </c>
      <c r="X156" t="s">
        <v>47</v>
      </c>
      <c r="Y156" s="3" t="str">
        <f t="shared" si="51"/>
        <v>Same Day</v>
      </c>
      <c r="Z156">
        <v>1</v>
      </c>
      <c r="AA156">
        <v>2599.12</v>
      </c>
      <c r="AB156">
        <v>0.15</v>
      </c>
      <c r="AC156">
        <f t="shared" si="52"/>
        <v>0.15</v>
      </c>
      <c r="AD156" t="str">
        <f t="shared" si="55"/>
        <v>Valid</v>
      </c>
      <c r="AE156">
        <v>2209.25</v>
      </c>
      <c r="AF156">
        <v>1523.78</v>
      </c>
      <c r="AG156">
        <v>685.47</v>
      </c>
      <c r="AH156" t="s">
        <v>33</v>
      </c>
      <c r="AI156" t="str">
        <f t="shared" si="56"/>
        <v>Include</v>
      </c>
      <c r="AJ156" t="str">
        <f t="shared" si="57"/>
        <v/>
      </c>
      <c r="AK156" t="s">
        <v>34</v>
      </c>
      <c r="AL156" t="str">
        <f t="shared" si="53"/>
        <v>Completed</v>
      </c>
      <c r="AM156" t="str">
        <f t="shared" si="58"/>
        <v>Include</v>
      </c>
      <c r="AN156">
        <f t="shared" si="59"/>
        <v>2209.252</v>
      </c>
      <c r="AO156">
        <f t="shared" si="60"/>
        <v>685.47199999999998</v>
      </c>
      <c r="AP156">
        <f>IF(AN156=0,0,AO156/AN156)</f>
        <v>0.31027334138432372</v>
      </c>
      <c r="AQ156" t="str">
        <f t="shared" si="61"/>
        <v>February</v>
      </c>
      <c r="AR156">
        <f t="shared" si="62"/>
        <v>2024</v>
      </c>
      <c r="AS156" t="str">
        <f t="shared" si="63"/>
        <v>Invalid</v>
      </c>
      <c r="AT156" t="str">
        <f>IF(OR(AC156&lt;0,AC156&gt;0.5),"Invalid Discount","Valid")</f>
        <v>Valid</v>
      </c>
      <c r="AU156" t="str">
        <f>IF(G156&lt;E156,"Invalid Shipping Record","Valid")</f>
        <v>Invalid Shipping Record</v>
      </c>
      <c r="AV156" t="str">
        <f>IF(OR(AL156="Cancelled",AH156="Failed"),"Exclude","Include")</f>
        <v>Include</v>
      </c>
      <c r="AW156" t="str">
        <f t="shared" si="64"/>
        <v>Match</v>
      </c>
      <c r="AX156" t="str">
        <f t="shared" si="65"/>
        <v>Match</v>
      </c>
    </row>
    <row r="157" spans="1:50">
      <c r="A157" t="s">
        <v>861</v>
      </c>
      <c r="B157">
        <f t="shared" si="66"/>
        <v>1</v>
      </c>
      <c r="C157" t="str">
        <f t="shared" si="54"/>
        <v/>
      </c>
      <c r="D157" s="3" t="s">
        <v>558</v>
      </c>
      <c r="E157" s="7">
        <v>45683</v>
      </c>
      <c r="F157" s="3" t="s">
        <v>439</v>
      </c>
      <c r="G157" s="7">
        <v>45691</v>
      </c>
      <c r="H157" s="7" t="str">
        <f t="shared" si="45"/>
        <v>Valid</v>
      </c>
      <c r="I157" s="9">
        <f t="shared" si="46"/>
        <v>8</v>
      </c>
      <c r="J157" s="9" t="str">
        <f t="shared" si="47"/>
        <v>Valid</v>
      </c>
      <c r="K157" t="s">
        <v>862</v>
      </c>
      <c r="L157" t="s">
        <v>24</v>
      </c>
      <c r="M157" t="s">
        <v>24</v>
      </c>
      <c r="N157" t="s">
        <v>107</v>
      </c>
      <c r="O157" s="3" t="str">
        <f t="shared" si="48"/>
        <v>Corporate</v>
      </c>
      <c r="P157" t="s">
        <v>72</v>
      </c>
      <c r="Q157" s="3" t="str">
        <f t="shared" si="49"/>
        <v>West</v>
      </c>
      <c r="R157" t="s">
        <v>27</v>
      </c>
      <c r="S157" t="s">
        <v>134</v>
      </c>
      <c r="T157" t="s">
        <v>44</v>
      </c>
      <c r="U157" s="3" t="str">
        <f t="shared" si="50"/>
        <v>Furniture</v>
      </c>
      <c r="V157" t="s">
        <v>64</v>
      </c>
      <c r="W157" t="s">
        <v>863</v>
      </c>
      <c r="X157" t="s">
        <v>47</v>
      </c>
      <c r="Y157" s="3" t="str">
        <f t="shared" si="51"/>
        <v>Same Day</v>
      </c>
      <c r="Z157">
        <v>3</v>
      </c>
      <c r="AA157">
        <v>2859.32</v>
      </c>
      <c r="AB157">
        <v>0.1</v>
      </c>
      <c r="AC157">
        <f t="shared" si="52"/>
        <v>0.1</v>
      </c>
      <c r="AD157" t="str">
        <f t="shared" si="55"/>
        <v>Valid</v>
      </c>
      <c r="AE157">
        <v>7720.16</v>
      </c>
      <c r="AF157">
        <v>5881</v>
      </c>
      <c r="AG157">
        <v>1839.16</v>
      </c>
      <c r="AH157" t="s">
        <v>123</v>
      </c>
      <c r="AI157" t="str">
        <f t="shared" si="56"/>
        <v>Include</v>
      </c>
      <c r="AJ157" t="str">
        <f t="shared" si="57"/>
        <v>Refunded Order</v>
      </c>
      <c r="AK157" t="s">
        <v>124</v>
      </c>
      <c r="AL157" t="str">
        <f t="shared" si="53"/>
        <v>Returned</v>
      </c>
      <c r="AM157" t="str">
        <f t="shared" si="58"/>
        <v>Include</v>
      </c>
      <c r="AN157">
        <f t="shared" si="59"/>
        <v>7720.1640000000007</v>
      </c>
      <c r="AO157">
        <f t="shared" si="60"/>
        <v>1839.1640000000007</v>
      </c>
      <c r="AP157">
        <f>IF(AN157=0,0,AO157/AN157)</f>
        <v>0.23822861794127695</v>
      </c>
      <c r="AQ157" t="str">
        <f t="shared" si="61"/>
        <v>January</v>
      </c>
      <c r="AR157">
        <f t="shared" si="62"/>
        <v>2025</v>
      </c>
      <c r="AS157" t="str">
        <f t="shared" si="63"/>
        <v>Clean</v>
      </c>
      <c r="AT157" t="str">
        <f>IF(OR(AC157&lt;0,AC157&gt;0.5),"Invalid Discount","Valid")</f>
        <v>Valid</v>
      </c>
      <c r="AU157" t="str">
        <f>IF(G157&lt;E157,"Invalid Shipping Record","Valid")</f>
        <v>Valid</v>
      </c>
      <c r="AV157" t="str">
        <f>IF(OR(AL157="Cancelled",AH157="Failed"),"Exclude","Include")</f>
        <v>Include</v>
      </c>
      <c r="AW157" t="str">
        <f t="shared" si="64"/>
        <v>Match</v>
      </c>
      <c r="AX157" t="str">
        <f t="shared" si="65"/>
        <v>Match</v>
      </c>
    </row>
    <row r="158" spans="1:50">
      <c r="A158" t="s">
        <v>864</v>
      </c>
      <c r="B158">
        <f t="shared" si="66"/>
        <v>1</v>
      </c>
      <c r="C158" t="str">
        <f t="shared" si="54"/>
        <v/>
      </c>
      <c r="D158" s="3" t="s">
        <v>865</v>
      </c>
      <c r="E158" s="7">
        <v>45743</v>
      </c>
      <c r="F158" s="3" t="s">
        <v>866</v>
      </c>
      <c r="G158" s="7">
        <v>45743</v>
      </c>
      <c r="H158" s="7" t="str">
        <f t="shared" si="45"/>
        <v>Valid</v>
      </c>
      <c r="I158" s="9">
        <f t="shared" si="46"/>
        <v>0</v>
      </c>
      <c r="J158" s="9" t="str">
        <f t="shared" si="47"/>
        <v>Valid</v>
      </c>
      <c r="K158" t="s">
        <v>867</v>
      </c>
      <c r="L158" t="s">
        <v>82</v>
      </c>
      <c r="M158" t="s">
        <v>82</v>
      </c>
      <c r="N158" t="s">
        <v>40</v>
      </c>
      <c r="O158" s="3" t="str">
        <f t="shared" si="48"/>
        <v>Small Business</v>
      </c>
      <c r="P158" t="s">
        <v>41</v>
      </c>
      <c r="Q158" s="3" t="str">
        <f t="shared" si="49"/>
        <v>East</v>
      </c>
      <c r="R158" t="s">
        <v>185</v>
      </c>
      <c r="S158" t="s">
        <v>186</v>
      </c>
      <c r="T158" t="s">
        <v>85</v>
      </c>
      <c r="U158" s="3" t="str">
        <f t="shared" si="50"/>
        <v>Technology</v>
      </c>
      <c r="V158" t="s">
        <v>381</v>
      </c>
      <c r="W158" t="s">
        <v>868</v>
      </c>
      <c r="X158" t="s">
        <v>32</v>
      </c>
      <c r="Y158" s="3" t="str">
        <f t="shared" si="51"/>
        <v>Second Class</v>
      </c>
      <c r="Z158">
        <v>7</v>
      </c>
      <c r="AA158">
        <v>2305.37</v>
      </c>
      <c r="AB158">
        <v>0.25</v>
      </c>
      <c r="AC158">
        <f t="shared" si="52"/>
        <v>0.25</v>
      </c>
      <c r="AD158" t="str">
        <f t="shared" si="55"/>
        <v>Valid</v>
      </c>
      <c r="AE158">
        <v>12103.19</v>
      </c>
      <c r="AF158">
        <v>6717.87</v>
      </c>
      <c r="AG158">
        <v>5385.32</v>
      </c>
      <c r="AH158" t="s">
        <v>33</v>
      </c>
      <c r="AI158" t="str">
        <f t="shared" si="56"/>
        <v>Include</v>
      </c>
      <c r="AJ158" t="str">
        <f t="shared" si="57"/>
        <v/>
      </c>
      <c r="AK158" t="s">
        <v>34</v>
      </c>
      <c r="AL158" t="str">
        <f t="shared" si="53"/>
        <v>Completed</v>
      </c>
      <c r="AM158" t="str">
        <f t="shared" si="58"/>
        <v>Include</v>
      </c>
      <c r="AN158">
        <f t="shared" si="59"/>
        <v>12103.192500000001</v>
      </c>
      <c r="AO158">
        <f t="shared" si="60"/>
        <v>5385.3225000000011</v>
      </c>
      <c r="AP158">
        <f>IF(AN158=0,0,AO158/AN158)</f>
        <v>0.44495057812225997</v>
      </c>
      <c r="AQ158" t="str">
        <f t="shared" si="61"/>
        <v>March</v>
      </c>
      <c r="AR158">
        <f t="shared" si="62"/>
        <v>2025</v>
      </c>
      <c r="AS158" t="str">
        <f t="shared" si="63"/>
        <v>Clean</v>
      </c>
      <c r="AT158" t="str">
        <f>IF(OR(AC158&lt;0,AC158&gt;0.5),"Invalid Discount","Valid")</f>
        <v>Valid</v>
      </c>
      <c r="AU158" t="str">
        <f>IF(G158&lt;E158,"Invalid Shipping Record","Valid")</f>
        <v>Valid</v>
      </c>
      <c r="AV158" t="str">
        <f>IF(OR(AL158="Cancelled",AH158="Failed"),"Exclude","Include")</f>
        <v>Include</v>
      </c>
      <c r="AW158" t="str">
        <f t="shared" si="64"/>
        <v>Match</v>
      </c>
      <c r="AX158" t="str">
        <f t="shared" si="65"/>
        <v>Match</v>
      </c>
    </row>
    <row r="159" spans="1:50">
      <c r="A159" t="s">
        <v>869</v>
      </c>
      <c r="B159">
        <f t="shared" si="66"/>
        <v>1</v>
      </c>
      <c r="C159" t="str">
        <f t="shared" si="54"/>
        <v/>
      </c>
      <c r="D159" s="3" t="s">
        <v>870</v>
      </c>
      <c r="E159" s="7">
        <v>45587</v>
      </c>
      <c r="F159" s="3" t="s">
        <v>871</v>
      </c>
      <c r="G159" s="7">
        <v>45589</v>
      </c>
      <c r="H159" s="7" t="str">
        <f t="shared" si="45"/>
        <v>Valid</v>
      </c>
      <c r="I159" s="9">
        <f t="shared" si="46"/>
        <v>2</v>
      </c>
      <c r="J159" s="9" t="str">
        <f t="shared" si="47"/>
        <v>Valid</v>
      </c>
      <c r="K159" t="s">
        <v>872</v>
      </c>
      <c r="L159" t="s">
        <v>179</v>
      </c>
      <c r="M159" t="s">
        <v>179</v>
      </c>
      <c r="N159" t="s">
        <v>40</v>
      </c>
      <c r="O159" s="3" t="str">
        <f t="shared" si="48"/>
        <v>Small Business</v>
      </c>
      <c r="P159" t="s">
        <v>61</v>
      </c>
      <c r="Q159" s="3" t="str">
        <f t="shared" si="49"/>
        <v>South</v>
      </c>
      <c r="R159" t="s">
        <v>99</v>
      </c>
      <c r="S159" t="s">
        <v>100</v>
      </c>
      <c r="T159" t="s">
        <v>44</v>
      </c>
      <c r="U159" s="3" t="str">
        <f t="shared" si="50"/>
        <v>Furniture</v>
      </c>
      <c r="V159" t="s">
        <v>203</v>
      </c>
      <c r="W159" t="s">
        <v>873</v>
      </c>
      <c r="X159" t="s">
        <v>66</v>
      </c>
      <c r="Y159" s="3" t="str">
        <f t="shared" si="51"/>
        <v>Standard Class</v>
      </c>
      <c r="Z159">
        <v>3</v>
      </c>
      <c r="AA159">
        <v>915.84</v>
      </c>
      <c r="AB159">
        <v>0.15</v>
      </c>
      <c r="AC159">
        <f t="shared" si="52"/>
        <v>0.15</v>
      </c>
      <c r="AD159" t="str">
        <f t="shared" si="55"/>
        <v>Valid</v>
      </c>
      <c r="AE159">
        <v>2335.39</v>
      </c>
      <c r="AF159">
        <v>1466.15</v>
      </c>
      <c r="AG159">
        <v>869.24</v>
      </c>
      <c r="AH159" t="s">
        <v>33</v>
      </c>
      <c r="AI159" t="str">
        <f t="shared" si="56"/>
        <v>Include</v>
      </c>
      <c r="AJ159" t="str">
        <f t="shared" si="57"/>
        <v/>
      </c>
      <c r="AK159" t="s">
        <v>34</v>
      </c>
      <c r="AL159" t="str">
        <f t="shared" si="53"/>
        <v>Completed</v>
      </c>
      <c r="AM159" t="str">
        <f t="shared" si="58"/>
        <v>Include</v>
      </c>
      <c r="AN159">
        <f t="shared" si="59"/>
        <v>2335.3919999999998</v>
      </c>
      <c r="AO159">
        <f t="shared" si="60"/>
        <v>869.24199999999973</v>
      </c>
      <c r="AP159">
        <f>IF(AN159=0,0,AO159/AN159)</f>
        <v>0.3722038955344541</v>
      </c>
      <c r="AQ159" t="str">
        <f t="shared" si="61"/>
        <v>October</v>
      </c>
      <c r="AR159">
        <f t="shared" si="62"/>
        <v>2024</v>
      </c>
      <c r="AS159" t="str">
        <f t="shared" si="63"/>
        <v>Clean</v>
      </c>
      <c r="AT159" t="str">
        <f>IF(OR(AC159&lt;0,AC159&gt;0.5),"Invalid Discount","Valid")</f>
        <v>Valid</v>
      </c>
      <c r="AU159" t="str">
        <f>IF(G159&lt;E159,"Invalid Shipping Record","Valid")</f>
        <v>Valid</v>
      </c>
      <c r="AV159" t="str">
        <f>IF(OR(AL159="Cancelled",AH159="Failed"),"Exclude","Include")</f>
        <v>Include</v>
      </c>
      <c r="AW159" t="str">
        <f t="shared" si="64"/>
        <v>Match</v>
      </c>
      <c r="AX159" t="str">
        <f t="shared" si="65"/>
        <v>Match</v>
      </c>
    </row>
    <row r="160" spans="1:50">
      <c r="A160" t="s">
        <v>874</v>
      </c>
      <c r="B160">
        <f t="shared" si="66"/>
        <v>1</v>
      </c>
      <c r="C160" t="str">
        <f t="shared" si="54"/>
        <v/>
      </c>
      <c r="D160" s="3" t="s">
        <v>875</v>
      </c>
      <c r="E160" s="7">
        <v>45544</v>
      </c>
      <c r="F160" s="3" t="s">
        <v>876</v>
      </c>
      <c r="G160" s="7">
        <v>45546</v>
      </c>
      <c r="H160" s="7" t="str">
        <f t="shared" si="45"/>
        <v>Valid</v>
      </c>
      <c r="I160" s="9">
        <f t="shared" si="46"/>
        <v>2</v>
      </c>
      <c r="J160" s="9" t="str">
        <f t="shared" si="47"/>
        <v>Valid</v>
      </c>
      <c r="K160" t="s">
        <v>877</v>
      </c>
      <c r="L160" t="s">
        <v>92</v>
      </c>
      <c r="M160" t="s">
        <v>92</v>
      </c>
      <c r="N160" t="s">
        <v>114</v>
      </c>
      <c r="O160" s="3" t="str">
        <f t="shared" si="48"/>
        <v>Home Office</v>
      </c>
      <c r="P160" t="s">
        <v>61</v>
      </c>
      <c r="Q160" s="3" t="str">
        <f t="shared" si="49"/>
        <v>South</v>
      </c>
      <c r="R160" t="s">
        <v>62</v>
      </c>
      <c r="S160" t="s">
        <v>63</v>
      </c>
      <c r="T160" t="s">
        <v>44</v>
      </c>
      <c r="U160" s="3" t="str">
        <f t="shared" si="50"/>
        <v>Furniture</v>
      </c>
      <c r="V160" t="s">
        <v>203</v>
      </c>
      <c r="W160" t="s">
        <v>878</v>
      </c>
      <c r="X160" t="s">
        <v>55</v>
      </c>
      <c r="Y160" s="3" t="str">
        <f t="shared" si="51"/>
        <v>First Class</v>
      </c>
      <c r="Z160">
        <v>1</v>
      </c>
      <c r="AA160">
        <v>4199.54</v>
      </c>
      <c r="AB160">
        <v>0.05</v>
      </c>
      <c r="AC160">
        <f t="shared" si="52"/>
        <v>0.05</v>
      </c>
      <c r="AD160" t="str">
        <f t="shared" si="55"/>
        <v>Valid</v>
      </c>
      <c r="AE160">
        <v>3989.56</v>
      </c>
      <c r="AF160">
        <v>2381.38</v>
      </c>
      <c r="AG160">
        <v>1608.18</v>
      </c>
      <c r="AH160" t="s">
        <v>33</v>
      </c>
      <c r="AI160" t="str">
        <f t="shared" si="56"/>
        <v>Include</v>
      </c>
      <c r="AJ160" t="str">
        <f t="shared" si="57"/>
        <v/>
      </c>
      <c r="AK160" t="s">
        <v>34</v>
      </c>
      <c r="AL160" t="str">
        <f t="shared" si="53"/>
        <v>Completed</v>
      </c>
      <c r="AM160" t="str">
        <f t="shared" si="58"/>
        <v>Include</v>
      </c>
      <c r="AN160">
        <f t="shared" si="59"/>
        <v>3989.5629999999996</v>
      </c>
      <c r="AO160">
        <f t="shared" si="60"/>
        <v>1608.1829999999995</v>
      </c>
      <c r="AP160">
        <f>IF(AN160=0,0,AO160/AN160)</f>
        <v>0.40309753223598666</v>
      </c>
      <c r="AQ160" t="str">
        <f t="shared" si="61"/>
        <v>September</v>
      </c>
      <c r="AR160">
        <f t="shared" si="62"/>
        <v>2024</v>
      </c>
      <c r="AS160" t="str">
        <f t="shared" si="63"/>
        <v>Clean</v>
      </c>
      <c r="AT160" t="str">
        <f>IF(OR(AC160&lt;0,AC160&gt;0.5),"Invalid Discount","Valid")</f>
        <v>Valid</v>
      </c>
      <c r="AU160" t="str">
        <f>IF(G160&lt;E160,"Invalid Shipping Record","Valid")</f>
        <v>Valid</v>
      </c>
      <c r="AV160" t="str">
        <f>IF(OR(AL160="Cancelled",AH160="Failed"),"Exclude","Include")</f>
        <v>Include</v>
      </c>
      <c r="AW160" t="str">
        <f t="shared" si="64"/>
        <v>Match</v>
      </c>
      <c r="AX160" t="str">
        <f t="shared" si="65"/>
        <v>Match</v>
      </c>
    </row>
    <row r="161" spans="1:50">
      <c r="A161" t="s">
        <v>879</v>
      </c>
      <c r="B161">
        <f t="shared" si="66"/>
        <v>1</v>
      </c>
      <c r="C161" t="str">
        <f t="shared" si="54"/>
        <v/>
      </c>
      <c r="D161" s="3" t="s">
        <v>880</v>
      </c>
      <c r="E161" s="7">
        <v>45687</v>
      </c>
      <c r="F161" s="3" t="s">
        <v>881</v>
      </c>
      <c r="G161" s="7">
        <v>45692</v>
      </c>
      <c r="H161" s="7" t="str">
        <f t="shared" si="45"/>
        <v>Valid</v>
      </c>
      <c r="I161" s="9">
        <f t="shared" si="46"/>
        <v>5</v>
      </c>
      <c r="J161" s="9" t="str">
        <f t="shared" si="47"/>
        <v>Valid</v>
      </c>
      <c r="K161" t="s">
        <v>882</v>
      </c>
      <c r="L161" t="s">
        <v>141</v>
      </c>
      <c r="M161" t="s">
        <v>141</v>
      </c>
      <c r="N161" t="s">
        <v>107</v>
      </c>
      <c r="O161" s="3" t="str">
        <f t="shared" si="48"/>
        <v>Corporate</v>
      </c>
      <c r="P161" t="s">
        <v>26</v>
      </c>
      <c r="Q161" s="3" t="str">
        <f t="shared" si="49"/>
        <v>North</v>
      </c>
      <c r="R161" t="s">
        <v>322</v>
      </c>
      <c r="S161" t="s">
        <v>323</v>
      </c>
      <c r="T161" t="s">
        <v>44</v>
      </c>
      <c r="U161" s="3" t="str">
        <f t="shared" si="50"/>
        <v>Furniture</v>
      </c>
      <c r="V161" t="s">
        <v>75</v>
      </c>
      <c r="W161" t="s">
        <v>883</v>
      </c>
      <c r="X161" t="s">
        <v>47</v>
      </c>
      <c r="Y161" s="3" t="str">
        <f t="shared" si="51"/>
        <v>Same Day</v>
      </c>
      <c r="Z161">
        <v>9</v>
      </c>
      <c r="AA161">
        <v>4430.5</v>
      </c>
      <c r="AB161">
        <v>0.15</v>
      </c>
      <c r="AC161">
        <f t="shared" si="52"/>
        <v>0.15</v>
      </c>
      <c r="AD161" t="str">
        <f t="shared" si="55"/>
        <v>Valid</v>
      </c>
      <c r="AE161">
        <v>33893.32</v>
      </c>
      <c r="AF161">
        <v>25750.35</v>
      </c>
      <c r="AG161">
        <v>8142.97</v>
      </c>
      <c r="AH161" t="s">
        <v>136</v>
      </c>
      <c r="AI161" t="str">
        <f t="shared" si="56"/>
        <v>Exclude</v>
      </c>
      <c r="AJ161" t="str">
        <f t="shared" si="57"/>
        <v/>
      </c>
      <c r="AK161" t="s">
        <v>77</v>
      </c>
      <c r="AL161" t="str">
        <f t="shared" si="53"/>
        <v>Cancelled</v>
      </c>
      <c r="AM161" t="str">
        <f t="shared" si="58"/>
        <v>Exclude</v>
      </c>
      <c r="AN161">
        <f t="shared" si="59"/>
        <v>33893.324999999997</v>
      </c>
      <c r="AO161">
        <f t="shared" si="60"/>
        <v>8142.9749999999985</v>
      </c>
      <c r="AP161">
        <f>IF(AN161=0,0,AO161/AN161)</f>
        <v>0.24025305867748292</v>
      </c>
      <c r="AQ161" t="str">
        <f t="shared" si="61"/>
        <v>January</v>
      </c>
      <c r="AR161">
        <f t="shared" si="62"/>
        <v>2025</v>
      </c>
      <c r="AS161" t="str">
        <f t="shared" si="63"/>
        <v>Clean</v>
      </c>
      <c r="AT161" t="str">
        <f>IF(OR(AC161&lt;0,AC161&gt;0.5),"Invalid Discount","Valid")</f>
        <v>Valid</v>
      </c>
      <c r="AU161" t="str">
        <f>IF(G161&lt;E161,"Invalid Shipping Record","Valid")</f>
        <v>Valid</v>
      </c>
      <c r="AV161" t="str">
        <f>IF(OR(AL161="Cancelled",AH161="Failed"),"Exclude","Include")</f>
        <v>Exclude</v>
      </c>
      <c r="AW161" t="str">
        <f t="shared" si="64"/>
        <v>Mismatch</v>
      </c>
      <c r="AX161" t="str">
        <f t="shared" si="65"/>
        <v>Mismatch</v>
      </c>
    </row>
    <row r="162" spans="1:50">
      <c r="A162" t="s">
        <v>884</v>
      </c>
      <c r="B162">
        <f t="shared" si="66"/>
        <v>1</v>
      </c>
      <c r="C162" t="str">
        <f t="shared" si="54"/>
        <v/>
      </c>
      <c r="D162" s="3" t="s">
        <v>885</v>
      </c>
      <c r="E162" s="7">
        <v>45938</v>
      </c>
      <c r="F162" s="3" t="s">
        <v>886</v>
      </c>
      <c r="G162" s="7">
        <v>45936</v>
      </c>
      <c r="H162" s="7" t="str">
        <f t="shared" si="45"/>
        <v>Invalid Shipping Record</v>
      </c>
      <c r="I162" s="9">
        <f t="shared" si="46"/>
        <v>-2</v>
      </c>
      <c r="J162" s="9" t="str">
        <f t="shared" si="47"/>
        <v>Invalid Shipping Record</v>
      </c>
      <c r="K162" t="s">
        <v>887</v>
      </c>
      <c r="L162" t="s">
        <v>82</v>
      </c>
      <c r="M162" t="s">
        <v>82</v>
      </c>
      <c r="N162" t="s">
        <v>40</v>
      </c>
      <c r="O162" s="3" t="str">
        <f t="shared" si="48"/>
        <v>Small Business</v>
      </c>
      <c r="P162" t="s">
        <v>72</v>
      </c>
      <c r="Q162" s="3" t="str">
        <f t="shared" si="49"/>
        <v>West</v>
      </c>
      <c r="R162" t="s">
        <v>73</v>
      </c>
      <c r="S162" t="s">
        <v>74</v>
      </c>
      <c r="T162" t="s">
        <v>29</v>
      </c>
      <c r="U162" s="3" t="str">
        <f t="shared" si="50"/>
        <v>Office Supplies</v>
      </c>
      <c r="V162" t="s">
        <v>30</v>
      </c>
      <c r="W162" t="s">
        <v>888</v>
      </c>
      <c r="X162" t="s">
        <v>32</v>
      </c>
      <c r="Y162" s="3" t="str">
        <f t="shared" si="51"/>
        <v>Second Class</v>
      </c>
      <c r="Z162">
        <v>4</v>
      </c>
      <c r="AA162">
        <v>1260.42</v>
      </c>
      <c r="AB162">
        <v>0.05</v>
      </c>
      <c r="AC162">
        <f t="shared" si="52"/>
        <v>0.05</v>
      </c>
      <c r="AD162" t="str">
        <f t="shared" si="55"/>
        <v>Valid</v>
      </c>
      <c r="AE162">
        <v>4789.6000000000004</v>
      </c>
      <c r="AF162">
        <v>4037.64</v>
      </c>
      <c r="AG162">
        <v>751.96</v>
      </c>
      <c r="AH162" t="s">
        <v>136</v>
      </c>
      <c r="AI162" t="str">
        <f t="shared" si="56"/>
        <v>Exclude</v>
      </c>
      <c r="AJ162" t="str">
        <f t="shared" si="57"/>
        <v/>
      </c>
      <c r="AK162" t="s">
        <v>77</v>
      </c>
      <c r="AL162" t="str">
        <f t="shared" si="53"/>
        <v>Cancelled</v>
      </c>
      <c r="AM162" t="str">
        <f t="shared" si="58"/>
        <v>Exclude</v>
      </c>
      <c r="AN162">
        <f t="shared" si="59"/>
        <v>4789.5960000000005</v>
      </c>
      <c r="AO162">
        <f t="shared" si="60"/>
        <v>751.95600000000059</v>
      </c>
      <c r="AP162">
        <f>IF(AN162=0,0,AO162/AN162)</f>
        <v>0.1569977927157114</v>
      </c>
      <c r="AQ162" t="str">
        <f t="shared" si="61"/>
        <v>October</v>
      </c>
      <c r="AR162">
        <f t="shared" si="62"/>
        <v>2025</v>
      </c>
      <c r="AS162" t="str">
        <f t="shared" si="63"/>
        <v>Invalid</v>
      </c>
      <c r="AT162" t="str">
        <f>IF(OR(AC162&lt;0,AC162&gt;0.5),"Invalid Discount","Valid")</f>
        <v>Valid</v>
      </c>
      <c r="AU162" t="str">
        <f>IF(G162&lt;E162,"Invalid Shipping Record","Valid")</f>
        <v>Invalid Shipping Record</v>
      </c>
      <c r="AV162" t="str">
        <f>IF(OR(AL162="Cancelled",AH162="Failed"),"Exclude","Include")</f>
        <v>Exclude</v>
      </c>
      <c r="AW162" t="str">
        <f t="shared" si="64"/>
        <v>Match</v>
      </c>
      <c r="AX162" t="str">
        <f t="shared" si="65"/>
        <v>Match</v>
      </c>
    </row>
    <row r="163" spans="1:50">
      <c r="A163" t="s">
        <v>889</v>
      </c>
      <c r="B163">
        <f t="shared" si="66"/>
        <v>1</v>
      </c>
      <c r="C163" t="str">
        <f t="shared" si="54"/>
        <v/>
      </c>
      <c r="D163" s="3" t="s">
        <v>890</v>
      </c>
      <c r="E163" s="7">
        <v>45862</v>
      </c>
      <c r="F163" s="3" t="s">
        <v>891</v>
      </c>
      <c r="G163" s="7">
        <v>45868</v>
      </c>
      <c r="H163" s="7" t="str">
        <f t="shared" si="45"/>
        <v>Valid</v>
      </c>
      <c r="I163" s="9">
        <f t="shared" si="46"/>
        <v>6</v>
      </c>
      <c r="J163" s="9" t="str">
        <f t="shared" si="47"/>
        <v>Valid</v>
      </c>
      <c r="K163" t="s">
        <v>892</v>
      </c>
      <c r="L163" t="s">
        <v>60</v>
      </c>
      <c r="M163" t="s">
        <v>60</v>
      </c>
      <c r="N163" t="s">
        <v>893</v>
      </c>
      <c r="O163" s="3" t="str">
        <f t="shared" si="48"/>
        <v>Consumer</v>
      </c>
      <c r="P163" t="s">
        <v>72</v>
      </c>
      <c r="Q163" s="3" t="str">
        <f t="shared" si="49"/>
        <v>West</v>
      </c>
      <c r="R163" t="s">
        <v>27</v>
      </c>
      <c r="S163" t="s">
        <v>134</v>
      </c>
      <c r="T163" t="s">
        <v>29</v>
      </c>
      <c r="U163" s="3" t="str">
        <f t="shared" si="50"/>
        <v>Office Supplies</v>
      </c>
      <c r="V163" t="s">
        <v>197</v>
      </c>
      <c r="W163" t="s">
        <v>894</v>
      </c>
      <c r="X163" t="s">
        <v>66</v>
      </c>
      <c r="Y163" s="3" t="str">
        <f t="shared" si="51"/>
        <v>Standard Class</v>
      </c>
      <c r="Z163">
        <v>1</v>
      </c>
      <c r="AA163">
        <v>1643.41</v>
      </c>
      <c r="AB163">
        <v>0</v>
      </c>
      <c r="AC163">
        <f t="shared" si="52"/>
        <v>0</v>
      </c>
      <c r="AD163" t="str">
        <f t="shared" si="55"/>
        <v>Valid</v>
      </c>
      <c r="AE163">
        <v>1643.41</v>
      </c>
      <c r="AF163">
        <v>907.4</v>
      </c>
      <c r="AG163">
        <v>736.01</v>
      </c>
      <c r="AH163" t="s">
        <v>136</v>
      </c>
      <c r="AI163" t="str">
        <f t="shared" si="56"/>
        <v>Exclude</v>
      </c>
      <c r="AJ163" t="str">
        <f t="shared" si="57"/>
        <v/>
      </c>
      <c r="AK163" t="s">
        <v>77</v>
      </c>
      <c r="AL163" t="str">
        <f t="shared" si="53"/>
        <v>Cancelled</v>
      </c>
      <c r="AM163" t="str">
        <f t="shared" si="58"/>
        <v>Exclude</v>
      </c>
      <c r="AN163">
        <f t="shared" si="59"/>
        <v>1643.41</v>
      </c>
      <c r="AO163">
        <f t="shared" si="60"/>
        <v>736.0100000000001</v>
      </c>
      <c r="AP163">
        <f>IF(AN163=0,0,AO163/AN163)</f>
        <v>0.44785537388722235</v>
      </c>
      <c r="AQ163" t="str">
        <f t="shared" si="61"/>
        <v>July</v>
      </c>
      <c r="AR163">
        <f t="shared" si="62"/>
        <v>2025</v>
      </c>
      <c r="AS163" t="str">
        <f t="shared" si="63"/>
        <v>Clean</v>
      </c>
      <c r="AT163" t="str">
        <f>IF(OR(AC163&lt;0,AC163&gt;0.5),"Invalid Discount","Valid")</f>
        <v>Valid</v>
      </c>
      <c r="AU163" t="str">
        <f>IF(G163&lt;E163,"Invalid Shipping Record","Valid")</f>
        <v>Valid</v>
      </c>
      <c r="AV163" t="str">
        <f>IF(OR(AL163="Cancelled",AH163="Failed"),"Exclude","Include")</f>
        <v>Exclude</v>
      </c>
      <c r="AW163" t="str">
        <f t="shared" si="64"/>
        <v>Match</v>
      </c>
      <c r="AX163" t="str">
        <f t="shared" si="65"/>
        <v>Match</v>
      </c>
    </row>
    <row r="164" spans="1:50">
      <c r="A164" t="s">
        <v>895</v>
      </c>
      <c r="B164">
        <f t="shared" si="66"/>
        <v>1</v>
      </c>
      <c r="C164" t="str">
        <f t="shared" si="54"/>
        <v/>
      </c>
      <c r="D164" s="3" t="s">
        <v>896</v>
      </c>
      <c r="E164" s="7">
        <v>45360</v>
      </c>
      <c r="F164" s="3" t="s">
        <v>897</v>
      </c>
      <c r="G164" s="7">
        <v>45365</v>
      </c>
      <c r="H164" s="7" t="str">
        <f t="shared" si="45"/>
        <v>Valid</v>
      </c>
      <c r="I164" s="9">
        <f t="shared" si="46"/>
        <v>5</v>
      </c>
      <c r="J164" s="9" t="str">
        <f t="shared" si="47"/>
        <v>Valid</v>
      </c>
      <c r="K164" t="s">
        <v>898</v>
      </c>
      <c r="L164" t="s">
        <v>92</v>
      </c>
      <c r="M164" t="s">
        <v>92</v>
      </c>
      <c r="N164" t="s">
        <v>40</v>
      </c>
      <c r="O164" s="3" t="str">
        <f t="shared" si="48"/>
        <v>Small Business</v>
      </c>
      <c r="P164" t="s">
        <v>72</v>
      </c>
      <c r="Q164" s="3" t="str">
        <f t="shared" si="49"/>
        <v>West</v>
      </c>
      <c r="R164" t="s">
        <v>248</v>
      </c>
      <c r="S164" t="s">
        <v>249</v>
      </c>
      <c r="T164" t="s">
        <v>44</v>
      </c>
      <c r="U164" s="3" t="str">
        <f t="shared" si="50"/>
        <v>Furniture</v>
      </c>
      <c r="V164" t="s">
        <v>64</v>
      </c>
      <c r="W164" t="s">
        <v>899</v>
      </c>
      <c r="X164" t="s">
        <v>32</v>
      </c>
      <c r="Y164" s="3" t="str">
        <f t="shared" si="51"/>
        <v>Second Class</v>
      </c>
      <c r="Z164">
        <v>8</v>
      </c>
      <c r="AA164">
        <v>4472.84</v>
      </c>
      <c r="AB164">
        <v>0</v>
      </c>
      <c r="AC164">
        <f t="shared" si="52"/>
        <v>0</v>
      </c>
      <c r="AD164" t="str">
        <f t="shared" si="55"/>
        <v>Valid</v>
      </c>
      <c r="AE164">
        <v>35997.620000000003</v>
      </c>
      <c r="AF164">
        <v>26424.41</v>
      </c>
      <c r="AG164">
        <v>9358.31</v>
      </c>
      <c r="AH164" t="s">
        <v>136</v>
      </c>
      <c r="AI164" t="str">
        <f t="shared" si="56"/>
        <v>Include</v>
      </c>
      <c r="AJ164" t="str">
        <f t="shared" si="57"/>
        <v/>
      </c>
      <c r="AK164" t="s">
        <v>124</v>
      </c>
      <c r="AL164" t="str">
        <f t="shared" si="53"/>
        <v>Returned</v>
      </c>
      <c r="AM164" t="str">
        <f t="shared" si="58"/>
        <v>Include</v>
      </c>
      <c r="AN164">
        <f t="shared" si="59"/>
        <v>35782.720000000001</v>
      </c>
      <c r="AO164">
        <f t="shared" si="60"/>
        <v>9358.3100000000013</v>
      </c>
      <c r="AP164">
        <f>IF(AN164=0,0,AO164/AN164)</f>
        <v>0.2615315437171909</v>
      </c>
      <c r="AQ164" t="str">
        <f t="shared" si="61"/>
        <v>March</v>
      </c>
      <c r="AR164">
        <f t="shared" si="62"/>
        <v>2024</v>
      </c>
      <c r="AS164" t="str">
        <f t="shared" si="63"/>
        <v>Clean</v>
      </c>
      <c r="AT164" t="str">
        <f>IF(OR(AC164&lt;0,AC164&gt;0.5),"Invalid Discount","Valid")</f>
        <v>Valid</v>
      </c>
      <c r="AU164" t="str">
        <f>IF(G164&lt;E164,"Invalid Shipping Record","Valid")</f>
        <v>Valid</v>
      </c>
      <c r="AV164" t="str">
        <f>IF(OR(AL164="Cancelled",AH164="Failed"),"Exclude","Include")</f>
        <v>Include</v>
      </c>
      <c r="AW164" t="str">
        <f t="shared" si="64"/>
        <v>Mismatch</v>
      </c>
      <c r="AX164" t="str">
        <f t="shared" si="65"/>
        <v>Match</v>
      </c>
    </row>
    <row r="165" spans="1:50">
      <c r="A165" t="s">
        <v>900</v>
      </c>
      <c r="B165">
        <f t="shared" si="66"/>
        <v>1</v>
      </c>
      <c r="C165" t="str">
        <f t="shared" si="54"/>
        <v/>
      </c>
      <c r="D165" s="3" t="s">
        <v>901</v>
      </c>
      <c r="E165" s="7">
        <v>45921</v>
      </c>
      <c r="F165" s="3" t="s">
        <v>724</v>
      </c>
      <c r="G165" s="7">
        <v>45926</v>
      </c>
      <c r="H165" s="7" t="str">
        <f t="shared" si="45"/>
        <v>Valid</v>
      </c>
      <c r="I165" s="9">
        <f t="shared" si="46"/>
        <v>5</v>
      </c>
      <c r="J165" s="9" t="str">
        <f t="shared" si="47"/>
        <v>Valid</v>
      </c>
      <c r="K165" t="s">
        <v>902</v>
      </c>
      <c r="L165" t="s">
        <v>179</v>
      </c>
      <c r="M165" t="s">
        <v>179</v>
      </c>
      <c r="N165" t="s">
        <v>114</v>
      </c>
      <c r="O165" s="3" t="str">
        <f t="shared" si="48"/>
        <v>Home Office</v>
      </c>
      <c r="P165" t="s">
        <v>72</v>
      </c>
      <c r="Q165" s="3" t="str">
        <f t="shared" si="49"/>
        <v>West</v>
      </c>
      <c r="R165" t="s">
        <v>234</v>
      </c>
      <c r="S165" t="s">
        <v>235</v>
      </c>
      <c r="T165" t="s">
        <v>44</v>
      </c>
      <c r="U165" s="3" t="str">
        <f t="shared" si="50"/>
        <v>Furniture</v>
      </c>
      <c r="V165" t="s">
        <v>45</v>
      </c>
      <c r="W165" t="s">
        <v>903</v>
      </c>
      <c r="Y165" s="3" t="str">
        <f t="shared" si="51"/>
        <v>Unknown</v>
      </c>
      <c r="Z165">
        <v>6</v>
      </c>
      <c r="AA165">
        <v>2903.58</v>
      </c>
      <c r="AB165">
        <v>0.1</v>
      </c>
      <c r="AC165">
        <f t="shared" si="52"/>
        <v>0.1</v>
      </c>
      <c r="AD165" t="str">
        <f t="shared" si="55"/>
        <v>Valid</v>
      </c>
      <c r="AE165">
        <v>15679.33</v>
      </c>
      <c r="AF165">
        <v>12477.82</v>
      </c>
      <c r="AG165">
        <v>3201.51</v>
      </c>
      <c r="AH165" t="s">
        <v>136</v>
      </c>
      <c r="AI165" t="str">
        <f t="shared" si="56"/>
        <v>Include</v>
      </c>
      <c r="AJ165" t="str">
        <f t="shared" si="57"/>
        <v/>
      </c>
      <c r="AK165" t="s">
        <v>124</v>
      </c>
      <c r="AL165" t="str">
        <f t="shared" si="53"/>
        <v>Returned</v>
      </c>
      <c r="AM165" t="str">
        <f t="shared" si="58"/>
        <v>Include</v>
      </c>
      <c r="AN165">
        <f t="shared" si="59"/>
        <v>15679.332</v>
      </c>
      <c r="AO165">
        <f t="shared" si="60"/>
        <v>3201.5120000000006</v>
      </c>
      <c r="AP165">
        <f>IF(AN165=0,0,AO165/AN165)</f>
        <v>0.20418675999717339</v>
      </c>
      <c r="AQ165" t="str">
        <f t="shared" si="61"/>
        <v>September</v>
      </c>
      <c r="AR165">
        <f t="shared" si="62"/>
        <v>2025</v>
      </c>
      <c r="AS165" t="str">
        <f t="shared" si="63"/>
        <v>Warning</v>
      </c>
      <c r="AT165" t="str">
        <f>IF(OR(AC165&lt;0,AC165&gt;0.5),"Invalid Discount","Valid")</f>
        <v>Valid</v>
      </c>
      <c r="AU165" t="str">
        <f>IF(G165&lt;E165,"Invalid Shipping Record","Valid")</f>
        <v>Valid</v>
      </c>
      <c r="AV165" t="str">
        <f>IF(OR(AL165="Cancelled",AH165="Failed"),"Exclude","Include")</f>
        <v>Include</v>
      </c>
      <c r="AW165" t="str">
        <f t="shared" si="64"/>
        <v>Match</v>
      </c>
      <c r="AX165" t="str">
        <f t="shared" si="65"/>
        <v>Match</v>
      </c>
    </row>
    <row r="166" spans="1:50">
      <c r="A166" t="s">
        <v>904</v>
      </c>
      <c r="B166">
        <f t="shared" si="66"/>
        <v>1</v>
      </c>
      <c r="C166" t="str">
        <f t="shared" si="54"/>
        <v/>
      </c>
      <c r="D166" s="3" t="s">
        <v>905</v>
      </c>
      <c r="E166" s="7">
        <v>45909</v>
      </c>
      <c r="F166" s="3" t="s">
        <v>906</v>
      </c>
      <c r="G166" s="7">
        <v>45914</v>
      </c>
      <c r="H166" s="7" t="str">
        <f t="shared" si="45"/>
        <v>Valid</v>
      </c>
      <c r="I166" s="9">
        <f t="shared" si="46"/>
        <v>5</v>
      </c>
      <c r="J166" s="9" t="str">
        <f t="shared" si="47"/>
        <v>Valid</v>
      </c>
      <c r="K166" t="s">
        <v>907</v>
      </c>
      <c r="L166" t="s">
        <v>147</v>
      </c>
      <c r="M166" t="s">
        <v>147</v>
      </c>
      <c r="N166" t="s">
        <v>40</v>
      </c>
      <c r="O166" s="3" t="str">
        <f t="shared" si="48"/>
        <v>Small Business</v>
      </c>
      <c r="P166" t="s">
        <v>41</v>
      </c>
      <c r="Q166" s="3" t="str">
        <f t="shared" si="49"/>
        <v>East</v>
      </c>
      <c r="R166" t="s">
        <v>120</v>
      </c>
      <c r="S166" t="s">
        <v>121</v>
      </c>
      <c r="T166" t="s">
        <v>44</v>
      </c>
      <c r="U166" s="3" t="str">
        <f t="shared" si="50"/>
        <v>Furniture</v>
      </c>
      <c r="V166" t="s">
        <v>203</v>
      </c>
      <c r="W166" t="s">
        <v>908</v>
      </c>
      <c r="X166" t="s">
        <v>32</v>
      </c>
      <c r="Y166" s="3" t="str">
        <f t="shared" si="51"/>
        <v>Second Class</v>
      </c>
      <c r="Z166">
        <v>1</v>
      </c>
      <c r="AA166">
        <v>3154.42</v>
      </c>
      <c r="AB166">
        <v>0.25</v>
      </c>
      <c r="AC166">
        <f t="shared" si="52"/>
        <v>0.25</v>
      </c>
      <c r="AD166" t="str">
        <f t="shared" si="55"/>
        <v>Valid</v>
      </c>
      <c r="AE166">
        <v>2365.8200000000002</v>
      </c>
      <c r="AF166">
        <v>1547.99</v>
      </c>
      <c r="AG166">
        <v>817.83</v>
      </c>
      <c r="AH166" t="s">
        <v>33</v>
      </c>
      <c r="AI166" t="str">
        <f t="shared" si="56"/>
        <v>Include</v>
      </c>
      <c r="AJ166" t="str">
        <f t="shared" si="57"/>
        <v/>
      </c>
      <c r="AK166" t="s">
        <v>34</v>
      </c>
      <c r="AL166" t="str">
        <f t="shared" si="53"/>
        <v>Completed</v>
      </c>
      <c r="AM166" t="str">
        <f t="shared" si="58"/>
        <v>Include</v>
      </c>
      <c r="AN166">
        <f t="shared" si="59"/>
        <v>2365.8150000000001</v>
      </c>
      <c r="AO166">
        <f t="shared" si="60"/>
        <v>817.82500000000005</v>
      </c>
      <c r="AP166">
        <f>IF(AN166=0,0,AO166/AN166)</f>
        <v>0.34568425679945392</v>
      </c>
      <c r="AQ166" t="str">
        <f t="shared" si="61"/>
        <v>September</v>
      </c>
      <c r="AR166">
        <f t="shared" si="62"/>
        <v>2025</v>
      </c>
      <c r="AS166" t="str">
        <f t="shared" si="63"/>
        <v>Clean</v>
      </c>
      <c r="AT166" t="str">
        <f>IF(OR(AC166&lt;0,AC166&gt;0.5),"Invalid Discount","Valid")</f>
        <v>Valid</v>
      </c>
      <c r="AU166" t="str">
        <f>IF(G166&lt;E166,"Invalid Shipping Record","Valid")</f>
        <v>Valid</v>
      </c>
      <c r="AV166" t="str">
        <f>IF(OR(AL166="Cancelled",AH166="Failed"),"Exclude","Include")</f>
        <v>Include</v>
      </c>
      <c r="AW166" t="str">
        <f t="shared" si="64"/>
        <v>Match</v>
      </c>
      <c r="AX166" t="str">
        <f t="shared" si="65"/>
        <v>Match</v>
      </c>
    </row>
    <row r="167" spans="1:50">
      <c r="A167" t="s">
        <v>909</v>
      </c>
      <c r="B167">
        <f t="shared" si="66"/>
        <v>1</v>
      </c>
      <c r="C167" t="str">
        <f t="shared" si="54"/>
        <v/>
      </c>
      <c r="D167" s="3" t="s">
        <v>910</v>
      </c>
      <c r="E167" s="7">
        <v>45618</v>
      </c>
      <c r="F167" s="3" t="s">
        <v>911</v>
      </c>
      <c r="G167" s="7">
        <v>45625</v>
      </c>
      <c r="H167" s="7" t="str">
        <f t="shared" si="45"/>
        <v>Valid</v>
      </c>
      <c r="I167" s="9">
        <f t="shared" si="46"/>
        <v>7</v>
      </c>
      <c r="J167" s="9" t="str">
        <f t="shared" si="47"/>
        <v>Valid</v>
      </c>
      <c r="K167" t="s">
        <v>912</v>
      </c>
      <c r="L167" t="s">
        <v>39</v>
      </c>
      <c r="M167" t="s">
        <v>39</v>
      </c>
      <c r="N167" t="s">
        <v>114</v>
      </c>
      <c r="O167" s="3" t="str">
        <f t="shared" si="48"/>
        <v>Home Office</v>
      </c>
      <c r="P167" t="s">
        <v>41</v>
      </c>
      <c r="Q167" s="3" t="str">
        <f t="shared" si="49"/>
        <v>East</v>
      </c>
      <c r="R167" t="s">
        <v>185</v>
      </c>
      <c r="S167" t="s">
        <v>186</v>
      </c>
      <c r="T167" t="s">
        <v>44</v>
      </c>
      <c r="U167" s="3" t="str">
        <f t="shared" si="50"/>
        <v>Furniture</v>
      </c>
      <c r="V167" t="s">
        <v>75</v>
      </c>
      <c r="W167" t="s">
        <v>913</v>
      </c>
      <c r="X167" t="s">
        <v>66</v>
      </c>
      <c r="Y167" s="3" t="str">
        <f t="shared" si="51"/>
        <v>Standard Class</v>
      </c>
      <c r="Z167">
        <v>4</v>
      </c>
      <c r="AA167">
        <v>3422.99</v>
      </c>
      <c r="AB167">
        <v>0.25</v>
      </c>
      <c r="AC167">
        <f t="shared" si="52"/>
        <v>0.25</v>
      </c>
      <c r="AD167" t="str">
        <f t="shared" si="55"/>
        <v>Valid</v>
      </c>
      <c r="AE167">
        <v>10268.969999999999</v>
      </c>
      <c r="AF167">
        <v>6470.92</v>
      </c>
      <c r="AG167">
        <v>3798.05</v>
      </c>
      <c r="AH167" t="s">
        <v>33</v>
      </c>
      <c r="AI167" t="str">
        <f t="shared" si="56"/>
        <v>Include</v>
      </c>
      <c r="AJ167" t="str">
        <f t="shared" si="57"/>
        <v/>
      </c>
      <c r="AK167" t="s">
        <v>34</v>
      </c>
      <c r="AL167" t="str">
        <f t="shared" si="53"/>
        <v>Completed</v>
      </c>
      <c r="AM167" t="str">
        <f t="shared" si="58"/>
        <v>Include</v>
      </c>
      <c r="AN167">
        <f t="shared" si="59"/>
        <v>10268.969999999999</v>
      </c>
      <c r="AO167">
        <f t="shared" si="60"/>
        <v>3798.0499999999993</v>
      </c>
      <c r="AP167">
        <f>IF(AN167=0,0,AO167/AN167)</f>
        <v>0.36985695741637181</v>
      </c>
      <c r="AQ167" t="str">
        <f t="shared" si="61"/>
        <v>November</v>
      </c>
      <c r="AR167">
        <f t="shared" si="62"/>
        <v>2024</v>
      </c>
      <c r="AS167" t="str">
        <f t="shared" si="63"/>
        <v>Clean</v>
      </c>
      <c r="AT167" t="str">
        <f>IF(OR(AC167&lt;0,AC167&gt;0.5),"Invalid Discount","Valid")</f>
        <v>Valid</v>
      </c>
      <c r="AU167" t="str">
        <f>IF(G167&lt;E167,"Invalid Shipping Record","Valid")</f>
        <v>Valid</v>
      </c>
      <c r="AV167" t="str">
        <f>IF(OR(AL167="Cancelled",AH167="Failed"),"Exclude","Include")</f>
        <v>Include</v>
      </c>
      <c r="AW167" t="str">
        <f t="shared" si="64"/>
        <v>Match</v>
      </c>
      <c r="AX167" t="str">
        <f t="shared" si="65"/>
        <v>Match</v>
      </c>
    </row>
    <row r="168" spans="1:50">
      <c r="A168" t="s">
        <v>914</v>
      </c>
      <c r="B168">
        <f t="shared" si="66"/>
        <v>1</v>
      </c>
      <c r="C168" t="str">
        <f t="shared" si="54"/>
        <v/>
      </c>
      <c r="D168" s="3" t="s">
        <v>915</v>
      </c>
      <c r="E168" s="7">
        <v>45708</v>
      </c>
      <c r="F168" s="3" t="s">
        <v>97</v>
      </c>
      <c r="G168" s="7">
        <v>45714</v>
      </c>
      <c r="H168" s="7" t="str">
        <f t="shared" si="45"/>
        <v>Valid</v>
      </c>
      <c r="I168" s="9">
        <f t="shared" si="46"/>
        <v>6</v>
      </c>
      <c r="J168" s="9" t="str">
        <f t="shared" si="47"/>
        <v>Valid</v>
      </c>
      <c r="K168" t="s">
        <v>916</v>
      </c>
      <c r="L168" t="s">
        <v>24</v>
      </c>
      <c r="M168" t="s">
        <v>24</v>
      </c>
      <c r="N168" t="s">
        <v>40</v>
      </c>
      <c r="O168" s="3" t="str">
        <f t="shared" si="48"/>
        <v>Small Business</v>
      </c>
      <c r="P168" t="s">
        <v>72</v>
      </c>
      <c r="Q168" s="3" t="str">
        <f t="shared" si="49"/>
        <v>West</v>
      </c>
      <c r="R168" t="s">
        <v>234</v>
      </c>
      <c r="S168" t="s">
        <v>235</v>
      </c>
      <c r="T168" t="s">
        <v>917</v>
      </c>
      <c r="U168" s="3" t="str">
        <f t="shared" si="50"/>
        <v>Office Supplies</v>
      </c>
      <c r="V168" t="s">
        <v>108</v>
      </c>
      <c r="W168" t="s">
        <v>918</v>
      </c>
      <c r="X168" t="s">
        <v>55</v>
      </c>
      <c r="Y168" s="3" t="str">
        <f t="shared" si="51"/>
        <v>First Class</v>
      </c>
      <c r="Z168">
        <v>1</v>
      </c>
      <c r="AA168">
        <v>2557.85</v>
      </c>
      <c r="AB168">
        <v>0.2</v>
      </c>
      <c r="AC168">
        <f t="shared" si="52"/>
        <v>0.2</v>
      </c>
      <c r="AD168" t="str">
        <f t="shared" si="55"/>
        <v>Valid</v>
      </c>
      <c r="AE168">
        <v>2046.28</v>
      </c>
      <c r="AF168">
        <v>1449.54</v>
      </c>
      <c r="AG168">
        <v>596.74</v>
      </c>
      <c r="AH168" t="s">
        <v>33</v>
      </c>
      <c r="AI168" t="str">
        <f t="shared" si="56"/>
        <v>Include</v>
      </c>
      <c r="AJ168" t="str">
        <f t="shared" si="57"/>
        <v/>
      </c>
      <c r="AK168" t="s">
        <v>34</v>
      </c>
      <c r="AL168" t="str">
        <f t="shared" si="53"/>
        <v>Completed</v>
      </c>
      <c r="AM168" t="str">
        <f t="shared" si="58"/>
        <v>Include</v>
      </c>
      <c r="AN168">
        <f t="shared" si="59"/>
        <v>2046.28</v>
      </c>
      <c r="AO168">
        <f t="shared" si="60"/>
        <v>596.74</v>
      </c>
      <c r="AP168">
        <f>IF(AN168=0,0,AO168/AN168)</f>
        <v>0.29162186992982386</v>
      </c>
      <c r="AQ168" t="str">
        <f t="shared" si="61"/>
        <v>February</v>
      </c>
      <c r="AR168">
        <f t="shared" si="62"/>
        <v>2025</v>
      </c>
      <c r="AS168" t="str">
        <f t="shared" si="63"/>
        <v>Clean</v>
      </c>
      <c r="AT168" t="str">
        <f>IF(OR(AC168&lt;0,AC168&gt;0.5),"Invalid Discount","Valid")</f>
        <v>Valid</v>
      </c>
      <c r="AU168" t="str">
        <f>IF(G168&lt;E168,"Invalid Shipping Record","Valid")</f>
        <v>Valid</v>
      </c>
      <c r="AV168" t="str">
        <f>IF(OR(AL168="Cancelled",AH168="Failed"),"Exclude","Include")</f>
        <v>Include</v>
      </c>
      <c r="AW168" t="str">
        <f t="shared" si="64"/>
        <v>Match</v>
      </c>
      <c r="AX168" t="str">
        <f t="shared" si="65"/>
        <v>Match</v>
      </c>
    </row>
    <row r="169" spans="1:50">
      <c r="A169" t="s">
        <v>919</v>
      </c>
      <c r="B169">
        <f t="shared" si="66"/>
        <v>1</v>
      </c>
      <c r="C169" t="str">
        <f t="shared" si="54"/>
        <v/>
      </c>
      <c r="D169" s="3" t="s">
        <v>920</v>
      </c>
      <c r="E169" s="7">
        <v>45887</v>
      </c>
      <c r="F169" s="3" t="s">
        <v>921</v>
      </c>
      <c r="G169" s="7">
        <v>45887</v>
      </c>
      <c r="H169" s="7" t="str">
        <f t="shared" si="45"/>
        <v>Valid</v>
      </c>
      <c r="I169" s="9">
        <f t="shared" si="46"/>
        <v>0</v>
      </c>
      <c r="J169" s="9" t="str">
        <f t="shared" si="47"/>
        <v>Valid</v>
      </c>
      <c r="K169" t="s">
        <v>922</v>
      </c>
      <c r="L169" t="s">
        <v>60</v>
      </c>
      <c r="M169" t="s">
        <v>60</v>
      </c>
      <c r="N169" t="s">
        <v>114</v>
      </c>
      <c r="O169" s="3" t="str">
        <f t="shared" si="48"/>
        <v>Home Office</v>
      </c>
      <c r="P169" t="s">
        <v>61</v>
      </c>
      <c r="Q169" s="3" t="str">
        <f t="shared" si="49"/>
        <v>South</v>
      </c>
      <c r="R169" t="s">
        <v>228</v>
      </c>
      <c r="S169" t="s">
        <v>229</v>
      </c>
      <c r="T169" t="s">
        <v>29</v>
      </c>
      <c r="U169" s="3" t="str">
        <f t="shared" si="50"/>
        <v>Office Supplies</v>
      </c>
      <c r="V169" t="s">
        <v>155</v>
      </c>
      <c r="W169" t="s">
        <v>923</v>
      </c>
      <c r="X169" t="s">
        <v>55</v>
      </c>
      <c r="Y169" s="3" t="str">
        <f t="shared" si="51"/>
        <v>First Class</v>
      </c>
      <c r="Z169">
        <v>9</v>
      </c>
      <c r="AA169">
        <v>3030.93</v>
      </c>
      <c r="AB169">
        <v>0.15</v>
      </c>
      <c r="AC169">
        <f t="shared" si="52"/>
        <v>0.15</v>
      </c>
      <c r="AD169" t="str">
        <f t="shared" si="55"/>
        <v>Valid</v>
      </c>
      <c r="AE169">
        <v>23186.61</v>
      </c>
      <c r="AF169">
        <v>17906.54</v>
      </c>
      <c r="AG169">
        <v>5280.07</v>
      </c>
      <c r="AH169" t="s">
        <v>33</v>
      </c>
      <c r="AI169" t="str">
        <f t="shared" si="56"/>
        <v>Include</v>
      </c>
      <c r="AJ169" t="str">
        <f t="shared" si="57"/>
        <v/>
      </c>
      <c r="AK169" t="s">
        <v>124</v>
      </c>
      <c r="AL169" t="str">
        <f t="shared" si="53"/>
        <v>Returned</v>
      </c>
      <c r="AM169" t="str">
        <f t="shared" si="58"/>
        <v>Include</v>
      </c>
      <c r="AN169">
        <f t="shared" si="59"/>
        <v>23186.6145</v>
      </c>
      <c r="AO169">
        <f t="shared" si="60"/>
        <v>5280.0744999999988</v>
      </c>
      <c r="AP169">
        <f>IF(AN169=0,0,AO169/AN169)</f>
        <v>0.22772080417345961</v>
      </c>
      <c r="AQ169" t="str">
        <f t="shared" si="61"/>
        <v>August</v>
      </c>
      <c r="AR169">
        <f t="shared" si="62"/>
        <v>2025</v>
      </c>
      <c r="AS169" t="str">
        <f t="shared" si="63"/>
        <v>Clean</v>
      </c>
      <c r="AT169" t="str">
        <f>IF(OR(AC169&lt;0,AC169&gt;0.5),"Invalid Discount","Valid")</f>
        <v>Valid</v>
      </c>
      <c r="AU169" t="str">
        <f>IF(G169&lt;E169,"Invalid Shipping Record","Valid")</f>
        <v>Valid</v>
      </c>
      <c r="AV169" t="str">
        <f>IF(OR(AL169="Cancelled",AH169="Failed"),"Exclude","Include")</f>
        <v>Include</v>
      </c>
      <c r="AW169" t="str">
        <f t="shared" si="64"/>
        <v>Match</v>
      </c>
      <c r="AX169" t="str">
        <f t="shared" si="65"/>
        <v>Match</v>
      </c>
    </row>
    <row r="170" spans="1:50">
      <c r="A170" t="s">
        <v>924</v>
      </c>
      <c r="B170">
        <f t="shared" si="66"/>
        <v>1</v>
      </c>
      <c r="C170" t="str">
        <f t="shared" si="54"/>
        <v/>
      </c>
      <c r="D170" s="3" t="s">
        <v>925</v>
      </c>
      <c r="E170" s="7">
        <v>45677</v>
      </c>
      <c r="F170" s="3" t="s">
        <v>183</v>
      </c>
      <c r="G170" s="7">
        <v>45680</v>
      </c>
      <c r="H170" s="7" t="str">
        <f t="shared" si="45"/>
        <v>Valid</v>
      </c>
      <c r="I170" s="9">
        <f t="shared" si="46"/>
        <v>3</v>
      </c>
      <c r="J170" s="9" t="str">
        <f t="shared" si="47"/>
        <v>Valid</v>
      </c>
      <c r="K170" t="s">
        <v>926</v>
      </c>
      <c r="L170" t="s">
        <v>365</v>
      </c>
      <c r="M170" t="s">
        <v>365</v>
      </c>
      <c r="N170" t="s">
        <v>25</v>
      </c>
      <c r="O170" s="3" t="str">
        <f t="shared" si="48"/>
        <v>Consumer</v>
      </c>
      <c r="P170" t="s">
        <v>72</v>
      </c>
      <c r="Q170" s="3" t="str">
        <f t="shared" si="49"/>
        <v>West</v>
      </c>
      <c r="R170" t="s">
        <v>73</v>
      </c>
      <c r="S170" t="s">
        <v>74</v>
      </c>
      <c r="T170" t="s">
        <v>85</v>
      </c>
      <c r="U170" s="3" t="str">
        <f t="shared" si="50"/>
        <v>Technology</v>
      </c>
      <c r="V170" t="s">
        <v>86</v>
      </c>
      <c r="W170" t="s">
        <v>927</v>
      </c>
      <c r="X170" t="s">
        <v>47</v>
      </c>
      <c r="Y170" s="3" t="str">
        <f t="shared" si="51"/>
        <v>Same Day</v>
      </c>
      <c r="Z170">
        <v>5</v>
      </c>
      <c r="AA170">
        <v>639.27</v>
      </c>
      <c r="AB170">
        <v>0.2</v>
      </c>
      <c r="AC170">
        <f t="shared" si="52"/>
        <v>0.2</v>
      </c>
      <c r="AD170" t="str">
        <f t="shared" si="55"/>
        <v>Valid</v>
      </c>
      <c r="AE170">
        <v>2557.08</v>
      </c>
      <c r="AF170">
        <v>2025.69</v>
      </c>
      <c r="AG170">
        <v>531.39</v>
      </c>
      <c r="AH170" t="s">
        <v>33</v>
      </c>
      <c r="AI170" t="str">
        <f t="shared" si="56"/>
        <v>Exclude</v>
      </c>
      <c r="AJ170" t="str">
        <f t="shared" si="57"/>
        <v/>
      </c>
      <c r="AK170" t="s">
        <v>77</v>
      </c>
      <c r="AL170" t="str">
        <f t="shared" si="53"/>
        <v>Cancelled</v>
      </c>
      <c r="AM170" t="str">
        <f t="shared" si="58"/>
        <v>Exclude</v>
      </c>
      <c r="AN170">
        <f t="shared" si="59"/>
        <v>2557.08</v>
      </c>
      <c r="AO170">
        <f t="shared" si="60"/>
        <v>531.38999999999987</v>
      </c>
      <c r="AP170">
        <f>IF(AN170=0,0,AO170/AN170)</f>
        <v>0.2078112534609789</v>
      </c>
      <c r="AQ170" t="str">
        <f t="shared" si="61"/>
        <v>January</v>
      </c>
      <c r="AR170">
        <f t="shared" si="62"/>
        <v>2025</v>
      </c>
      <c r="AS170" t="str">
        <f t="shared" si="63"/>
        <v>Clean</v>
      </c>
      <c r="AT170" t="str">
        <f>IF(OR(AC170&lt;0,AC170&gt;0.5),"Invalid Discount","Valid")</f>
        <v>Valid</v>
      </c>
      <c r="AU170" t="str">
        <f>IF(G170&lt;E170,"Invalid Shipping Record","Valid")</f>
        <v>Valid</v>
      </c>
      <c r="AV170" t="str">
        <f>IF(OR(AL170="Cancelled",AH170="Failed"),"Exclude","Include")</f>
        <v>Exclude</v>
      </c>
      <c r="AW170" t="str">
        <f t="shared" si="64"/>
        <v>Match</v>
      </c>
      <c r="AX170" t="str">
        <f t="shared" si="65"/>
        <v>Match</v>
      </c>
    </row>
    <row r="171" spans="1:50">
      <c r="A171" t="s">
        <v>928</v>
      </c>
      <c r="B171">
        <f t="shared" si="66"/>
        <v>1</v>
      </c>
      <c r="C171" t="str">
        <f t="shared" si="54"/>
        <v/>
      </c>
      <c r="D171" s="3" t="s">
        <v>929</v>
      </c>
      <c r="E171" s="7">
        <v>45913</v>
      </c>
      <c r="F171" s="3" t="s">
        <v>930</v>
      </c>
      <c r="G171" s="7">
        <v>45913</v>
      </c>
      <c r="H171" s="7" t="str">
        <f t="shared" si="45"/>
        <v>Valid</v>
      </c>
      <c r="I171" s="9">
        <f t="shared" si="46"/>
        <v>0</v>
      </c>
      <c r="J171" s="9" t="str">
        <f t="shared" si="47"/>
        <v>Valid</v>
      </c>
      <c r="K171" t="s">
        <v>931</v>
      </c>
      <c r="L171" t="s">
        <v>209</v>
      </c>
      <c r="M171" t="s">
        <v>209</v>
      </c>
      <c r="N171" t="s">
        <v>25</v>
      </c>
      <c r="O171" s="3" t="str">
        <f t="shared" si="48"/>
        <v>Consumer</v>
      </c>
      <c r="P171" t="s">
        <v>41</v>
      </c>
      <c r="Q171" s="3" t="str">
        <f t="shared" si="49"/>
        <v>East</v>
      </c>
      <c r="R171" t="s">
        <v>215</v>
      </c>
      <c r="S171" t="s">
        <v>216</v>
      </c>
      <c r="T171" t="s">
        <v>29</v>
      </c>
      <c r="U171" s="3" t="str">
        <f t="shared" si="50"/>
        <v>Office Supplies</v>
      </c>
      <c r="V171" t="s">
        <v>53</v>
      </c>
      <c r="W171" t="s">
        <v>932</v>
      </c>
      <c r="X171" t="s">
        <v>66</v>
      </c>
      <c r="Y171" s="3" t="str">
        <f t="shared" si="51"/>
        <v>Standard Class</v>
      </c>
      <c r="Z171">
        <v>8</v>
      </c>
      <c r="AA171">
        <v>733.9</v>
      </c>
      <c r="AB171">
        <v>0.05</v>
      </c>
      <c r="AC171">
        <f t="shared" si="52"/>
        <v>0.05</v>
      </c>
      <c r="AD171" t="str">
        <f t="shared" si="55"/>
        <v>Valid</v>
      </c>
      <c r="AE171">
        <v>5577.64</v>
      </c>
      <c r="AF171">
        <v>3541.29</v>
      </c>
      <c r="AG171">
        <v>2036.35</v>
      </c>
      <c r="AH171" t="s">
        <v>136</v>
      </c>
      <c r="AI171" t="str">
        <f t="shared" si="56"/>
        <v>Include</v>
      </c>
      <c r="AJ171" t="str">
        <f t="shared" si="57"/>
        <v/>
      </c>
      <c r="AK171" t="s">
        <v>124</v>
      </c>
      <c r="AL171" t="str">
        <f t="shared" si="53"/>
        <v>Returned</v>
      </c>
      <c r="AM171" t="str">
        <f t="shared" si="58"/>
        <v>Include</v>
      </c>
      <c r="AN171">
        <f t="shared" si="59"/>
        <v>5577.6399999999994</v>
      </c>
      <c r="AO171">
        <f t="shared" si="60"/>
        <v>2036.3499999999995</v>
      </c>
      <c r="AP171">
        <f>IF(AN171=0,0,AO171/AN171)</f>
        <v>0.36509168752375548</v>
      </c>
      <c r="AQ171" t="str">
        <f t="shared" si="61"/>
        <v>September</v>
      </c>
      <c r="AR171">
        <f t="shared" si="62"/>
        <v>2025</v>
      </c>
      <c r="AS171" t="str">
        <f t="shared" si="63"/>
        <v>Clean</v>
      </c>
      <c r="AT171" t="str">
        <f>IF(OR(AC171&lt;0,AC171&gt;0.5),"Invalid Discount","Valid")</f>
        <v>Valid</v>
      </c>
      <c r="AU171" t="str">
        <f>IF(G171&lt;E171,"Invalid Shipping Record","Valid")</f>
        <v>Valid</v>
      </c>
      <c r="AV171" t="str">
        <f>IF(OR(AL171="Cancelled",AH171="Failed"),"Exclude","Include")</f>
        <v>Include</v>
      </c>
      <c r="AW171" t="str">
        <f t="shared" si="64"/>
        <v>Match</v>
      </c>
      <c r="AX171" t="str">
        <f t="shared" si="65"/>
        <v>Match</v>
      </c>
    </row>
    <row r="172" spans="1:50">
      <c r="A172" t="s">
        <v>799</v>
      </c>
      <c r="B172">
        <f t="shared" si="66"/>
        <v>2</v>
      </c>
      <c r="C172" t="str">
        <f t="shared" si="54"/>
        <v>Review Required</v>
      </c>
      <c r="D172" s="3" t="s">
        <v>800</v>
      </c>
      <c r="E172" s="7">
        <v>45381</v>
      </c>
      <c r="F172" s="3" t="s">
        <v>801</v>
      </c>
      <c r="G172" s="7">
        <v>45377</v>
      </c>
      <c r="H172" s="7" t="str">
        <f t="shared" si="45"/>
        <v>Invalid Shipping Record</v>
      </c>
      <c r="I172" s="9">
        <f t="shared" si="46"/>
        <v>-4</v>
      </c>
      <c r="J172" s="9" t="str">
        <f t="shared" si="47"/>
        <v>Invalid Shipping Record</v>
      </c>
      <c r="K172" t="s">
        <v>802</v>
      </c>
      <c r="L172" t="s">
        <v>106</v>
      </c>
      <c r="M172" t="s">
        <v>106</v>
      </c>
      <c r="N172" t="s">
        <v>114</v>
      </c>
      <c r="O172" s="3" t="str">
        <f t="shared" si="48"/>
        <v>Home Office</v>
      </c>
      <c r="P172" t="s">
        <v>26</v>
      </c>
      <c r="Q172" s="3" t="str">
        <f t="shared" si="49"/>
        <v>North</v>
      </c>
      <c r="R172" t="s">
        <v>27</v>
      </c>
      <c r="S172" t="s">
        <v>28</v>
      </c>
      <c r="T172" t="s">
        <v>85</v>
      </c>
      <c r="U172" s="3" t="str">
        <f t="shared" si="50"/>
        <v>Technology</v>
      </c>
      <c r="V172" t="s">
        <v>222</v>
      </c>
      <c r="W172" t="s">
        <v>803</v>
      </c>
      <c r="X172" t="s">
        <v>32</v>
      </c>
      <c r="Y172" s="3" t="str">
        <f t="shared" si="51"/>
        <v>Second Class</v>
      </c>
      <c r="Z172">
        <v>5</v>
      </c>
      <c r="AA172">
        <v>907.54</v>
      </c>
      <c r="AB172">
        <v>0.15</v>
      </c>
      <c r="AC172">
        <f t="shared" si="52"/>
        <v>0.15</v>
      </c>
      <c r="AD172" t="str">
        <f t="shared" si="55"/>
        <v>Valid</v>
      </c>
      <c r="AE172">
        <v>4099.6899999999996</v>
      </c>
      <c r="AF172">
        <v>2769.26</v>
      </c>
      <c r="AG172">
        <v>1087.78</v>
      </c>
      <c r="AH172" t="s">
        <v>33</v>
      </c>
      <c r="AI172" t="str">
        <f t="shared" si="56"/>
        <v>Include</v>
      </c>
      <c r="AJ172" t="str">
        <f t="shared" si="57"/>
        <v/>
      </c>
      <c r="AK172" t="s">
        <v>124</v>
      </c>
      <c r="AL172" t="str">
        <f t="shared" si="53"/>
        <v>Returned</v>
      </c>
      <c r="AM172" t="str">
        <f t="shared" si="58"/>
        <v>Include</v>
      </c>
      <c r="AN172">
        <f t="shared" si="59"/>
        <v>3857.0449999999996</v>
      </c>
      <c r="AO172">
        <f t="shared" si="60"/>
        <v>1087.7849999999994</v>
      </c>
      <c r="AP172">
        <f>IF(AN172=0,0,AO172/AN172)</f>
        <v>0.28202548842442843</v>
      </c>
      <c r="AQ172" t="str">
        <f t="shared" si="61"/>
        <v>March</v>
      </c>
      <c r="AR172">
        <f t="shared" si="62"/>
        <v>2024</v>
      </c>
      <c r="AS172" t="str">
        <f t="shared" si="63"/>
        <v>Invalid</v>
      </c>
      <c r="AT172" t="str">
        <f>IF(OR(AC172&lt;0,AC172&gt;0.5),"Invalid Discount","Valid")</f>
        <v>Valid</v>
      </c>
      <c r="AU172" t="str">
        <f>IF(G172&lt;E172,"Invalid Shipping Record","Valid")</f>
        <v>Invalid Shipping Record</v>
      </c>
      <c r="AV172" t="str">
        <f>IF(OR(AL172="Cancelled",AH172="Failed"),"Exclude","Include")</f>
        <v>Include</v>
      </c>
      <c r="AW172" t="str">
        <f t="shared" si="64"/>
        <v>Mismatch</v>
      </c>
      <c r="AX172" t="str">
        <f t="shared" si="65"/>
        <v>Mismatch</v>
      </c>
    </row>
    <row r="173" spans="1:50">
      <c r="A173" t="s">
        <v>937</v>
      </c>
      <c r="B173">
        <f t="shared" si="66"/>
        <v>1</v>
      </c>
      <c r="C173" t="str">
        <f t="shared" si="54"/>
        <v/>
      </c>
      <c r="D173" s="3" t="s">
        <v>96</v>
      </c>
      <c r="E173" s="7">
        <v>45711</v>
      </c>
      <c r="F173" s="3" t="s">
        <v>938</v>
      </c>
      <c r="G173" s="7">
        <v>45713</v>
      </c>
      <c r="H173" s="7" t="str">
        <f t="shared" si="45"/>
        <v>Valid</v>
      </c>
      <c r="I173" s="9">
        <f t="shared" si="46"/>
        <v>2</v>
      </c>
      <c r="J173" s="9" t="str">
        <f t="shared" si="47"/>
        <v>Valid</v>
      </c>
      <c r="K173" t="s">
        <v>939</v>
      </c>
      <c r="L173" t="s">
        <v>24</v>
      </c>
      <c r="M173" t="s">
        <v>24</v>
      </c>
      <c r="N173" t="s">
        <v>107</v>
      </c>
      <c r="O173" s="3" t="str">
        <f t="shared" si="48"/>
        <v>Corporate</v>
      </c>
      <c r="P173" t="s">
        <v>41</v>
      </c>
      <c r="Q173" s="3" t="str">
        <f t="shared" si="49"/>
        <v>East</v>
      </c>
      <c r="R173" t="s">
        <v>185</v>
      </c>
      <c r="S173" t="s">
        <v>186</v>
      </c>
      <c r="T173" t="s">
        <v>29</v>
      </c>
      <c r="U173" s="3" t="str">
        <f t="shared" si="50"/>
        <v>Office Supplies</v>
      </c>
      <c r="V173" t="s">
        <v>108</v>
      </c>
      <c r="W173" t="s">
        <v>940</v>
      </c>
      <c r="X173" t="s">
        <v>47</v>
      </c>
      <c r="Y173" s="3" t="str">
        <f t="shared" si="51"/>
        <v>Same Day</v>
      </c>
      <c r="Z173">
        <v>5</v>
      </c>
      <c r="AA173">
        <v>4246.2700000000004</v>
      </c>
      <c r="AB173">
        <v>0.25</v>
      </c>
      <c r="AC173">
        <f t="shared" si="52"/>
        <v>0.25</v>
      </c>
      <c r="AD173" t="str">
        <f t="shared" si="55"/>
        <v>Valid</v>
      </c>
      <c r="AE173">
        <v>15923.51</v>
      </c>
      <c r="AF173">
        <v>11291.8</v>
      </c>
      <c r="AG173">
        <v>4631.71</v>
      </c>
      <c r="AH173" t="s">
        <v>33</v>
      </c>
      <c r="AI173" t="str">
        <f t="shared" si="56"/>
        <v>Include</v>
      </c>
      <c r="AJ173" t="str">
        <f t="shared" si="57"/>
        <v/>
      </c>
      <c r="AK173" t="s">
        <v>34</v>
      </c>
      <c r="AL173" t="str">
        <f t="shared" si="53"/>
        <v>Completed</v>
      </c>
      <c r="AM173" t="str">
        <f t="shared" si="58"/>
        <v>Include</v>
      </c>
      <c r="AN173">
        <f t="shared" si="59"/>
        <v>15923.512500000001</v>
      </c>
      <c r="AO173">
        <f t="shared" si="60"/>
        <v>4631.7125000000015</v>
      </c>
      <c r="AP173">
        <f>IF(AN173=0,0,AO173/AN173)</f>
        <v>0.29087253832971849</v>
      </c>
      <c r="AQ173" t="str">
        <f t="shared" si="61"/>
        <v>February</v>
      </c>
      <c r="AR173">
        <f t="shared" si="62"/>
        <v>2025</v>
      </c>
      <c r="AS173" t="str">
        <f t="shared" si="63"/>
        <v>Clean</v>
      </c>
      <c r="AT173" t="str">
        <f>IF(OR(AC173&lt;0,AC173&gt;0.5),"Invalid Discount","Valid")</f>
        <v>Valid</v>
      </c>
      <c r="AU173" t="str">
        <f>IF(G173&lt;E173,"Invalid Shipping Record","Valid")</f>
        <v>Valid</v>
      </c>
      <c r="AV173" t="str">
        <f>IF(OR(AL173="Cancelled",AH173="Failed"),"Exclude","Include")</f>
        <v>Include</v>
      </c>
      <c r="AW173" t="str">
        <f t="shared" si="64"/>
        <v>Match</v>
      </c>
      <c r="AX173" t="str">
        <f t="shared" si="65"/>
        <v>Match</v>
      </c>
    </row>
    <row r="174" spans="1:50">
      <c r="A174" t="s">
        <v>941</v>
      </c>
      <c r="B174">
        <f t="shared" si="66"/>
        <v>1</v>
      </c>
      <c r="C174" t="str">
        <f t="shared" si="54"/>
        <v/>
      </c>
      <c r="D174" s="3" t="s">
        <v>942</v>
      </c>
      <c r="E174" s="7">
        <v>45871</v>
      </c>
      <c r="F174" s="3" t="s">
        <v>943</v>
      </c>
      <c r="G174" s="7">
        <v>45879</v>
      </c>
      <c r="H174" s="7" t="str">
        <f t="shared" si="45"/>
        <v>Valid</v>
      </c>
      <c r="I174" s="9">
        <f t="shared" si="46"/>
        <v>8</v>
      </c>
      <c r="J174" s="9" t="str">
        <f t="shared" si="47"/>
        <v>Valid</v>
      </c>
      <c r="K174" t="s">
        <v>944</v>
      </c>
      <c r="L174" t="s">
        <v>24</v>
      </c>
      <c r="M174" t="s">
        <v>24</v>
      </c>
      <c r="N174" t="s">
        <v>107</v>
      </c>
      <c r="O174" s="3" t="str">
        <f t="shared" si="48"/>
        <v>Corporate</v>
      </c>
      <c r="P174" t="s">
        <v>26</v>
      </c>
      <c r="Q174" s="3" t="str">
        <f t="shared" si="49"/>
        <v>North</v>
      </c>
      <c r="R174" t="s">
        <v>505</v>
      </c>
      <c r="S174" t="s">
        <v>506</v>
      </c>
      <c r="T174" t="s">
        <v>44</v>
      </c>
      <c r="U174" s="3" t="str">
        <f t="shared" si="50"/>
        <v>Furniture</v>
      </c>
      <c r="V174" t="s">
        <v>64</v>
      </c>
      <c r="W174" t="s">
        <v>945</v>
      </c>
      <c r="X174" t="s">
        <v>47</v>
      </c>
      <c r="Y174" s="3" t="str">
        <f t="shared" si="51"/>
        <v>Same Day</v>
      </c>
      <c r="Z174">
        <v>9</v>
      </c>
      <c r="AA174">
        <v>2962.62</v>
      </c>
      <c r="AB174">
        <v>0.1</v>
      </c>
      <c r="AC174">
        <f t="shared" si="52"/>
        <v>0.1</v>
      </c>
      <c r="AD174" t="str">
        <f t="shared" si="55"/>
        <v>Valid</v>
      </c>
      <c r="AE174">
        <v>23997.22</v>
      </c>
      <c r="AF174">
        <v>16134.63</v>
      </c>
      <c r="AG174">
        <v>7862.59</v>
      </c>
      <c r="AH174" t="s">
        <v>123</v>
      </c>
      <c r="AI174" t="str">
        <f t="shared" si="56"/>
        <v>Include</v>
      </c>
      <c r="AJ174" t="str">
        <f t="shared" si="57"/>
        <v>Refunded Order</v>
      </c>
      <c r="AK174" t="s">
        <v>124</v>
      </c>
      <c r="AL174" t="str">
        <f t="shared" si="53"/>
        <v>Returned</v>
      </c>
      <c r="AM174" t="str">
        <f t="shared" si="58"/>
        <v>Include</v>
      </c>
      <c r="AN174">
        <f t="shared" si="59"/>
        <v>23997.221999999998</v>
      </c>
      <c r="AO174">
        <f t="shared" si="60"/>
        <v>7862.5919999999987</v>
      </c>
      <c r="AP174">
        <f>IF(AN174=0,0,AO174/AN174)</f>
        <v>0.32764592501582057</v>
      </c>
      <c r="AQ174" t="str">
        <f t="shared" si="61"/>
        <v>August</v>
      </c>
      <c r="AR174">
        <f t="shared" si="62"/>
        <v>2025</v>
      </c>
      <c r="AS174" t="str">
        <f t="shared" si="63"/>
        <v>Clean</v>
      </c>
      <c r="AT174" t="str">
        <f>IF(OR(AC174&lt;0,AC174&gt;0.5),"Invalid Discount","Valid")</f>
        <v>Valid</v>
      </c>
      <c r="AU174" t="str">
        <f>IF(G174&lt;E174,"Invalid Shipping Record","Valid")</f>
        <v>Valid</v>
      </c>
      <c r="AV174" t="str">
        <f>IF(OR(AL174="Cancelled",AH174="Failed"),"Exclude","Include")</f>
        <v>Include</v>
      </c>
      <c r="AW174" t="str">
        <f t="shared" si="64"/>
        <v>Match</v>
      </c>
      <c r="AX174" t="str">
        <f t="shared" si="65"/>
        <v>Match</v>
      </c>
    </row>
    <row r="175" spans="1:50">
      <c r="A175" t="s">
        <v>946</v>
      </c>
      <c r="B175">
        <f t="shared" si="66"/>
        <v>1</v>
      </c>
      <c r="C175" t="str">
        <f t="shared" si="54"/>
        <v/>
      </c>
      <c r="D175" s="3" t="s">
        <v>947</v>
      </c>
      <c r="E175" s="7">
        <v>45414</v>
      </c>
      <c r="F175" s="3" t="s">
        <v>948</v>
      </c>
      <c r="G175" s="7">
        <v>45420</v>
      </c>
      <c r="H175" s="7" t="str">
        <f t="shared" si="45"/>
        <v>Valid</v>
      </c>
      <c r="I175" s="9">
        <f t="shared" si="46"/>
        <v>6</v>
      </c>
      <c r="J175" s="9" t="str">
        <f t="shared" si="47"/>
        <v>Valid</v>
      </c>
      <c r="K175" t="s">
        <v>949</v>
      </c>
      <c r="L175" t="s">
        <v>950</v>
      </c>
      <c r="M175" t="s">
        <v>950</v>
      </c>
      <c r="N175" t="s">
        <v>114</v>
      </c>
      <c r="O175" s="3" t="str">
        <f t="shared" si="48"/>
        <v>Home Office</v>
      </c>
      <c r="P175" t="s">
        <v>26</v>
      </c>
      <c r="Q175" s="3" t="str">
        <f t="shared" si="49"/>
        <v>North</v>
      </c>
      <c r="R175" t="s">
        <v>153</v>
      </c>
      <c r="S175" t="s">
        <v>154</v>
      </c>
      <c r="T175" t="s">
        <v>85</v>
      </c>
      <c r="U175" s="3" t="str">
        <f t="shared" si="50"/>
        <v>Technology</v>
      </c>
      <c r="V175" t="s">
        <v>93</v>
      </c>
      <c r="W175" t="s">
        <v>951</v>
      </c>
      <c r="X175" t="s">
        <v>32</v>
      </c>
      <c r="Y175" s="3" t="str">
        <f t="shared" si="51"/>
        <v>Second Class</v>
      </c>
      <c r="Z175">
        <v>1</v>
      </c>
      <c r="AA175">
        <v>2312.25</v>
      </c>
      <c r="AB175">
        <v>0.25</v>
      </c>
      <c r="AC175">
        <f t="shared" si="52"/>
        <v>0.25</v>
      </c>
      <c r="AD175" t="str">
        <f t="shared" si="55"/>
        <v>Valid</v>
      </c>
      <c r="AE175">
        <v>1734.19</v>
      </c>
      <c r="AF175">
        <v>1386.07</v>
      </c>
      <c r="AG175">
        <v>348.12</v>
      </c>
      <c r="AH175" t="s">
        <v>33</v>
      </c>
      <c r="AI175" t="str">
        <f t="shared" si="56"/>
        <v>Include</v>
      </c>
      <c r="AJ175" t="str">
        <f t="shared" si="57"/>
        <v/>
      </c>
      <c r="AK175" t="s">
        <v>34</v>
      </c>
      <c r="AL175" t="str">
        <f t="shared" si="53"/>
        <v>Completed</v>
      </c>
      <c r="AM175" t="str">
        <f t="shared" si="58"/>
        <v>Include</v>
      </c>
      <c r="AN175">
        <f t="shared" si="59"/>
        <v>1734.1875</v>
      </c>
      <c r="AO175">
        <f t="shared" si="60"/>
        <v>348.11750000000006</v>
      </c>
      <c r="AP175">
        <f>IF(AN175=0,0,AO175/AN175)</f>
        <v>0.20073809781237614</v>
      </c>
      <c r="AQ175" t="str">
        <f t="shared" si="61"/>
        <v>May</v>
      </c>
      <c r="AR175">
        <f t="shared" si="62"/>
        <v>2024</v>
      </c>
      <c r="AS175" t="str">
        <f t="shared" si="63"/>
        <v>Clean</v>
      </c>
      <c r="AT175" t="str">
        <f>IF(OR(AC175&lt;0,AC175&gt;0.5),"Invalid Discount","Valid")</f>
        <v>Valid</v>
      </c>
      <c r="AU175" t="str">
        <f>IF(G175&lt;E175,"Invalid Shipping Record","Valid")</f>
        <v>Valid</v>
      </c>
      <c r="AV175" t="str">
        <f>IF(OR(AL175="Cancelled",AH175="Failed"),"Exclude","Include")</f>
        <v>Include</v>
      </c>
      <c r="AW175" t="str">
        <f t="shared" si="64"/>
        <v>Match</v>
      </c>
      <c r="AX175" t="str">
        <f t="shared" si="65"/>
        <v>Match</v>
      </c>
    </row>
    <row r="176" spans="1:50">
      <c r="A176" t="s">
        <v>952</v>
      </c>
      <c r="B176">
        <f t="shared" si="66"/>
        <v>1</v>
      </c>
      <c r="C176" t="str">
        <f t="shared" si="54"/>
        <v/>
      </c>
      <c r="D176" s="3" t="s">
        <v>953</v>
      </c>
      <c r="E176" s="7">
        <v>45928</v>
      </c>
      <c r="F176" s="3" t="s">
        <v>954</v>
      </c>
      <c r="G176" s="7">
        <v>45934</v>
      </c>
      <c r="H176" s="7" t="str">
        <f t="shared" si="45"/>
        <v>Valid</v>
      </c>
      <c r="I176" s="9">
        <f t="shared" si="46"/>
        <v>6</v>
      </c>
      <c r="J176" s="9" t="str">
        <f t="shared" si="47"/>
        <v>Valid</v>
      </c>
      <c r="K176" t="s">
        <v>955</v>
      </c>
      <c r="L176" t="s">
        <v>24</v>
      </c>
      <c r="M176" t="s">
        <v>24</v>
      </c>
      <c r="N176" t="s">
        <v>40</v>
      </c>
      <c r="O176" s="3" t="str">
        <f t="shared" si="48"/>
        <v>Small Business</v>
      </c>
      <c r="P176" t="s">
        <v>61</v>
      </c>
      <c r="Q176" s="3" t="str">
        <f t="shared" si="49"/>
        <v>South</v>
      </c>
      <c r="R176" t="s">
        <v>228</v>
      </c>
      <c r="S176" t="s">
        <v>229</v>
      </c>
      <c r="T176" t="s">
        <v>44</v>
      </c>
      <c r="U176" s="3" t="str">
        <f t="shared" si="50"/>
        <v>Furniture</v>
      </c>
      <c r="V176" t="s">
        <v>203</v>
      </c>
      <c r="W176" t="s">
        <v>956</v>
      </c>
      <c r="X176" t="s">
        <v>55</v>
      </c>
      <c r="Y176" s="3" t="str">
        <f t="shared" si="51"/>
        <v>First Class</v>
      </c>
      <c r="Z176">
        <v>6</v>
      </c>
      <c r="AA176">
        <v>1620.53</v>
      </c>
      <c r="AB176">
        <v>0.15</v>
      </c>
      <c r="AC176">
        <f t="shared" si="52"/>
        <v>0.15</v>
      </c>
      <c r="AD176" t="str">
        <f t="shared" si="55"/>
        <v>Valid</v>
      </c>
      <c r="AE176">
        <v>8264.7000000000007</v>
      </c>
      <c r="AF176">
        <v>4768.75</v>
      </c>
      <c r="AG176">
        <v>3495.95</v>
      </c>
      <c r="AH176" t="s">
        <v>136</v>
      </c>
      <c r="AI176" t="str">
        <f t="shared" si="56"/>
        <v>Include</v>
      </c>
      <c r="AJ176" t="str">
        <f t="shared" si="57"/>
        <v/>
      </c>
      <c r="AK176" t="s">
        <v>124</v>
      </c>
      <c r="AL176" t="str">
        <f t="shared" si="53"/>
        <v>Returned</v>
      </c>
      <c r="AM176" t="str">
        <f t="shared" si="58"/>
        <v>Include</v>
      </c>
      <c r="AN176">
        <f t="shared" si="59"/>
        <v>8264.7029999999995</v>
      </c>
      <c r="AO176">
        <f t="shared" si="60"/>
        <v>3495.9529999999995</v>
      </c>
      <c r="AP176">
        <f>IF(AN176=0,0,AO176/AN176)</f>
        <v>0.42299801940856191</v>
      </c>
      <c r="AQ176" t="str">
        <f t="shared" si="61"/>
        <v>September</v>
      </c>
      <c r="AR176">
        <f t="shared" si="62"/>
        <v>2025</v>
      </c>
      <c r="AS176" t="str">
        <f t="shared" si="63"/>
        <v>Clean</v>
      </c>
      <c r="AT176" t="str">
        <f>IF(OR(AC176&lt;0,AC176&gt;0.5),"Invalid Discount","Valid")</f>
        <v>Valid</v>
      </c>
      <c r="AU176" t="str">
        <f>IF(G176&lt;E176,"Invalid Shipping Record","Valid")</f>
        <v>Valid</v>
      </c>
      <c r="AV176" t="str">
        <f>IF(OR(AL176="Cancelled",AH176="Failed"),"Exclude","Include")</f>
        <v>Include</v>
      </c>
      <c r="AW176" t="str">
        <f t="shared" si="64"/>
        <v>Match</v>
      </c>
      <c r="AX176" t="str">
        <f t="shared" si="65"/>
        <v>Match</v>
      </c>
    </row>
    <row r="177" spans="1:50">
      <c r="A177" t="s">
        <v>957</v>
      </c>
      <c r="B177">
        <f t="shared" si="66"/>
        <v>1</v>
      </c>
      <c r="C177" t="str">
        <f t="shared" si="54"/>
        <v/>
      </c>
      <c r="D177" s="3" t="s">
        <v>741</v>
      </c>
      <c r="E177" s="7">
        <v>45318</v>
      </c>
      <c r="F177" s="3" t="s">
        <v>958</v>
      </c>
      <c r="G177" s="7">
        <v>45325</v>
      </c>
      <c r="H177" s="7" t="str">
        <f t="shared" si="45"/>
        <v>Valid</v>
      </c>
      <c r="I177" s="9">
        <f t="shared" si="46"/>
        <v>7</v>
      </c>
      <c r="J177" s="9" t="str">
        <f t="shared" si="47"/>
        <v>Valid</v>
      </c>
      <c r="K177" t="s">
        <v>959</v>
      </c>
      <c r="L177" t="s">
        <v>60</v>
      </c>
      <c r="M177" t="s">
        <v>60</v>
      </c>
      <c r="N177" t="s">
        <v>40</v>
      </c>
      <c r="O177" s="3" t="str">
        <f t="shared" si="48"/>
        <v>Small Business</v>
      </c>
      <c r="P177" t="s">
        <v>41</v>
      </c>
      <c r="Q177" s="3" t="str">
        <f t="shared" si="49"/>
        <v>East</v>
      </c>
      <c r="R177" t="s">
        <v>185</v>
      </c>
      <c r="S177" t="s">
        <v>186</v>
      </c>
      <c r="T177" t="s">
        <v>85</v>
      </c>
      <c r="U177" s="3" t="str">
        <f t="shared" si="50"/>
        <v>Technology</v>
      </c>
      <c r="V177" t="s">
        <v>381</v>
      </c>
      <c r="W177" t="s">
        <v>960</v>
      </c>
      <c r="X177" t="s">
        <v>47</v>
      </c>
      <c r="Y177" s="3" t="str">
        <f t="shared" si="51"/>
        <v>Same Day</v>
      </c>
      <c r="Z177">
        <v>7</v>
      </c>
      <c r="AA177">
        <v>2673.42</v>
      </c>
      <c r="AB177">
        <v>0.15</v>
      </c>
      <c r="AC177">
        <f t="shared" si="52"/>
        <v>0.15</v>
      </c>
      <c r="AD177" t="str">
        <f t="shared" si="55"/>
        <v>Valid</v>
      </c>
      <c r="AE177">
        <v>15906.85</v>
      </c>
      <c r="AF177">
        <v>11014.46</v>
      </c>
      <c r="AG177">
        <v>4892.3900000000003</v>
      </c>
      <c r="AH177" t="s">
        <v>33</v>
      </c>
      <c r="AI177" t="str">
        <f t="shared" si="56"/>
        <v>Include</v>
      </c>
      <c r="AJ177" t="str">
        <f t="shared" si="57"/>
        <v/>
      </c>
      <c r="AK177" t="s">
        <v>124</v>
      </c>
      <c r="AL177" t="str">
        <f t="shared" si="53"/>
        <v>Returned</v>
      </c>
      <c r="AM177" t="str">
        <f t="shared" si="58"/>
        <v>Include</v>
      </c>
      <c r="AN177">
        <f t="shared" si="59"/>
        <v>15906.849000000002</v>
      </c>
      <c r="AO177">
        <f t="shared" si="60"/>
        <v>4892.3890000000029</v>
      </c>
      <c r="AP177">
        <f>IF(AN177=0,0,AO177/AN177)</f>
        <v>0.30756493633654297</v>
      </c>
      <c r="AQ177" t="str">
        <f t="shared" si="61"/>
        <v>January</v>
      </c>
      <c r="AR177">
        <f t="shared" si="62"/>
        <v>2024</v>
      </c>
      <c r="AS177" t="str">
        <f t="shared" si="63"/>
        <v>Clean</v>
      </c>
      <c r="AT177" t="str">
        <f>IF(OR(AC177&lt;0,AC177&gt;0.5),"Invalid Discount","Valid")</f>
        <v>Valid</v>
      </c>
      <c r="AU177" t="str">
        <f>IF(G177&lt;E177,"Invalid Shipping Record","Valid")</f>
        <v>Valid</v>
      </c>
      <c r="AV177" t="str">
        <f>IF(OR(AL177="Cancelled",AH177="Failed"),"Exclude","Include")</f>
        <v>Include</v>
      </c>
      <c r="AW177" t="str">
        <f t="shared" si="64"/>
        <v>Match</v>
      </c>
      <c r="AX177" t="str">
        <f t="shared" si="65"/>
        <v>Match</v>
      </c>
    </row>
    <row r="178" spans="1:50">
      <c r="A178" t="s">
        <v>961</v>
      </c>
      <c r="B178">
        <f t="shared" si="66"/>
        <v>1</v>
      </c>
      <c r="C178" t="str">
        <f t="shared" si="54"/>
        <v/>
      </c>
      <c r="D178" s="3" t="s">
        <v>962</v>
      </c>
      <c r="E178" s="7">
        <v>45734</v>
      </c>
      <c r="F178" s="3" t="s">
        <v>963</v>
      </c>
      <c r="G178" s="7">
        <v>45742</v>
      </c>
      <c r="H178" s="7" t="str">
        <f t="shared" si="45"/>
        <v>Valid</v>
      </c>
      <c r="I178" s="9">
        <f t="shared" si="46"/>
        <v>8</v>
      </c>
      <c r="J178" s="9" t="str">
        <f t="shared" si="47"/>
        <v>Valid</v>
      </c>
      <c r="K178" t="s">
        <v>964</v>
      </c>
      <c r="L178" t="s">
        <v>82</v>
      </c>
      <c r="M178" t="s">
        <v>82</v>
      </c>
      <c r="N178" t="s">
        <v>107</v>
      </c>
      <c r="O178" s="3" t="str">
        <f t="shared" si="48"/>
        <v>Corporate</v>
      </c>
      <c r="P178" t="s">
        <v>41</v>
      </c>
      <c r="Q178" s="3" t="str">
        <f t="shared" si="49"/>
        <v>East</v>
      </c>
      <c r="R178" t="s">
        <v>310</v>
      </c>
      <c r="S178" t="s">
        <v>311</v>
      </c>
      <c r="T178" t="s">
        <v>44</v>
      </c>
      <c r="U178" s="3" t="str">
        <f t="shared" si="50"/>
        <v>Furniture</v>
      </c>
      <c r="V178" t="s">
        <v>203</v>
      </c>
      <c r="W178" t="s">
        <v>965</v>
      </c>
      <c r="X178" t="s">
        <v>66</v>
      </c>
      <c r="Y178" s="3" t="str">
        <f t="shared" si="51"/>
        <v>Standard Class</v>
      </c>
      <c r="Z178">
        <v>8</v>
      </c>
      <c r="AA178">
        <v>3563.09</v>
      </c>
      <c r="AB178">
        <v>0.15</v>
      </c>
      <c r="AC178">
        <f t="shared" si="52"/>
        <v>0.15</v>
      </c>
      <c r="AD178" t="str">
        <f t="shared" si="55"/>
        <v>Valid</v>
      </c>
      <c r="AE178">
        <v>24229.01</v>
      </c>
      <c r="AF178">
        <v>13910.64</v>
      </c>
      <c r="AG178">
        <v>10318.370000000001</v>
      </c>
      <c r="AH178" t="s">
        <v>33</v>
      </c>
      <c r="AI178" t="str">
        <f t="shared" si="56"/>
        <v>Include</v>
      </c>
      <c r="AJ178" t="str">
        <f t="shared" si="57"/>
        <v/>
      </c>
      <c r="AK178" t="s">
        <v>34</v>
      </c>
      <c r="AL178" t="str">
        <f t="shared" si="53"/>
        <v>Completed</v>
      </c>
      <c r="AM178" t="str">
        <f t="shared" si="58"/>
        <v>Include</v>
      </c>
      <c r="AN178">
        <f t="shared" si="59"/>
        <v>24229.011999999999</v>
      </c>
      <c r="AO178">
        <f t="shared" si="60"/>
        <v>10318.371999999999</v>
      </c>
      <c r="AP178">
        <f>IF(AN178=0,0,AO178/AN178)</f>
        <v>0.42586845885420338</v>
      </c>
      <c r="AQ178" t="str">
        <f t="shared" si="61"/>
        <v>March</v>
      </c>
      <c r="AR178">
        <f t="shared" si="62"/>
        <v>2025</v>
      </c>
      <c r="AS178" t="str">
        <f t="shared" si="63"/>
        <v>Clean</v>
      </c>
      <c r="AT178" t="str">
        <f>IF(OR(AC178&lt;0,AC178&gt;0.5),"Invalid Discount","Valid")</f>
        <v>Valid</v>
      </c>
      <c r="AU178" t="str">
        <f>IF(G178&lt;E178,"Invalid Shipping Record","Valid")</f>
        <v>Valid</v>
      </c>
      <c r="AV178" t="str">
        <f>IF(OR(AL178="Cancelled",AH178="Failed"),"Exclude","Include")</f>
        <v>Include</v>
      </c>
      <c r="AW178" t="str">
        <f t="shared" si="64"/>
        <v>Match</v>
      </c>
      <c r="AX178" t="str">
        <f t="shared" si="65"/>
        <v>Match</v>
      </c>
    </row>
    <row r="179" spans="1:50">
      <c r="A179" t="s">
        <v>966</v>
      </c>
      <c r="B179">
        <f t="shared" si="66"/>
        <v>1</v>
      </c>
      <c r="C179" t="str">
        <f t="shared" si="54"/>
        <v/>
      </c>
      <c r="D179" s="3" t="s">
        <v>967</v>
      </c>
      <c r="E179" s="7">
        <v>45444</v>
      </c>
      <c r="F179" s="3" t="s">
        <v>968</v>
      </c>
      <c r="G179" s="7">
        <v>45446</v>
      </c>
      <c r="H179" s="7" t="str">
        <f t="shared" si="45"/>
        <v>Valid</v>
      </c>
      <c r="I179" s="9">
        <f t="shared" si="46"/>
        <v>2</v>
      </c>
      <c r="J179" s="9" t="str">
        <f t="shared" si="47"/>
        <v>Valid</v>
      </c>
      <c r="K179" t="s">
        <v>969</v>
      </c>
      <c r="L179" t="s">
        <v>167</v>
      </c>
      <c r="M179" t="s">
        <v>167</v>
      </c>
      <c r="N179" t="s">
        <v>114</v>
      </c>
      <c r="O179" s="3" t="str">
        <f t="shared" si="48"/>
        <v>Home Office</v>
      </c>
      <c r="Q179" s="3" t="str">
        <f t="shared" si="49"/>
        <v>Unknown</v>
      </c>
      <c r="R179" t="s">
        <v>185</v>
      </c>
      <c r="S179" t="s">
        <v>186</v>
      </c>
      <c r="T179" t="s">
        <v>29</v>
      </c>
      <c r="U179" s="3" t="str">
        <f t="shared" si="50"/>
        <v>Office Supplies</v>
      </c>
      <c r="V179" t="s">
        <v>53</v>
      </c>
      <c r="W179" t="s">
        <v>970</v>
      </c>
      <c r="X179" t="s">
        <v>47</v>
      </c>
      <c r="Y179" s="3" t="str">
        <f t="shared" si="51"/>
        <v>Same Day</v>
      </c>
      <c r="Z179">
        <v>8</v>
      </c>
      <c r="AA179">
        <v>3879.95</v>
      </c>
      <c r="AB179">
        <v>0</v>
      </c>
      <c r="AC179">
        <f t="shared" si="52"/>
        <v>0</v>
      </c>
      <c r="AD179" t="str">
        <f t="shared" si="55"/>
        <v>Valid</v>
      </c>
      <c r="AE179">
        <v>31039.599999999999</v>
      </c>
      <c r="AF179">
        <v>20866.72</v>
      </c>
      <c r="AG179">
        <v>10172.879999999999</v>
      </c>
      <c r="AH179" t="s">
        <v>33</v>
      </c>
      <c r="AI179" t="str">
        <f t="shared" si="56"/>
        <v>Include</v>
      </c>
      <c r="AJ179" t="str">
        <f t="shared" si="57"/>
        <v/>
      </c>
      <c r="AK179" t="s">
        <v>34</v>
      </c>
      <c r="AL179" t="str">
        <f t="shared" si="53"/>
        <v>Completed</v>
      </c>
      <c r="AM179" t="str">
        <f t="shared" si="58"/>
        <v>Include</v>
      </c>
      <c r="AN179">
        <f t="shared" si="59"/>
        <v>31039.599999999999</v>
      </c>
      <c r="AO179">
        <f t="shared" si="60"/>
        <v>10172.879999999997</v>
      </c>
      <c r="AP179">
        <f>IF(AN179=0,0,AO179/AN179)</f>
        <v>0.32773875952009685</v>
      </c>
      <c r="AQ179" t="str">
        <f t="shared" si="61"/>
        <v>June</v>
      </c>
      <c r="AR179">
        <f t="shared" si="62"/>
        <v>2024</v>
      </c>
      <c r="AS179" t="str">
        <f t="shared" si="63"/>
        <v>Warning</v>
      </c>
      <c r="AT179" t="str">
        <f>IF(OR(AC179&lt;0,AC179&gt;0.5),"Invalid Discount","Valid")</f>
        <v>Valid</v>
      </c>
      <c r="AU179" t="str">
        <f>IF(G179&lt;E179,"Invalid Shipping Record","Valid")</f>
        <v>Valid</v>
      </c>
      <c r="AV179" t="str">
        <f>IF(OR(AL179="Cancelled",AH179="Failed"),"Exclude","Include")</f>
        <v>Include</v>
      </c>
      <c r="AW179" t="str">
        <f t="shared" si="64"/>
        <v>Match</v>
      </c>
      <c r="AX179" t="str">
        <f t="shared" si="65"/>
        <v>Match</v>
      </c>
    </row>
    <row r="180" spans="1:50">
      <c r="A180" t="s">
        <v>971</v>
      </c>
      <c r="B180">
        <f t="shared" si="66"/>
        <v>1</v>
      </c>
      <c r="C180" t="str">
        <f t="shared" si="54"/>
        <v/>
      </c>
      <c r="D180" s="3" t="s">
        <v>972</v>
      </c>
      <c r="E180" s="7">
        <v>45565</v>
      </c>
      <c r="F180" s="3" t="s">
        <v>973</v>
      </c>
      <c r="G180" s="7">
        <v>45565</v>
      </c>
      <c r="H180" s="7" t="str">
        <f t="shared" si="45"/>
        <v>Valid</v>
      </c>
      <c r="I180" s="9">
        <f t="shared" si="46"/>
        <v>0</v>
      </c>
      <c r="J180" s="9" t="str">
        <f t="shared" si="47"/>
        <v>Valid</v>
      </c>
      <c r="K180" t="s">
        <v>974</v>
      </c>
      <c r="L180" t="s">
        <v>52</v>
      </c>
      <c r="M180" t="s">
        <v>52</v>
      </c>
      <c r="N180" t="s">
        <v>107</v>
      </c>
      <c r="O180" s="3" t="str">
        <f t="shared" si="48"/>
        <v>Corporate</v>
      </c>
      <c r="P180" t="s">
        <v>61</v>
      </c>
      <c r="Q180" s="3" t="str">
        <f t="shared" si="49"/>
        <v>South</v>
      </c>
      <c r="R180" t="s">
        <v>62</v>
      </c>
      <c r="S180" t="s">
        <v>63</v>
      </c>
      <c r="T180" t="s">
        <v>29</v>
      </c>
      <c r="U180" s="3" t="str">
        <f t="shared" si="50"/>
        <v>Office Supplies</v>
      </c>
      <c r="V180" t="s">
        <v>53</v>
      </c>
      <c r="W180" t="s">
        <v>975</v>
      </c>
      <c r="X180" t="s">
        <v>66</v>
      </c>
      <c r="Y180" s="3" t="str">
        <f t="shared" si="51"/>
        <v>Standard Class</v>
      </c>
      <c r="Z180">
        <v>4</v>
      </c>
      <c r="AA180">
        <v>3281.74</v>
      </c>
      <c r="AB180">
        <v>0</v>
      </c>
      <c r="AC180">
        <f t="shared" si="52"/>
        <v>0</v>
      </c>
      <c r="AD180" t="str">
        <f t="shared" si="55"/>
        <v>Valid</v>
      </c>
      <c r="AE180">
        <v>13126.96</v>
      </c>
      <c r="AF180">
        <v>10732.44</v>
      </c>
      <c r="AG180">
        <v>2394.52</v>
      </c>
      <c r="AH180" t="s">
        <v>33</v>
      </c>
      <c r="AI180" t="str">
        <f t="shared" si="56"/>
        <v>Include</v>
      </c>
      <c r="AJ180" t="str">
        <f t="shared" si="57"/>
        <v/>
      </c>
      <c r="AK180" t="s">
        <v>34</v>
      </c>
      <c r="AL180" t="str">
        <f t="shared" si="53"/>
        <v>Completed</v>
      </c>
      <c r="AM180" t="str">
        <f t="shared" si="58"/>
        <v>Include</v>
      </c>
      <c r="AN180">
        <f t="shared" si="59"/>
        <v>13126.96</v>
      </c>
      <c r="AO180">
        <f t="shared" si="60"/>
        <v>2394.5199999999986</v>
      </c>
      <c r="AP180">
        <f>IF(AN180=0,0,AO180/AN180)</f>
        <v>0.18241237879905162</v>
      </c>
      <c r="AQ180" t="str">
        <f t="shared" si="61"/>
        <v>September</v>
      </c>
      <c r="AR180">
        <f t="shared" si="62"/>
        <v>2024</v>
      </c>
      <c r="AS180" t="str">
        <f t="shared" si="63"/>
        <v>Clean</v>
      </c>
      <c r="AT180" t="str">
        <f>IF(OR(AC180&lt;0,AC180&gt;0.5),"Invalid Discount","Valid")</f>
        <v>Valid</v>
      </c>
      <c r="AU180" t="str">
        <f>IF(G180&lt;E180,"Invalid Shipping Record","Valid")</f>
        <v>Valid</v>
      </c>
      <c r="AV180" t="str">
        <f>IF(OR(AL180="Cancelled",AH180="Failed"),"Exclude","Include")</f>
        <v>Include</v>
      </c>
      <c r="AW180" t="str">
        <f t="shared" si="64"/>
        <v>Match</v>
      </c>
      <c r="AX180" t="str">
        <f t="shared" si="65"/>
        <v>Match</v>
      </c>
    </row>
    <row r="181" spans="1:50">
      <c r="A181" t="s">
        <v>976</v>
      </c>
      <c r="B181">
        <f t="shared" si="66"/>
        <v>1</v>
      </c>
      <c r="C181" t="str">
        <f t="shared" si="54"/>
        <v/>
      </c>
      <c r="D181" s="3" t="s">
        <v>977</v>
      </c>
      <c r="E181" s="7">
        <v>45366</v>
      </c>
      <c r="F181" s="3" t="s">
        <v>978</v>
      </c>
      <c r="G181" s="7">
        <v>45370</v>
      </c>
      <c r="H181" s="7" t="str">
        <f t="shared" si="45"/>
        <v>Valid</v>
      </c>
      <c r="I181" s="9">
        <f t="shared" si="46"/>
        <v>4</v>
      </c>
      <c r="J181" s="9" t="str">
        <f t="shared" si="47"/>
        <v>Valid</v>
      </c>
      <c r="K181" t="s">
        <v>979</v>
      </c>
      <c r="L181" t="s">
        <v>71</v>
      </c>
      <c r="M181" t="s">
        <v>71</v>
      </c>
      <c r="N181" t="s">
        <v>40</v>
      </c>
      <c r="O181" s="3" t="str">
        <f t="shared" si="48"/>
        <v>Small Business</v>
      </c>
      <c r="P181" t="s">
        <v>61</v>
      </c>
      <c r="Q181" s="3" t="str">
        <f t="shared" si="49"/>
        <v>South</v>
      </c>
      <c r="R181" t="s">
        <v>338</v>
      </c>
      <c r="S181" t="s">
        <v>339</v>
      </c>
      <c r="T181" t="s">
        <v>44</v>
      </c>
      <c r="U181" s="3" t="str">
        <f t="shared" si="50"/>
        <v>Furniture</v>
      </c>
      <c r="V181" t="s">
        <v>64</v>
      </c>
      <c r="W181" t="s">
        <v>980</v>
      </c>
      <c r="X181" t="s">
        <v>66</v>
      </c>
      <c r="Y181" s="3" t="str">
        <f t="shared" si="51"/>
        <v>Standard Class</v>
      </c>
      <c r="Z181">
        <v>4</v>
      </c>
      <c r="AA181">
        <v>3186.3</v>
      </c>
      <c r="AB181">
        <v>0.25</v>
      </c>
      <c r="AC181">
        <f t="shared" si="52"/>
        <v>0.25</v>
      </c>
      <c r="AD181" t="str">
        <f t="shared" si="55"/>
        <v>Valid</v>
      </c>
      <c r="AE181">
        <v>9558.9</v>
      </c>
      <c r="AF181">
        <v>5516.76</v>
      </c>
      <c r="AG181">
        <v>4042.14</v>
      </c>
      <c r="AH181" t="s">
        <v>123</v>
      </c>
      <c r="AI181" t="str">
        <f t="shared" si="56"/>
        <v>Include</v>
      </c>
      <c r="AJ181" t="str">
        <f t="shared" si="57"/>
        <v>Refunded Order</v>
      </c>
      <c r="AK181" t="s">
        <v>124</v>
      </c>
      <c r="AL181" t="str">
        <f t="shared" si="53"/>
        <v>Returned</v>
      </c>
      <c r="AM181" t="str">
        <f t="shared" si="58"/>
        <v>Include</v>
      </c>
      <c r="AN181">
        <f t="shared" si="59"/>
        <v>9558.9000000000015</v>
      </c>
      <c r="AO181">
        <f t="shared" si="60"/>
        <v>4042.1400000000012</v>
      </c>
      <c r="AP181">
        <f>IF(AN181=0,0,AO181/AN181)</f>
        <v>0.42286664783604816</v>
      </c>
      <c r="AQ181" t="str">
        <f t="shared" si="61"/>
        <v>March</v>
      </c>
      <c r="AR181">
        <f t="shared" si="62"/>
        <v>2024</v>
      </c>
      <c r="AS181" t="str">
        <f t="shared" si="63"/>
        <v>Clean</v>
      </c>
      <c r="AT181" t="str">
        <f>IF(OR(AC181&lt;0,AC181&gt;0.5),"Invalid Discount","Valid")</f>
        <v>Valid</v>
      </c>
      <c r="AU181" t="str">
        <f>IF(G181&lt;E181,"Invalid Shipping Record","Valid")</f>
        <v>Valid</v>
      </c>
      <c r="AV181" t="str">
        <f>IF(OR(AL181="Cancelled",AH181="Failed"),"Exclude","Include")</f>
        <v>Include</v>
      </c>
      <c r="AW181" t="str">
        <f t="shared" si="64"/>
        <v>Match</v>
      </c>
      <c r="AX181" t="str">
        <f t="shared" si="65"/>
        <v>Match</v>
      </c>
    </row>
    <row r="182" spans="1:50">
      <c r="A182" t="s">
        <v>981</v>
      </c>
      <c r="B182">
        <f t="shared" si="66"/>
        <v>1</v>
      </c>
      <c r="C182" t="str">
        <f t="shared" si="54"/>
        <v/>
      </c>
      <c r="D182" s="3" t="s">
        <v>982</v>
      </c>
      <c r="E182" s="7">
        <v>45530</v>
      </c>
      <c r="F182" s="3" t="s">
        <v>983</v>
      </c>
      <c r="G182" s="7">
        <v>45530</v>
      </c>
      <c r="H182" s="7" t="str">
        <f t="shared" si="45"/>
        <v>Valid</v>
      </c>
      <c r="I182" s="9">
        <f t="shared" si="46"/>
        <v>0</v>
      </c>
      <c r="J182" s="9" t="str">
        <f t="shared" si="47"/>
        <v>Valid</v>
      </c>
      <c r="K182" t="s">
        <v>984</v>
      </c>
      <c r="L182" t="s">
        <v>39</v>
      </c>
      <c r="M182" t="s">
        <v>39</v>
      </c>
      <c r="N182" t="s">
        <v>114</v>
      </c>
      <c r="O182" s="3" t="str">
        <f t="shared" si="48"/>
        <v>Home Office</v>
      </c>
      <c r="P182" t="s">
        <v>26</v>
      </c>
      <c r="Q182" s="3" t="str">
        <f t="shared" si="49"/>
        <v>North</v>
      </c>
      <c r="R182" t="s">
        <v>173</v>
      </c>
      <c r="S182" t="s">
        <v>174</v>
      </c>
      <c r="T182" t="s">
        <v>917</v>
      </c>
      <c r="U182" s="3" t="str">
        <f t="shared" si="50"/>
        <v>Office Supplies</v>
      </c>
      <c r="V182" t="s">
        <v>197</v>
      </c>
      <c r="W182" t="s">
        <v>985</v>
      </c>
      <c r="X182" t="s">
        <v>55</v>
      </c>
      <c r="Y182" s="3" t="str">
        <f t="shared" si="51"/>
        <v>First Class</v>
      </c>
      <c r="Z182">
        <v>7</v>
      </c>
      <c r="AA182">
        <v>844.59</v>
      </c>
      <c r="AB182">
        <v>0.1</v>
      </c>
      <c r="AC182">
        <f t="shared" si="52"/>
        <v>0.1</v>
      </c>
      <c r="AD182" t="str">
        <f t="shared" si="55"/>
        <v>Valid</v>
      </c>
      <c r="AE182">
        <v>5320.92</v>
      </c>
      <c r="AF182">
        <v>3041.5</v>
      </c>
      <c r="AG182">
        <v>2279.42</v>
      </c>
      <c r="AH182" t="s">
        <v>33</v>
      </c>
      <c r="AI182" t="str">
        <f t="shared" si="56"/>
        <v>Include</v>
      </c>
      <c r="AJ182" t="str">
        <f t="shared" si="57"/>
        <v/>
      </c>
      <c r="AK182" t="s">
        <v>34</v>
      </c>
      <c r="AL182" t="str">
        <f t="shared" si="53"/>
        <v>Completed</v>
      </c>
      <c r="AM182" t="str">
        <f t="shared" si="58"/>
        <v>Include</v>
      </c>
      <c r="AN182">
        <f t="shared" si="59"/>
        <v>5320.9170000000004</v>
      </c>
      <c r="AO182">
        <f t="shared" si="60"/>
        <v>2279.4170000000004</v>
      </c>
      <c r="AP182">
        <f>IF(AN182=0,0,AO182/AN182)</f>
        <v>0.42838800154183954</v>
      </c>
      <c r="AQ182" t="str">
        <f t="shared" si="61"/>
        <v>August</v>
      </c>
      <c r="AR182">
        <f t="shared" si="62"/>
        <v>2024</v>
      </c>
      <c r="AS182" t="str">
        <f t="shared" si="63"/>
        <v>Clean</v>
      </c>
      <c r="AT182" t="str">
        <f>IF(OR(AC182&lt;0,AC182&gt;0.5),"Invalid Discount","Valid")</f>
        <v>Valid</v>
      </c>
      <c r="AU182" t="str">
        <f>IF(G182&lt;E182,"Invalid Shipping Record","Valid")</f>
        <v>Valid</v>
      </c>
      <c r="AV182" t="str">
        <f>IF(OR(AL182="Cancelled",AH182="Failed"),"Exclude","Include")</f>
        <v>Include</v>
      </c>
      <c r="AW182" t="str">
        <f t="shared" si="64"/>
        <v>Match</v>
      </c>
      <c r="AX182" t="str">
        <f t="shared" si="65"/>
        <v>Match</v>
      </c>
    </row>
    <row r="183" spans="1:50">
      <c r="A183" t="s">
        <v>986</v>
      </c>
      <c r="B183">
        <f t="shared" si="66"/>
        <v>1</v>
      </c>
      <c r="C183" t="str">
        <f t="shared" si="54"/>
        <v/>
      </c>
      <c r="D183" s="3" t="s">
        <v>987</v>
      </c>
      <c r="E183" s="7">
        <v>45909</v>
      </c>
      <c r="F183" s="3" t="s">
        <v>988</v>
      </c>
      <c r="G183" s="7">
        <v>45910</v>
      </c>
      <c r="H183" s="7" t="str">
        <f t="shared" si="45"/>
        <v>Valid</v>
      </c>
      <c r="I183" s="9">
        <f t="shared" si="46"/>
        <v>1</v>
      </c>
      <c r="J183" s="9" t="str">
        <f t="shared" si="47"/>
        <v>Valid</v>
      </c>
      <c r="K183" t="s">
        <v>989</v>
      </c>
      <c r="L183" t="s">
        <v>141</v>
      </c>
      <c r="M183" t="s">
        <v>141</v>
      </c>
      <c r="N183" t="s">
        <v>114</v>
      </c>
      <c r="O183" s="3" t="str">
        <f t="shared" si="48"/>
        <v>Home Office</v>
      </c>
      <c r="P183" t="s">
        <v>61</v>
      </c>
      <c r="Q183" s="3" t="str">
        <f t="shared" si="49"/>
        <v>South</v>
      </c>
      <c r="R183" t="s">
        <v>338</v>
      </c>
      <c r="S183" t="s">
        <v>339</v>
      </c>
      <c r="T183" t="s">
        <v>29</v>
      </c>
      <c r="U183" s="3" t="str">
        <f t="shared" si="50"/>
        <v>Office Supplies</v>
      </c>
      <c r="V183" t="s">
        <v>53</v>
      </c>
      <c r="W183" t="s">
        <v>990</v>
      </c>
      <c r="X183" t="s">
        <v>32</v>
      </c>
      <c r="Y183" s="3" t="str">
        <f t="shared" si="51"/>
        <v>Second Class</v>
      </c>
      <c r="Z183">
        <v>4</v>
      </c>
      <c r="AA183">
        <v>2551.4499999999998</v>
      </c>
      <c r="AB183">
        <v>0</v>
      </c>
      <c r="AC183">
        <f t="shared" si="52"/>
        <v>0</v>
      </c>
      <c r="AD183" t="str">
        <f t="shared" si="55"/>
        <v>Valid</v>
      </c>
      <c r="AE183">
        <v>10205.799999999999</v>
      </c>
      <c r="AF183">
        <v>5986.31</v>
      </c>
      <c r="AG183">
        <v>4219.49</v>
      </c>
      <c r="AH183" t="s">
        <v>33</v>
      </c>
      <c r="AI183" t="str">
        <f t="shared" si="56"/>
        <v>Include</v>
      </c>
      <c r="AJ183" t="str">
        <f t="shared" si="57"/>
        <v/>
      </c>
      <c r="AK183" t="s">
        <v>34</v>
      </c>
      <c r="AL183" t="str">
        <f t="shared" si="53"/>
        <v>Completed</v>
      </c>
      <c r="AM183" t="str">
        <f t="shared" si="58"/>
        <v>Include</v>
      </c>
      <c r="AN183">
        <f t="shared" si="59"/>
        <v>10205.799999999999</v>
      </c>
      <c r="AO183">
        <f t="shared" si="60"/>
        <v>4219.4899999999989</v>
      </c>
      <c r="AP183">
        <f>IF(AN183=0,0,AO183/AN183)</f>
        <v>0.41344039663720622</v>
      </c>
      <c r="AQ183" t="str">
        <f t="shared" si="61"/>
        <v>September</v>
      </c>
      <c r="AR183">
        <f t="shared" si="62"/>
        <v>2025</v>
      </c>
      <c r="AS183" t="str">
        <f t="shared" si="63"/>
        <v>Clean</v>
      </c>
      <c r="AT183" t="str">
        <f>IF(OR(AC183&lt;0,AC183&gt;0.5),"Invalid Discount","Valid")</f>
        <v>Valid</v>
      </c>
      <c r="AU183" t="str">
        <f>IF(G183&lt;E183,"Invalid Shipping Record","Valid")</f>
        <v>Valid</v>
      </c>
      <c r="AV183" t="str">
        <f>IF(OR(AL183="Cancelled",AH183="Failed"),"Exclude","Include")</f>
        <v>Include</v>
      </c>
      <c r="AW183" t="str">
        <f t="shared" si="64"/>
        <v>Match</v>
      </c>
      <c r="AX183" t="str">
        <f t="shared" si="65"/>
        <v>Match</v>
      </c>
    </row>
    <row r="184" spans="1:50">
      <c r="A184" t="s">
        <v>991</v>
      </c>
      <c r="B184">
        <f t="shared" si="66"/>
        <v>1</v>
      </c>
      <c r="C184" t="str">
        <f t="shared" si="54"/>
        <v/>
      </c>
      <c r="D184" s="3" t="s">
        <v>298</v>
      </c>
      <c r="E184" s="7">
        <v>45581</v>
      </c>
      <c r="F184" s="3" t="s">
        <v>298</v>
      </c>
      <c r="G184" s="7">
        <v>45581</v>
      </c>
      <c r="H184" s="7" t="str">
        <f t="shared" si="45"/>
        <v>Valid</v>
      </c>
      <c r="I184" s="9">
        <f t="shared" si="46"/>
        <v>0</v>
      </c>
      <c r="J184" s="9" t="str">
        <f t="shared" si="47"/>
        <v>Valid</v>
      </c>
      <c r="K184" t="s">
        <v>992</v>
      </c>
      <c r="L184" t="s">
        <v>71</v>
      </c>
      <c r="M184" t="s">
        <v>71</v>
      </c>
      <c r="N184" t="s">
        <v>114</v>
      </c>
      <c r="O184" s="3" t="str">
        <f t="shared" si="48"/>
        <v>Home Office</v>
      </c>
      <c r="P184" t="s">
        <v>41</v>
      </c>
      <c r="Q184" s="3" t="str">
        <f t="shared" si="49"/>
        <v>East</v>
      </c>
      <c r="R184" t="s">
        <v>185</v>
      </c>
      <c r="S184" t="s">
        <v>186</v>
      </c>
      <c r="T184" t="s">
        <v>85</v>
      </c>
      <c r="U184" s="3" t="str">
        <f t="shared" si="50"/>
        <v>Technology</v>
      </c>
      <c r="V184" t="s">
        <v>381</v>
      </c>
      <c r="W184" t="s">
        <v>993</v>
      </c>
      <c r="X184" t="s">
        <v>66</v>
      </c>
      <c r="Y184" s="3" t="str">
        <f t="shared" si="51"/>
        <v>Standard Class</v>
      </c>
      <c r="Z184">
        <v>7</v>
      </c>
      <c r="AA184">
        <v>775.77</v>
      </c>
      <c r="AB184">
        <v>0</v>
      </c>
      <c r="AC184">
        <f t="shared" si="52"/>
        <v>0</v>
      </c>
      <c r="AD184" t="str">
        <f t="shared" si="55"/>
        <v>Valid</v>
      </c>
      <c r="AE184">
        <v>5430.39</v>
      </c>
      <c r="AF184">
        <v>3707.66</v>
      </c>
      <c r="AG184">
        <v>1722.73</v>
      </c>
      <c r="AH184" t="s">
        <v>33</v>
      </c>
      <c r="AI184" t="str">
        <f t="shared" si="56"/>
        <v>Include</v>
      </c>
      <c r="AJ184" t="str">
        <f t="shared" si="57"/>
        <v/>
      </c>
      <c r="AK184" t="s">
        <v>34</v>
      </c>
      <c r="AL184" t="str">
        <f t="shared" si="53"/>
        <v>Completed</v>
      </c>
      <c r="AM184" t="str">
        <f t="shared" si="58"/>
        <v>Include</v>
      </c>
      <c r="AN184">
        <f t="shared" si="59"/>
        <v>5430.3899999999994</v>
      </c>
      <c r="AO184">
        <f t="shared" si="60"/>
        <v>1722.7299999999996</v>
      </c>
      <c r="AP184">
        <f>IF(AN184=0,0,AO184/AN184)</f>
        <v>0.31723872502711586</v>
      </c>
      <c r="AQ184" t="str">
        <f t="shared" si="61"/>
        <v>October</v>
      </c>
      <c r="AR184">
        <f t="shared" si="62"/>
        <v>2024</v>
      </c>
      <c r="AS184" t="str">
        <f t="shared" si="63"/>
        <v>Clean</v>
      </c>
      <c r="AT184" t="str">
        <f>IF(OR(AC184&lt;0,AC184&gt;0.5),"Invalid Discount","Valid")</f>
        <v>Valid</v>
      </c>
      <c r="AU184" t="str">
        <f>IF(G184&lt;E184,"Invalid Shipping Record","Valid")</f>
        <v>Valid</v>
      </c>
      <c r="AV184" t="str">
        <f>IF(OR(AL184="Cancelled",AH184="Failed"),"Exclude","Include")</f>
        <v>Include</v>
      </c>
      <c r="AW184" t="str">
        <f t="shared" si="64"/>
        <v>Match</v>
      </c>
      <c r="AX184" t="str">
        <f t="shared" si="65"/>
        <v>Match</v>
      </c>
    </row>
    <row r="185" spans="1:50">
      <c r="A185" t="s">
        <v>994</v>
      </c>
      <c r="B185">
        <f t="shared" si="66"/>
        <v>1</v>
      </c>
      <c r="C185" t="str">
        <f t="shared" si="54"/>
        <v/>
      </c>
      <c r="D185" s="3" t="s">
        <v>995</v>
      </c>
      <c r="E185" s="7">
        <v>45832</v>
      </c>
      <c r="F185" s="3" t="s">
        <v>996</v>
      </c>
      <c r="G185" s="7">
        <v>45835</v>
      </c>
      <c r="H185" s="7" t="str">
        <f t="shared" si="45"/>
        <v>Valid</v>
      </c>
      <c r="I185" s="9">
        <f t="shared" si="46"/>
        <v>3</v>
      </c>
      <c r="J185" s="9" t="str">
        <f t="shared" si="47"/>
        <v>Valid</v>
      </c>
      <c r="K185" t="s">
        <v>997</v>
      </c>
      <c r="L185" t="s">
        <v>82</v>
      </c>
      <c r="M185" t="s">
        <v>82</v>
      </c>
      <c r="N185" t="s">
        <v>114</v>
      </c>
      <c r="O185" s="3" t="str">
        <f t="shared" si="48"/>
        <v>Home Office</v>
      </c>
      <c r="P185" t="s">
        <v>61</v>
      </c>
      <c r="Q185" s="3" t="str">
        <f t="shared" si="49"/>
        <v>South</v>
      </c>
      <c r="R185" t="s">
        <v>62</v>
      </c>
      <c r="S185" t="s">
        <v>63</v>
      </c>
      <c r="T185" t="s">
        <v>85</v>
      </c>
      <c r="U185" s="3" t="str">
        <f t="shared" si="50"/>
        <v>Technology</v>
      </c>
      <c r="V185" t="s">
        <v>93</v>
      </c>
      <c r="W185" t="s">
        <v>998</v>
      </c>
      <c r="X185" t="s">
        <v>66</v>
      </c>
      <c r="Y185" s="3" t="str">
        <f t="shared" si="51"/>
        <v>Standard Class</v>
      </c>
      <c r="Z185">
        <v>7</v>
      </c>
      <c r="AA185">
        <v>2304.86</v>
      </c>
      <c r="AB185">
        <v>0.2</v>
      </c>
      <c r="AC185">
        <f t="shared" si="52"/>
        <v>0.2</v>
      </c>
      <c r="AD185" t="str">
        <f t="shared" si="55"/>
        <v>Valid</v>
      </c>
      <c r="AE185">
        <v>12907.22</v>
      </c>
      <c r="AF185">
        <v>8327.89</v>
      </c>
      <c r="AG185">
        <v>4579.33</v>
      </c>
      <c r="AH185" t="s">
        <v>33</v>
      </c>
      <c r="AI185" t="str">
        <f t="shared" si="56"/>
        <v>Include</v>
      </c>
      <c r="AJ185" t="str">
        <f t="shared" si="57"/>
        <v/>
      </c>
      <c r="AK185" t="s">
        <v>124</v>
      </c>
      <c r="AL185" t="str">
        <f t="shared" si="53"/>
        <v>Returned</v>
      </c>
      <c r="AM185" t="str">
        <f t="shared" si="58"/>
        <v>Include</v>
      </c>
      <c r="AN185">
        <f t="shared" si="59"/>
        <v>12907.216</v>
      </c>
      <c r="AO185">
        <f t="shared" si="60"/>
        <v>4579.3260000000009</v>
      </c>
      <c r="AP185">
        <f>IF(AN185=0,0,AO185/AN185)</f>
        <v>0.3547880503433119</v>
      </c>
      <c r="AQ185" t="str">
        <f t="shared" si="61"/>
        <v>June</v>
      </c>
      <c r="AR185">
        <f t="shared" si="62"/>
        <v>2025</v>
      </c>
      <c r="AS185" t="str">
        <f t="shared" si="63"/>
        <v>Clean</v>
      </c>
      <c r="AT185" t="str">
        <f>IF(OR(AC185&lt;0,AC185&gt;0.5),"Invalid Discount","Valid")</f>
        <v>Valid</v>
      </c>
      <c r="AU185" t="str">
        <f>IF(G185&lt;E185,"Invalid Shipping Record","Valid")</f>
        <v>Valid</v>
      </c>
      <c r="AV185" t="str">
        <f>IF(OR(AL185="Cancelled",AH185="Failed"),"Exclude","Include")</f>
        <v>Include</v>
      </c>
      <c r="AW185" t="str">
        <f t="shared" si="64"/>
        <v>Match</v>
      </c>
      <c r="AX185" t="str">
        <f t="shared" si="65"/>
        <v>Match</v>
      </c>
    </row>
    <row r="186" spans="1:50">
      <c r="A186" t="s">
        <v>999</v>
      </c>
      <c r="B186">
        <f t="shared" si="66"/>
        <v>1</v>
      </c>
      <c r="C186" t="str">
        <f t="shared" si="54"/>
        <v/>
      </c>
      <c r="D186" s="3" t="s">
        <v>1000</v>
      </c>
      <c r="E186" s="7">
        <v>45384</v>
      </c>
      <c r="F186" s="3" t="s">
        <v>347</v>
      </c>
      <c r="G186" s="7">
        <v>45388</v>
      </c>
      <c r="H186" s="7" t="str">
        <f t="shared" si="45"/>
        <v>Valid</v>
      </c>
      <c r="I186" s="9">
        <f t="shared" si="46"/>
        <v>4</v>
      </c>
      <c r="J186" s="9" t="str">
        <f t="shared" si="47"/>
        <v>Valid</v>
      </c>
      <c r="K186" t="s">
        <v>1001</v>
      </c>
      <c r="L186" t="s">
        <v>82</v>
      </c>
      <c r="M186" t="s">
        <v>82</v>
      </c>
      <c r="N186" t="s">
        <v>107</v>
      </c>
      <c r="O186" s="3" t="str">
        <f t="shared" si="48"/>
        <v>Corporate</v>
      </c>
      <c r="P186" t="s">
        <v>72</v>
      </c>
      <c r="Q186" s="3" t="str">
        <f t="shared" si="49"/>
        <v>West</v>
      </c>
      <c r="R186" t="s">
        <v>83</v>
      </c>
      <c r="S186" t="s">
        <v>84</v>
      </c>
      <c r="T186" t="s">
        <v>44</v>
      </c>
      <c r="U186" s="3" t="str">
        <f t="shared" si="50"/>
        <v>Furniture</v>
      </c>
      <c r="V186" t="s">
        <v>203</v>
      </c>
      <c r="W186" t="s">
        <v>1002</v>
      </c>
      <c r="X186" t="s">
        <v>66</v>
      </c>
      <c r="Y186" s="3" t="str">
        <f t="shared" si="51"/>
        <v>Standard Class</v>
      </c>
      <c r="Z186">
        <v>2</v>
      </c>
      <c r="AA186">
        <v>888.98</v>
      </c>
      <c r="AB186">
        <v>0</v>
      </c>
      <c r="AC186">
        <f t="shared" si="52"/>
        <v>0</v>
      </c>
      <c r="AD186" t="str">
        <f t="shared" si="55"/>
        <v>Valid</v>
      </c>
      <c r="AE186">
        <v>1777.96</v>
      </c>
      <c r="AF186">
        <v>1021.16</v>
      </c>
      <c r="AG186">
        <v>756.8</v>
      </c>
      <c r="AH186" t="s">
        <v>123</v>
      </c>
      <c r="AI186" t="str">
        <f t="shared" si="56"/>
        <v>Include</v>
      </c>
      <c r="AJ186" t="str">
        <f t="shared" si="57"/>
        <v>Refunded Order</v>
      </c>
      <c r="AK186" t="s">
        <v>124</v>
      </c>
      <c r="AL186" t="str">
        <f t="shared" si="53"/>
        <v>Returned</v>
      </c>
      <c r="AM186" t="str">
        <f t="shared" si="58"/>
        <v>Include</v>
      </c>
      <c r="AN186">
        <f t="shared" si="59"/>
        <v>1777.96</v>
      </c>
      <c r="AO186">
        <f t="shared" si="60"/>
        <v>756.80000000000007</v>
      </c>
      <c r="AP186">
        <f>IF(AN186=0,0,AO186/AN186)</f>
        <v>0.42565637022205227</v>
      </c>
      <c r="AQ186" t="str">
        <f t="shared" si="61"/>
        <v>April</v>
      </c>
      <c r="AR186">
        <f t="shared" si="62"/>
        <v>2024</v>
      </c>
      <c r="AS186" t="str">
        <f t="shared" si="63"/>
        <v>Clean</v>
      </c>
      <c r="AT186" t="str">
        <f>IF(OR(AC186&lt;0,AC186&gt;0.5),"Invalid Discount","Valid")</f>
        <v>Valid</v>
      </c>
      <c r="AU186" t="str">
        <f>IF(G186&lt;E186,"Invalid Shipping Record","Valid")</f>
        <v>Valid</v>
      </c>
      <c r="AV186" t="str">
        <f>IF(OR(AL186="Cancelled",AH186="Failed"),"Exclude","Include")</f>
        <v>Include</v>
      </c>
      <c r="AW186" t="str">
        <f t="shared" si="64"/>
        <v>Match</v>
      </c>
      <c r="AX186" t="str">
        <f t="shared" si="65"/>
        <v>Match</v>
      </c>
    </row>
    <row r="187" spans="1:50">
      <c r="A187" t="s">
        <v>1003</v>
      </c>
      <c r="B187">
        <f t="shared" si="66"/>
        <v>1</v>
      </c>
      <c r="C187" t="str">
        <f t="shared" si="54"/>
        <v/>
      </c>
      <c r="D187" s="3" t="s">
        <v>103</v>
      </c>
      <c r="E187" s="7">
        <v>45601</v>
      </c>
      <c r="F187" s="3" t="s">
        <v>1004</v>
      </c>
      <c r="G187" s="7">
        <v>45609</v>
      </c>
      <c r="H187" s="7" t="str">
        <f t="shared" si="45"/>
        <v>Valid</v>
      </c>
      <c r="I187" s="9">
        <f t="shared" si="46"/>
        <v>8</v>
      </c>
      <c r="J187" s="9" t="str">
        <f t="shared" si="47"/>
        <v>Valid</v>
      </c>
      <c r="K187" t="s">
        <v>1005</v>
      </c>
      <c r="L187" t="s">
        <v>60</v>
      </c>
      <c r="M187" t="s">
        <v>60</v>
      </c>
      <c r="N187" t="s">
        <v>25</v>
      </c>
      <c r="O187" s="3" t="str">
        <f t="shared" si="48"/>
        <v>Consumer</v>
      </c>
      <c r="Q187" s="3" t="str">
        <f t="shared" si="49"/>
        <v>Unknown</v>
      </c>
      <c r="R187" t="s">
        <v>153</v>
      </c>
      <c r="S187" t="s">
        <v>154</v>
      </c>
      <c r="T187" t="s">
        <v>29</v>
      </c>
      <c r="U187" s="3" t="str">
        <f t="shared" si="50"/>
        <v>Office Supplies</v>
      </c>
      <c r="V187" t="s">
        <v>108</v>
      </c>
      <c r="W187" t="s">
        <v>1006</v>
      </c>
      <c r="X187" t="s">
        <v>32</v>
      </c>
      <c r="Y187" s="3" t="str">
        <f t="shared" si="51"/>
        <v>Second Class</v>
      </c>
      <c r="Z187">
        <v>2</v>
      </c>
      <c r="AA187">
        <v>1003.17</v>
      </c>
      <c r="AB187">
        <v>0.2</v>
      </c>
      <c r="AC187">
        <f t="shared" si="52"/>
        <v>0.2</v>
      </c>
      <c r="AD187" t="str">
        <f t="shared" si="55"/>
        <v>Valid</v>
      </c>
      <c r="AE187">
        <v>1605.07</v>
      </c>
      <c r="AF187">
        <v>1337.28</v>
      </c>
      <c r="AG187">
        <v>267.79000000000002</v>
      </c>
      <c r="AH187" t="s">
        <v>33</v>
      </c>
      <c r="AI187" t="str">
        <f t="shared" si="56"/>
        <v>Include</v>
      </c>
      <c r="AJ187" t="str">
        <f t="shared" si="57"/>
        <v/>
      </c>
      <c r="AK187" t="s">
        <v>34</v>
      </c>
      <c r="AL187" t="str">
        <f t="shared" si="53"/>
        <v>Completed</v>
      </c>
      <c r="AM187" t="str">
        <f t="shared" si="58"/>
        <v>Include</v>
      </c>
      <c r="AN187">
        <f t="shared" si="59"/>
        <v>1605.0720000000001</v>
      </c>
      <c r="AO187">
        <f t="shared" si="60"/>
        <v>267.79200000000014</v>
      </c>
      <c r="AP187">
        <f>IF(AN187=0,0,AO187/AN187)</f>
        <v>0.16684111366966722</v>
      </c>
      <c r="AQ187" t="str">
        <f t="shared" si="61"/>
        <v>November</v>
      </c>
      <c r="AR187">
        <f t="shared" si="62"/>
        <v>2024</v>
      </c>
      <c r="AS187" t="str">
        <f t="shared" si="63"/>
        <v>Warning</v>
      </c>
      <c r="AT187" t="str">
        <f>IF(OR(AC187&lt;0,AC187&gt;0.5),"Invalid Discount","Valid")</f>
        <v>Valid</v>
      </c>
      <c r="AU187" t="str">
        <f>IF(G187&lt;E187,"Invalid Shipping Record","Valid")</f>
        <v>Valid</v>
      </c>
      <c r="AV187" t="str">
        <f>IF(OR(AL187="Cancelled",AH187="Failed"),"Exclude","Include")</f>
        <v>Include</v>
      </c>
      <c r="AW187" t="str">
        <f t="shared" si="64"/>
        <v>Match</v>
      </c>
      <c r="AX187" t="str">
        <f t="shared" si="65"/>
        <v>Match</v>
      </c>
    </row>
    <row r="188" spans="1:50">
      <c r="A188" t="s">
        <v>1007</v>
      </c>
      <c r="B188">
        <f t="shared" si="66"/>
        <v>1</v>
      </c>
      <c r="C188" t="str">
        <f t="shared" si="54"/>
        <v/>
      </c>
      <c r="D188" s="3" t="s">
        <v>331</v>
      </c>
      <c r="E188" s="7">
        <v>45492</v>
      </c>
      <c r="F188" s="3" t="s">
        <v>1008</v>
      </c>
      <c r="G188" s="7">
        <v>45493</v>
      </c>
      <c r="H188" s="7" t="str">
        <f t="shared" si="45"/>
        <v>Valid</v>
      </c>
      <c r="I188" s="9">
        <f t="shared" si="46"/>
        <v>1</v>
      </c>
      <c r="J188" s="9" t="str">
        <f t="shared" si="47"/>
        <v>Valid</v>
      </c>
      <c r="K188" t="s">
        <v>364</v>
      </c>
      <c r="L188" t="s">
        <v>82</v>
      </c>
      <c r="M188" t="s">
        <v>82</v>
      </c>
      <c r="N188" t="s">
        <v>25</v>
      </c>
      <c r="O188" s="3" t="str">
        <f t="shared" si="48"/>
        <v>Consumer</v>
      </c>
      <c r="P188" t="s">
        <v>61</v>
      </c>
      <c r="Q188" s="3" t="str">
        <f t="shared" si="49"/>
        <v>South</v>
      </c>
      <c r="R188" t="s">
        <v>338</v>
      </c>
      <c r="S188" t="s">
        <v>339</v>
      </c>
      <c r="T188" t="s">
        <v>44</v>
      </c>
      <c r="U188" s="3" t="str">
        <f t="shared" si="50"/>
        <v>Furniture</v>
      </c>
      <c r="V188" t="s">
        <v>45</v>
      </c>
      <c r="W188" t="s">
        <v>1009</v>
      </c>
      <c r="X188" t="s">
        <v>55</v>
      </c>
      <c r="Y188" s="3" t="str">
        <f t="shared" si="51"/>
        <v>First Class</v>
      </c>
      <c r="Z188">
        <v>7</v>
      </c>
      <c r="AA188">
        <v>3608.43</v>
      </c>
      <c r="AB188">
        <v>0.05</v>
      </c>
      <c r="AC188">
        <f t="shared" si="52"/>
        <v>0.05</v>
      </c>
      <c r="AD188" t="str">
        <f t="shared" si="55"/>
        <v>Valid</v>
      </c>
      <c r="AE188">
        <v>23996.06</v>
      </c>
      <c r="AF188">
        <v>20167.28</v>
      </c>
      <c r="AG188">
        <v>3828.78</v>
      </c>
      <c r="AH188" t="s">
        <v>33</v>
      </c>
      <c r="AI188" t="str">
        <f t="shared" si="56"/>
        <v>Include</v>
      </c>
      <c r="AJ188" t="str">
        <f t="shared" si="57"/>
        <v/>
      </c>
      <c r="AK188" t="s">
        <v>34</v>
      </c>
      <c r="AL188" t="str">
        <f t="shared" si="53"/>
        <v>Completed</v>
      </c>
      <c r="AM188" t="str">
        <f t="shared" si="58"/>
        <v>Include</v>
      </c>
      <c r="AN188">
        <f t="shared" si="59"/>
        <v>23996.059499999996</v>
      </c>
      <c r="AO188">
        <f t="shared" si="60"/>
        <v>3828.7794999999969</v>
      </c>
      <c r="AP188">
        <f>IF(AN188=0,0,AO188/AN188)</f>
        <v>0.15955867670689838</v>
      </c>
      <c r="AQ188" t="str">
        <f t="shared" si="61"/>
        <v>July</v>
      </c>
      <c r="AR188">
        <f t="shared" si="62"/>
        <v>2024</v>
      </c>
      <c r="AS188" t="str">
        <f t="shared" si="63"/>
        <v>Clean</v>
      </c>
      <c r="AT188" t="str">
        <f>IF(OR(AC188&lt;0,AC188&gt;0.5),"Invalid Discount","Valid")</f>
        <v>Valid</v>
      </c>
      <c r="AU188" t="str">
        <f>IF(G188&lt;E188,"Invalid Shipping Record","Valid")</f>
        <v>Valid</v>
      </c>
      <c r="AV188" t="str">
        <f>IF(OR(AL188="Cancelled",AH188="Failed"),"Exclude","Include")</f>
        <v>Include</v>
      </c>
      <c r="AW188" t="str">
        <f t="shared" si="64"/>
        <v>Match</v>
      </c>
      <c r="AX188" t="str">
        <f t="shared" si="65"/>
        <v>Match</v>
      </c>
    </row>
    <row r="189" spans="1:50">
      <c r="A189" t="s">
        <v>1010</v>
      </c>
      <c r="B189">
        <f t="shared" si="66"/>
        <v>1</v>
      </c>
      <c r="C189" t="str">
        <f t="shared" si="54"/>
        <v/>
      </c>
      <c r="D189" s="3" t="s">
        <v>1011</v>
      </c>
      <c r="E189" s="7">
        <v>45778</v>
      </c>
      <c r="F189" s="3" t="s">
        <v>1012</v>
      </c>
      <c r="G189" s="7">
        <v>45779</v>
      </c>
      <c r="H189" s="7" t="str">
        <f t="shared" si="45"/>
        <v>Valid</v>
      </c>
      <c r="I189" s="9">
        <f t="shared" si="46"/>
        <v>1</v>
      </c>
      <c r="J189" s="9" t="str">
        <f t="shared" si="47"/>
        <v>Valid</v>
      </c>
      <c r="K189" t="s">
        <v>1013</v>
      </c>
      <c r="L189" t="s">
        <v>39</v>
      </c>
      <c r="M189" t="s">
        <v>39</v>
      </c>
      <c r="N189" t="s">
        <v>25</v>
      </c>
      <c r="O189" s="3" t="str">
        <f t="shared" si="48"/>
        <v>Consumer</v>
      </c>
      <c r="P189" t="s">
        <v>72</v>
      </c>
      <c r="Q189" s="3" t="str">
        <f t="shared" si="49"/>
        <v>West</v>
      </c>
      <c r="R189" t="s">
        <v>83</v>
      </c>
      <c r="S189" t="s">
        <v>84</v>
      </c>
      <c r="T189" t="s">
        <v>44</v>
      </c>
      <c r="U189" s="3" t="str">
        <f t="shared" si="50"/>
        <v>Furniture</v>
      </c>
      <c r="V189" t="s">
        <v>75</v>
      </c>
      <c r="W189" t="s">
        <v>1014</v>
      </c>
      <c r="X189" t="s">
        <v>47</v>
      </c>
      <c r="Y189" s="3" t="str">
        <f t="shared" si="51"/>
        <v>Same Day</v>
      </c>
      <c r="Z189">
        <v>3</v>
      </c>
      <c r="AA189">
        <v>2905.74</v>
      </c>
      <c r="AB189">
        <v>0</v>
      </c>
      <c r="AC189">
        <f t="shared" si="52"/>
        <v>0</v>
      </c>
      <c r="AD189" t="str">
        <f t="shared" si="55"/>
        <v>Valid</v>
      </c>
      <c r="AE189">
        <v>8717.2199999999993</v>
      </c>
      <c r="AF189">
        <v>6215.96</v>
      </c>
      <c r="AG189">
        <v>2501.2600000000002</v>
      </c>
      <c r="AH189" t="s">
        <v>33</v>
      </c>
      <c r="AI189" t="str">
        <f t="shared" si="56"/>
        <v>Include</v>
      </c>
      <c r="AJ189" t="str">
        <f t="shared" si="57"/>
        <v/>
      </c>
      <c r="AK189" t="s">
        <v>124</v>
      </c>
      <c r="AL189" t="str">
        <f t="shared" si="53"/>
        <v>Returned</v>
      </c>
      <c r="AM189" t="str">
        <f t="shared" si="58"/>
        <v>Include</v>
      </c>
      <c r="AN189">
        <f t="shared" si="59"/>
        <v>8717.2199999999993</v>
      </c>
      <c r="AO189">
        <f t="shared" si="60"/>
        <v>2501.2599999999993</v>
      </c>
      <c r="AP189">
        <f>IF(AN189=0,0,AO189/AN189)</f>
        <v>0.28693321953558582</v>
      </c>
      <c r="AQ189" t="str">
        <f t="shared" si="61"/>
        <v>May</v>
      </c>
      <c r="AR189">
        <f t="shared" si="62"/>
        <v>2025</v>
      </c>
      <c r="AS189" t="str">
        <f t="shared" si="63"/>
        <v>Clean</v>
      </c>
      <c r="AT189" t="str">
        <f>IF(OR(AC189&lt;0,AC189&gt;0.5),"Invalid Discount","Valid")</f>
        <v>Valid</v>
      </c>
      <c r="AU189" t="str">
        <f>IF(G189&lt;E189,"Invalid Shipping Record","Valid")</f>
        <v>Valid</v>
      </c>
      <c r="AV189" t="str">
        <f>IF(OR(AL189="Cancelled",AH189="Failed"),"Exclude","Include")</f>
        <v>Include</v>
      </c>
      <c r="AW189" t="str">
        <f t="shared" si="64"/>
        <v>Match</v>
      </c>
      <c r="AX189" t="str">
        <f t="shared" si="65"/>
        <v>Match</v>
      </c>
    </row>
    <row r="190" spans="1:50">
      <c r="A190" t="s">
        <v>1015</v>
      </c>
      <c r="B190">
        <f t="shared" si="66"/>
        <v>1</v>
      </c>
      <c r="C190" t="str">
        <f t="shared" si="54"/>
        <v/>
      </c>
      <c r="D190" s="3" t="s">
        <v>1016</v>
      </c>
      <c r="E190" s="7">
        <v>45798</v>
      </c>
      <c r="F190" s="3" t="s">
        <v>1017</v>
      </c>
      <c r="G190" s="7">
        <v>45805</v>
      </c>
      <c r="H190" s="7" t="str">
        <f t="shared" si="45"/>
        <v>Valid</v>
      </c>
      <c r="I190" s="9">
        <f t="shared" si="46"/>
        <v>7</v>
      </c>
      <c r="J190" s="9" t="str">
        <f t="shared" si="47"/>
        <v>Valid</v>
      </c>
      <c r="K190" t="s">
        <v>1018</v>
      </c>
      <c r="L190" t="s">
        <v>141</v>
      </c>
      <c r="M190" t="s">
        <v>141</v>
      </c>
      <c r="N190" t="s">
        <v>107</v>
      </c>
      <c r="O190" s="3" t="str">
        <f t="shared" si="48"/>
        <v>Corporate</v>
      </c>
      <c r="P190" t="s">
        <v>41</v>
      </c>
      <c r="Q190" s="3" t="str">
        <f t="shared" si="49"/>
        <v>East</v>
      </c>
      <c r="R190" t="s">
        <v>120</v>
      </c>
      <c r="S190" t="s">
        <v>121</v>
      </c>
      <c r="T190" t="s">
        <v>44</v>
      </c>
      <c r="U190" s="3" t="str">
        <f t="shared" si="50"/>
        <v>Furniture</v>
      </c>
      <c r="V190" t="s">
        <v>203</v>
      </c>
      <c r="W190" t="s">
        <v>1019</v>
      </c>
      <c r="X190" t="s">
        <v>47</v>
      </c>
      <c r="Y190" s="3" t="str">
        <f t="shared" si="51"/>
        <v>Same Day</v>
      </c>
      <c r="Z190">
        <v>2</v>
      </c>
      <c r="AA190">
        <v>3559.57</v>
      </c>
      <c r="AB190">
        <v>0.1</v>
      </c>
      <c r="AC190">
        <f t="shared" si="52"/>
        <v>0.1</v>
      </c>
      <c r="AD190" t="str">
        <f t="shared" si="55"/>
        <v>Valid</v>
      </c>
      <c r="AE190">
        <v>6553.95</v>
      </c>
      <c r="AF190">
        <v>4923.09</v>
      </c>
      <c r="AG190">
        <v>1484.14</v>
      </c>
      <c r="AH190" t="s">
        <v>33</v>
      </c>
      <c r="AI190" t="str">
        <f t="shared" si="56"/>
        <v>Include</v>
      </c>
      <c r="AJ190" t="str">
        <f t="shared" si="57"/>
        <v/>
      </c>
      <c r="AK190" t="s">
        <v>34</v>
      </c>
      <c r="AL190" t="str">
        <f t="shared" si="53"/>
        <v>Completed</v>
      </c>
      <c r="AM190" t="str">
        <f t="shared" si="58"/>
        <v>Include</v>
      </c>
      <c r="AN190">
        <f t="shared" si="59"/>
        <v>6407.2260000000006</v>
      </c>
      <c r="AO190">
        <f t="shared" si="60"/>
        <v>1484.1360000000004</v>
      </c>
      <c r="AP190">
        <f>IF(AN190=0,0,AO190/AN190)</f>
        <v>0.23163471992403581</v>
      </c>
      <c r="AQ190" t="str">
        <f t="shared" si="61"/>
        <v>May</v>
      </c>
      <c r="AR190">
        <f t="shared" si="62"/>
        <v>2025</v>
      </c>
      <c r="AS190" t="str">
        <f t="shared" si="63"/>
        <v>Clean</v>
      </c>
      <c r="AT190" t="str">
        <f>IF(OR(AC190&lt;0,AC190&gt;0.5),"Invalid Discount","Valid")</f>
        <v>Valid</v>
      </c>
      <c r="AU190" t="str">
        <f>IF(G190&lt;E190,"Invalid Shipping Record","Valid")</f>
        <v>Valid</v>
      </c>
      <c r="AV190" t="str">
        <f>IF(OR(AL190="Cancelled",AH190="Failed"),"Exclude","Include")</f>
        <v>Include</v>
      </c>
      <c r="AW190" t="str">
        <f t="shared" si="64"/>
        <v>Mismatch</v>
      </c>
      <c r="AX190" t="str">
        <f t="shared" si="65"/>
        <v>Match</v>
      </c>
    </row>
    <row r="191" spans="1:50">
      <c r="A191" t="s">
        <v>1020</v>
      </c>
      <c r="B191">
        <f t="shared" si="66"/>
        <v>1</v>
      </c>
      <c r="C191" t="str">
        <f t="shared" si="54"/>
        <v/>
      </c>
      <c r="D191" s="3" t="s">
        <v>1021</v>
      </c>
      <c r="E191" s="7">
        <v>45783</v>
      </c>
      <c r="F191" s="3" t="s">
        <v>1022</v>
      </c>
      <c r="G191" s="7">
        <v>45784</v>
      </c>
      <c r="H191" s="7" t="str">
        <f t="shared" si="45"/>
        <v>Valid</v>
      </c>
      <c r="I191" s="9">
        <f t="shared" si="46"/>
        <v>1</v>
      </c>
      <c r="J191" s="9" t="str">
        <f t="shared" si="47"/>
        <v>Valid</v>
      </c>
      <c r="K191" t="s">
        <v>1023</v>
      </c>
      <c r="L191" t="s">
        <v>60</v>
      </c>
      <c r="M191" t="s">
        <v>60</v>
      </c>
      <c r="N191" t="s">
        <v>25</v>
      </c>
      <c r="O191" s="3" t="str">
        <f t="shared" si="48"/>
        <v>Consumer</v>
      </c>
      <c r="P191" t="s">
        <v>72</v>
      </c>
      <c r="Q191" s="3" t="str">
        <f t="shared" si="49"/>
        <v>West</v>
      </c>
      <c r="R191" t="s">
        <v>27</v>
      </c>
      <c r="S191" t="s">
        <v>134</v>
      </c>
      <c r="T191" t="s">
        <v>44</v>
      </c>
      <c r="U191" s="3" t="str">
        <f t="shared" si="50"/>
        <v>Furniture</v>
      </c>
      <c r="V191" t="s">
        <v>203</v>
      </c>
      <c r="W191" t="s">
        <v>1024</v>
      </c>
      <c r="X191" t="s">
        <v>55</v>
      </c>
      <c r="Y191" s="3" t="str">
        <f t="shared" si="51"/>
        <v>First Class</v>
      </c>
      <c r="Z191">
        <v>9</v>
      </c>
      <c r="AA191">
        <v>3318.24</v>
      </c>
      <c r="AC191">
        <f t="shared" si="52"/>
        <v>0</v>
      </c>
      <c r="AD191" t="str">
        <f t="shared" si="55"/>
        <v>Valid</v>
      </c>
      <c r="AE191">
        <v>25384.54</v>
      </c>
      <c r="AF191">
        <v>16872.39</v>
      </c>
      <c r="AG191">
        <v>8512.15</v>
      </c>
      <c r="AH191" t="s">
        <v>33</v>
      </c>
      <c r="AI191" t="str">
        <f t="shared" si="56"/>
        <v>Include</v>
      </c>
      <c r="AJ191" t="str">
        <f t="shared" si="57"/>
        <v/>
      </c>
      <c r="AK191" t="s">
        <v>1025</v>
      </c>
      <c r="AL191" t="str">
        <f t="shared" si="53"/>
        <v>Completed</v>
      </c>
      <c r="AM191" t="str">
        <f t="shared" si="58"/>
        <v>Include</v>
      </c>
      <c r="AN191">
        <f t="shared" si="59"/>
        <v>29864.159999999996</v>
      </c>
      <c r="AO191">
        <f t="shared" si="60"/>
        <v>12991.769999999997</v>
      </c>
      <c r="AP191">
        <f>IF(AN191=0,0,AO191/AN191)</f>
        <v>0.43502881045373448</v>
      </c>
      <c r="AQ191" t="str">
        <f t="shared" si="61"/>
        <v>May</v>
      </c>
      <c r="AR191">
        <f t="shared" si="62"/>
        <v>2025</v>
      </c>
      <c r="AS191" t="str">
        <f t="shared" si="63"/>
        <v>Clean</v>
      </c>
      <c r="AT191" t="str">
        <f>IF(OR(AC191&lt;0,AC191&gt;0.5),"Invalid Discount","Valid")</f>
        <v>Valid</v>
      </c>
      <c r="AU191" t="str">
        <f>IF(G191&lt;E191,"Invalid Shipping Record","Valid")</f>
        <v>Valid</v>
      </c>
      <c r="AV191" t="str">
        <f>IF(OR(AL191="Cancelled",AH191="Failed"),"Exclude","Include")</f>
        <v>Include</v>
      </c>
      <c r="AW191" t="str">
        <f t="shared" si="64"/>
        <v>Mismatch</v>
      </c>
      <c r="AX191" t="str">
        <f t="shared" si="65"/>
        <v>Mismatch</v>
      </c>
    </row>
    <row r="192" spans="1:50">
      <c r="A192" t="s">
        <v>1026</v>
      </c>
      <c r="B192">
        <f t="shared" si="66"/>
        <v>1</v>
      </c>
      <c r="C192" t="str">
        <f t="shared" si="54"/>
        <v/>
      </c>
      <c r="D192" s="3" t="s">
        <v>1027</v>
      </c>
      <c r="E192" s="7">
        <v>45767</v>
      </c>
      <c r="F192" s="3" t="s">
        <v>1028</v>
      </c>
      <c r="G192" s="7">
        <v>45768</v>
      </c>
      <c r="H192" s="7" t="str">
        <f t="shared" si="45"/>
        <v>Valid</v>
      </c>
      <c r="I192" s="9">
        <f t="shared" si="46"/>
        <v>1</v>
      </c>
      <c r="J192" s="9" t="str">
        <f t="shared" si="47"/>
        <v>Valid</v>
      </c>
      <c r="K192" t="s">
        <v>1029</v>
      </c>
      <c r="L192" t="s">
        <v>106</v>
      </c>
      <c r="M192" t="s">
        <v>106</v>
      </c>
      <c r="N192" t="s">
        <v>25</v>
      </c>
      <c r="O192" s="3" t="str">
        <f t="shared" si="48"/>
        <v>Consumer</v>
      </c>
      <c r="P192" t="s">
        <v>61</v>
      </c>
      <c r="Q192" s="3" t="str">
        <f t="shared" si="49"/>
        <v>South</v>
      </c>
      <c r="R192" t="s">
        <v>338</v>
      </c>
      <c r="S192" t="s">
        <v>339</v>
      </c>
      <c r="T192" t="s">
        <v>29</v>
      </c>
      <c r="U192" s="3" t="str">
        <f t="shared" si="50"/>
        <v>Office Supplies</v>
      </c>
      <c r="V192" t="s">
        <v>155</v>
      </c>
      <c r="W192" t="s">
        <v>1030</v>
      </c>
      <c r="X192" t="s">
        <v>55</v>
      </c>
      <c r="Y192" s="3" t="str">
        <f t="shared" si="51"/>
        <v>First Class</v>
      </c>
      <c r="Z192">
        <v>3</v>
      </c>
      <c r="AA192">
        <v>540.09</v>
      </c>
      <c r="AB192">
        <v>0.1</v>
      </c>
      <c r="AC192">
        <f t="shared" si="52"/>
        <v>0.1</v>
      </c>
      <c r="AD192" t="str">
        <f t="shared" si="55"/>
        <v>Valid</v>
      </c>
      <c r="AE192">
        <v>1458.24</v>
      </c>
      <c r="AF192">
        <v>943.32</v>
      </c>
      <c r="AG192">
        <v>514.91999999999996</v>
      </c>
      <c r="AH192" t="s">
        <v>33</v>
      </c>
      <c r="AI192" t="str">
        <f t="shared" si="56"/>
        <v>Include</v>
      </c>
      <c r="AJ192" t="str">
        <f t="shared" si="57"/>
        <v/>
      </c>
      <c r="AK192" t="s">
        <v>34</v>
      </c>
      <c r="AL192" t="str">
        <f t="shared" si="53"/>
        <v>Completed</v>
      </c>
      <c r="AM192" t="str">
        <f t="shared" si="58"/>
        <v>Include</v>
      </c>
      <c r="AN192">
        <f t="shared" si="59"/>
        <v>1458.2429999999999</v>
      </c>
      <c r="AO192">
        <f t="shared" si="60"/>
        <v>514.92299999999989</v>
      </c>
      <c r="AP192">
        <f>IF(AN192=0,0,AO192/AN192)</f>
        <v>0.35311192990468659</v>
      </c>
      <c r="AQ192" t="str">
        <f t="shared" si="61"/>
        <v>April</v>
      </c>
      <c r="AR192">
        <f t="shared" si="62"/>
        <v>2025</v>
      </c>
      <c r="AS192" t="str">
        <f t="shared" si="63"/>
        <v>Clean</v>
      </c>
      <c r="AT192" t="str">
        <f>IF(OR(AC192&lt;0,AC192&gt;0.5),"Invalid Discount","Valid")</f>
        <v>Valid</v>
      </c>
      <c r="AU192" t="str">
        <f>IF(G192&lt;E192,"Invalid Shipping Record","Valid")</f>
        <v>Valid</v>
      </c>
      <c r="AV192" t="str">
        <f>IF(OR(AL192="Cancelled",AH192="Failed"),"Exclude","Include")</f>
        <v>Include</v>
      </c>
      <c r="AW192" t="str">
        <f t="shared" si="64"/>
        <v>Match</v>
      </c>
      <c r="AX192" t="str">
        <f t="shared" si="65"/>
        <v>Match</v>
      </c>
    </row>
    <row r="193" spans="1:50">
      <c r="A193" t="s">
        <v>1031</v>
      </c>
      <c r="B193">
        <f t="shared" si="66"/>
        <v>1</v>
      </c>
      <c r="C193" t="str">
        <f t="shared" si="54"/>
        <v/>
      </c>
      <c r="D193" s="3" t="s">
        <v>1032</v>
      </c>
      <c r="E193" s="7">
        <v>45584</v>
      </c>
      <c r="F193" s="3" t="s">
        <v>644</v>
      </c>
      <c r="G193" s="7">
        <v>45589</v>
      </c>
      <c r="H193" s="7" t="str">
        <f t="shared" si="45"/>
        <v>Valid</v>
      </c>
      <c r="I193" s="9">
        <f t="shared" si="46"/>
        <v>5</v>
      </c>
      <c r="J193" s="9" t="str">
        <f t="shared" si="47"/>
        <v>Valid</v>
      </c>
      <c r="K193" t="s">
        <v>1033</v>
      </c>
      <c r="L193" t="s">
        <v>167</v>
      </c>
      <c r="M193" t="s">
        <v>167</v>
      </c>
      <c r="N193" t="s">
        <v>40</v>
      </c>
      <c r="O193" s="3" t="str">
        <f t="shared" si="48"/>
        <v>Small Business</v>
      </c>
      <c r="P193" t="s">
        <v>61</v>
      </c>
      <c r="Q193" s="3" t="str">
        <f t="shared" si="49"/>
        <v>South</v>
      </c>
      <c r="R193" t="s">
        <v>338</v>
      </c>
      <c r="S193" t="s">
        <v>339</v>
      </c>
      <c r="T193" t="s">
        <v>44</v>
      </c>
      <c r="U193" s="3" t="str">
        <f t="shared" si="50"/>
        <v>Furniture</v>
      </c>
      <c r="V193" t="s">
        <v>203</v>
      </c>
      <c r="W193" t="s">
        <v>1034</v>
      </c>
      <c r="X193" t="s">
        <v>32</v>
      </c>
      <c r="Y193" s="3" t="str">
        <f t="shared" si="51"/>
        <v>Second Class</v>
      </c>
      <c r="Z193">
        <v>6</v>
      </c>
      <c r="AA193">
        <v>4308.3999999999996</v>
      </c>
      <c r="AB193">
        <v>0.65</v>
      </c>
      <c r="AC193">
        <f t="shared" si="52"/>
        <v>0.65</v>
      </c>
      <c r="AD193" t="str">
        <f t="shared" si="55"/>
        <v>Valid</v>
      </c>
      <c r="AE193">
        <v>25850.400000000001</v>
      </c>
      <c r="AF193">
        <v>19397.68</v>
      </c>
      <c r="AG193">
        <v>6452.72</v>
      </c>
      <c r="AH193" t="s">
        <v>33</v>
      </c>
      <c r="AI193" t="str">
        <f t="shared" si="56"/>
        <v>Include</v>
      </c>
      <c r="AJ193" t="str">
        <f t="shared" si="57"/>
        <v/>
      </c>
      <c r="AK193" t="s">
        <v>34</v>
      </c>
      <c r="AL193" t="str">
        <f t="shared" si="53"/>
        <v>Completed</v>
      </c>
      <c r="AM193" t="str">
        <f t="shared" si="58"/>
        <v>Include</v>
      </c>
      <c r="AN193">
        <f t="shared" si="59"/>
        <v>9047.64</v>
      </c>
      <c r="AO193">
        <f t="shared" si="60"/>
        <v>-10350.040000000001</v>
      </c>
      <c r="AP193">
        <f>IF(AN193=0,0,AO193/AN193)</f>
        <v>-1.1439491403283069</v>
      </c>
      <c r="AQ193" t="str">
        <f t="shared" si="61"/>
        <v>October</v>
      </c>
      <c r="AR193">
        <f t="shared" si="62"/>
        <v>2024</v>
      </c>
      <c r="AS193" t="str">
        <f t="shared" si="63"/>
        <v>Clean</v>
      </c>
      <c r="AT193" t="str">
        <f>IF(OR(AC193&lt;0,AC193&gt;0.5),"Invalid Discount","Valid")</f>
        <v>Invalid Discount</v>
      </c>
      <c r="AU193" t="str">
        <f>IF(G193&lt;E193,"Invalid Shipping Record","Valid")</f>
        <v>Valid</v>
      </c>
      <c r="AV193" t="str">
        <f>IF(OR(AL193="Cancelled",AH193="Failed"),"Exclude","Include")</f>
        <v>Include</v>
      </c>
      <c r="AW193" t="str">
        <f t="shared" si="64"/>
        <v>Mismatch</v>
      </c>
      <c r="AX193" t="str">
        <f t="shared" si="65"/>
        <v>Mismatch</v>
      </c>
    </row>
    <row r="194" spans="1:50">
      <c r="A194" t="s">
        <v>1035</v>
      </c>
      <c r="B194">
        <f t="shared" si="66"/>
        <v>1</v>
      </c>
      <c r="C194" t="str">
        <f t="shared" si="54"/>
        <v/>
      </c>
      <c r="D194" s="3" t="s">
        <v>1036</v>
      </c>
      <c r="E194" s="7">
        <v>45635</v>
      </c>
      <c r="F194" s="3" t="s">
        <v>1037</v>
      </c>
      <c r="G194" s="7">
        <v>45642</v>
      </c>
      <c r="H194" s="7" t="str">
        <f t="shared" ref="H194:H257" si="67">IF(G194&lt;E194,"Invalid Shipping Record","Valid")</f>
        <v>Valid</v>
      </c>
      <c r="I194" s="9">
        <f t="shared" ref="I194:I257" si="68">G194-E194</f>
        <v>7</v>
      </c>
      <c r="J194" s="9" t="str">
        <f t="shared" ref="J194:J257" si="69">IF(OR(E194="",G194=""),"Missing Date",IF(OR(NOT(ISNUMBER(E194)),NOT(ISNUMBER(G194))),"Invalid Date",IF(G194&lt;E194,"Invalid Shipping Record","Valid")))</f>
        <v>Valid</v>
      </c>
      <c r="K194" t="s">
        <v>1038</v>
      </c>
      <c r="L194" t="s">
        <v>52</v>
      </c>
      <c r="M194" t="s">
        <v>52</v>
      </c>
      <c r="N194" t="s">
        <v>114</v>
      </c>
      <c r="O194" s="3" t="str">
        <f t="shared" ref="O194:O257" si="70">PROPER(TRIM(N194))</f>
        <v>Home Office</v>
      </c>
      <c r="P194" t="s">
        <v>72</v>
      </c>
      <c r="Q194" s="3" t="str">
        <f t="shared" ref="Q194:Q257" si="71">IF(TRIM(P194)="","Unknown",PROPER(TRIM(P194)))</f>
        <v>West</v>
      </c>
      <c r="R194" t="s">
        <v>234</v>
      </c>
      <c r="S194" t="s">
        <v>235</v>
      </c>
      <c r="T194" t="s">
        <v>44</v>
      </c>
      <c r="U194" s="3" t="str">
        <f t="shared" ref="U194:U257" si="72">PROPER(TRIM(T194))</f>
        <v>Furniture</v>
      </c>
      <c r="V194" t="s">
        <v>75</v>
      </c>
      <c r="W194" t="s">
        <v>1039</v>
      </c>
      <c r="X194" t="s">
        <v>55</v>
      </c>
      <c r="Y194" s="3" t="str">
        <f t="shared" ref="Y194:Y257" si="73">IF(TRIM(X194)="","Unknown",PROPER(TRIM(X194)))</f>
        <v>First Class</v>
      </c>
      <c r="Z194">
        <v>4</v>
      </c>
      <c r="AA194">
        <v>2191.0300000000002</v>
      </c>
      <c r="AB194">
        <v>0</v>
      </c>
      <c r="AC194">
        <f t="shared" ref="AC194:AC257" si="74">IF(AND(AB194=" ",Z194=" ",AA194=" ",AF194=" "),0,AB194)</f>
        <v>0</v>
      </c>
      <c r="AD194" t="str">
        <f t="shared" si="55"/>
        <v>Valid</v>
      </c>
      <c r="AE194">
        <v>8764.1200000000008</v>
      </c>
      <c r="AF194">
        <v>7220.05</v>
      </c>
      <c r="AG194">
        <v>1544.07</v>
      </c>
      <c r="AH194" t="s">
        <v>33</v>
      </c>
      <c r="AI194" t="str">
        <f t="shared" si="56"/>
        <v>Include</v>
      </c>
      <c r="AJ194" t="str">
        <f t="shared" si="57"/>
        <v/>
      </c>
      <c r="AK194" t="s">
        <v>34</v>
      </c>
      <c r="AL194" t="str">
        <f t="shared" ref="AL194:AL257" si="75">PROPER(TRIM(AK194))</f>
        <v>Completed</v>
      </c>
      <c r="AM194" t="str">
        <f t="shared" si="58"/>
        <v>Include</v>
      </c>
      <c r="AN194">
        <f t="shared" si="59"/>
        <v>8764.1200000000008</v>
      </c>
      <c r="AO194">
        <f t="shared" si="60"/>
        <v>1544.0700000000006</v>
      </c>
      <c r="AP194">
        <f>IF(AN194=0,0,AO194/AN194)</f>
        <v>0.17618083732308554</v>
      </c>
      <c r="AQ194" t="str">
        <f t="shared" si="61"/>
        <v>December</v>
      </c>
      <c r="AR194">
        <f t="shared" si="62"/>
        <v>2024</v>
      </c>
      <c r="AS194" t="str">
        <f t="shared" si="63"/>
        <v>Clean</v>
      </c>
      <c r="AT194" t="str">
        <f>IF(OR(AC194&lt;0,AC194&gt;0.5),"Invalid Discount","Valid")</f>
        <v>Valid</v>
      </c>
      <c r="AU194" t="str">
        <f>IF(G194&lt;E194,"Invalid Shipping Record","Valid")</f>
        <v>Valid</v>
      </c>
      <c r="AV194" t="str">
        <f>IF(OR(AL194="Cancelled",AH194="Failed"),"Exclude","Include")</f>
        <v>Include</v>
      </c>
      <c r="AW194" t="str">
        <f t="shared" si="64"/>
        <v>Match</v>
      </c>
      <c r="AX194" t="str">
        <f t="shared" si="65"/>
        <v>Match</v>
      </c>
    </row>
    <row r="195" spans="1:50">
      <c r="A195" t="s">
        <v>1040</v>
      </c>
      <c r="B195">
        <f t="shared" si="66"/>
        <v>1</v>
      </c>
      <c r="C195" t="str">
        <f t="shared" ref="C195:C258" si="76">IF(B195&gt;1,"Review Required","")</f>
        <v/>
      </c>
      <c r="D195" s="3" t="s">
        <v>1041</v>
      </c>
      <c r="E195" s="7">
        <v>45466</v>
      </c>
      <c r="F195" s="3" t="s">
        <v>1042</v>
      </c>
      <c r="G195" s="7">
        <v>45471</v>
      </c>
      <c r="H195" s="7" t="str">
        <f t="shared" si="67"/>
        <v>Valid</v>
      </c>
      <c r="I195" s="9">
        <f t="shared" si="68"/>
        <v>5</v>
      </c>
      <c r="J195" s="9" t="str">
        <f t="shared" si="69"/>
        <v>Valid</v>
      </c>
      <c r="K195" t="s">
        <v>1043</v>
      </c>
      <c r="L195" t="s">
        <v>141</v>
      </c>
      <c r="M195" t="s">
        <v>141</v>
      </c>
      <c r="N195" t="s">
        <v>40</v>
      </c>
      <c r="O195" s="3" t="str">
        <f t="shared" si="70"/>
        <v>Small Business</v>
      </c>
      <c r="P195" t="s">
        <v>26</v>
      </c>
      <c r="Q195" s="3" t="str">
        <f t="shared" si="71"/>
        <v>North</v>
      </c>
      <c r="R195" t="s">
        <v>153</v>
      </c>
      <c r="S195" t="s">
        <v>154</v>
      </c>
      <c r="T195" t="s">
        <v>85</v>
      </c>
      <c r="U195" s="3" t="str">
        <f t="shared" si="72"/>
        <v>Technology</v>
      </c>
      <c r="V195" t="s">
        <v>93</v>
      </c>
      <c r="W195" t="s">
        <v>1044</v>
      </c>
      <c r="X195" t="s">
        <v>47</v>
      </c>
      <c r="Y195" s="3" t="str">
        <f t="shared" si="73"/>
        <v>Same Day</v>
      </c>
      <c r="Z195">
        <v>6</v>
      </c>
      <c r="AA195">
        <v>1956.63</v>
      </c>
      <c r="AB195">
        <v>0.2</v>
      </c>
      <c r="AC195">
        <f t="shared" si="74"/>
        <v>0.2</v>
      </c>
      <c r="AD195" t="str">
        <f t="shared" ref="AD195:AD258" si="77">IF(AC195&lt;0,"Invalid Discount","Valid")</f>
        <v>Valid</v>
      </c>
      <c r="AE195">
        <v>9391.82</v>
      </c>
      <c r="AF195">
        <v>6013.22</v>
      </c>
      <c r="AG195">
        <v>3378.6</v>
      </c>
      <c r="AH195" t="s">
        <v>123</v>
      </c>
      <c r="AI195" t="str">
        <f t="shared" ref="AI195:AI258" si="78">IF(OR(AH195="Failed",AL195="Cancelled"),"Exclude","Include")</f>
        <v>Include</v>
      </c>
      <c r="AJ195" t="str">
        <f t="shared" ref="AJ195:AJ258" si="79">IF(AH195="Refunded","Refunded Order","")</f>
        <v>Refunded Order</v>
      </c>
      <c r="AK195" t="s">
        <v>124</v>
      </c>
      <c r="AL195" t="str">
        <f t="shared" si="75"/>
        <v>Returned</v>
      </c>
      <c r="AM195" t="str">
        <f t="shared" ref="AM195:AM258" si="80">IF(AL195="Cancelled","Exclude","Include")</f>
        <v>Include</v>
      </c>
      <c r="AN195">
        <f t="shared" ref="AN195:AN258" si="81">Z195*AA195*(1-AC195)</f>
        <v>9391.8240000000005</v>
      </c>
      <c r="AO195">
        <f t="shared" ref="AO195:AO258" si="82">AN195-AF195</f>
        <v>3378.6040000000003</v>
      </c>
      <c r="AP195">
        <f>IF(AN195=0,0,AO195/AN195)</f>
        <v>0.35973885370935399</v>
      </c>
      <c r="AQ195" t="str">
        <f t="shared" ref="AQ195:AQ258" si="83">TEXT(E195,"mmmm")</f>
        <v>June</v>
      </c>
      <c r="AR195">
        <f t="shared" ref="AR195:AR258" si="84">YEAR(E195)</f>
        <v>2024</v>
      </c>
      <c r="AS195" t="str">
        <f t="shared" ref="AS195:AS258" si="85">IF(OR(AC195&lt;0,AC195&gt;1,G195&lt;E195),"Invalid",IF(OR(Q195="Unknown",Y195="Unknown"),"Warning","Clean"))</f>
        <v>Clean</v>
      </c>
      <c r="AT195" t="str">
        <f>IF(OR(AC195&lt;0,AC195&gt;0.5),"Invalid Discount","Valid")</f>
        <v>Valid</v>
      </c>
      <c r="AU195" t="str">
        <f>IF(G195&lt;E195,"Invalid Shipping Record","Valid")</f>
        <v>Valid</v>
      </c>
      <c r="AV195" t="str">
        <f>IF(OR(AL195="Cancelled",AH195="Failed"),"Exclude","Include")</f>
        <v>Include</v>
      </c>
      <c r="AW195" t="str">
        <f t="shared" ref="AW195:AW258" si="86">IF(ROUND(AE195,2)=ROUND(AN195,2),"Match","Mismatch")</f>
        <v>Match</v>
      </c>
      <c r="AX195" t="str">
        <f t="shared" ref="AX195:AX258" si="87">IF(ROUND(AG195,2)=ROUND(AO195,2),"Match","Mismatch")</f>
        <v>Match</v>
      </c>
    </row>
    <row r="196" spans="1:50">
      <c r="A196" t="s">
        <v>1045</v>
      </c>
      <c r="B196">
        <f t="shared" si="66"/>
        <v>1</v>
      </c>
      <c r="C196" t="str">
        <f t="shared" si="76"/>
        <v/>
      </c>
      <c r="D196" s="3" t="s">
        <v>1046</v>
      </c>
      <c r="E196" s="7">
        <v>45685</v>
      </c>
      <c r="F196" s="3" t="s">
        <v>1047</v>
      </c>
      <c r="G196" s="7">
        <v>45688</v>
      </c>
      <c r="H196" s="7" t="str">
        <f t="shared" si="67"/>
        <v>Valid</v>
      </c>
      <c r="I196" s="9">
        <f t="shared" si="68"/>
        <v>3</v>
      </c>
      <c r="J196" s="9" t="str">
        <f t="shared" si="69"/>
        <v>Valid</v>
      </c>
      <c r="K196" t="s">
        <v>1048</v>
      </c>
      <c r="L196" t="s">
        <v>141</v>
      </c>
      <c r="M196" t="s">
        <v>141</v>
      </c>
      <c r="N196" t="s">
        <v>25</v>
      </c>
      <c r="O196" s="3" t="str">
        <f t="shared" si="70"/>
        <v>Consumer</v>
      </c>
      <c r="P196" t="s">
        <v>1049</v>
      </c>
      <c r="Q196" s="3" t="str">
        <f t="shared" si="71"/>
        <v>West</v>
      </c>
      <c r="R196" t="s">
        <v>73</v>
      </c>
      <c r="S196" t="s">
        <v>74</v>
      </c>
      <c r="T196" t="s">
        <v>44</v>
      </c>
      <c r="U196" s="3" t="str">
        <f t="shared" si="72"/>
        <v>Furniture</v>
      </c>
      <c r="V196" t="s">
        <v>64</v>
      </c>
      <c r="W196" t="s">
        <v>1050</v>
      </c>
      <c r="X196" t="s">
        <v>55</v>
      </c>
      <c r="Y196" s="3" t="str">
        <f t="shared" si="73"/>
        <v>First Class</v>
      </c>
      <c r="Z196">
        <v>9</v>
      </c>
      <c r="AA196">
        <v>858.39</v>
      </c>
      <c r="AB196">
        <v>0.05</v>
      </c>
      <c r="AC196">
        <f t="shared" si="74"/>
        <v>0.05</v>
      </c>
      <c r="AD196" t="str">
        <f t="shared" si="77"/>
        <v>Valid</v>
      </c>
      <c r="AE196">
        <v>7339.23</v>
      </c>
      <c r="AF196">
        <v>5434.12</v>
      </c>
      <c r="AG196">
        <v>1905.11</v>
      </c>
      <c r="AH196" t="s">
        <v>136</v>
      </c>
      <c r="AI196" t="str">
        <f t="shared" si="78"/>
        <v>Include</v>
      </c>
      <c r="AJ196" t="str">
        <f t="shared" si="79"/>
        <v/>
      </c>
      <c r="AK196" t="s">
        <v>124</v>
      </c>
      <c r="AL196" t="str">
        <f t="shared" si="75"/>
        <v>Returned</v>
      </c>
      <c r="AM196" t="str">
        <f t="shared" si="80"/>
        <v>Include</v>
      </c>
      <c r="AN196">
        <f t="shared" si="81"/>
        <v>7339.2344999999996</v>
      </c>
      <c r="AO196">
        <f t="shared" si="82"/>
        <v>1905.1144999999997</v>
      </c>
      <c r="AP196">
        <f>IF(AN196=0,0,AO196/AN196)</f>
        <v>0.25957945614082772</v>
      </c>
      <c r="AQ196" t="str">
        <f t="shared" si="83"/>
        <v>January</v>
      </c>
      <c r="AR196">
        <f t="shared" si="84"/>
        <v>2025</v>
      </c>
      <c r="AS196" t="str">
        <f t="shared" si="85"/>
        <v>Clean</v>
      </c>
      <c r="AT196" t="str">
        <f>IF(OR(AC196&lt;0,AC196&gt;0.5),"Invalid Discount","Valid")</f>
        <v>Valid</v>
      </c>
      <c r="AU196" t="str">
        <f>IF(G196&lt;E196,"Invalid Shipping Record","Valid")</f>
        <v>Valid</v>
      </c>
      <c r="AV196" t="str">
        <f>IF(OR(AL196="Cancelled",AH196="Failed"),"Exclude","Include")</f>
        <v>Include</v>
      </c>
      <c r="AW196" t="str">
        <f t="shared" si="86"/>
        <v>Match</v>
      </c>
      <c r="AX196" t="str">
        <f t="shared" si="87"/>
        <v>Match</v>
      </c>
    </row>
    <row r="197" spans="1:50">
      <c r="A197" t="s">
        <v>1051</v>
      </c>
      <c r="B197">
        <f t="shared" si="66"/>
        <v>1</v>
      </c>
      <c r="C197" t="str">
        <f t="shared" si="76"/>
        <v/>
      </c>
      <c r="D197" s="3" t="s">
        <v>1052</v>
      </c>
      <c r="E197" s="7">
        <v>45860</v>
      </c>
      <c r="F197" s="3" t="s">
        <v>1053</v>
      </c>
      <c r="G197" s="7">
        <v>45862</v>
      </c>
      <c r="H197" s="7" t="str">
        <f t="shared" si="67"/>
        <v>Valid</v>
      </c>
      <c r="I197" s="9">
        <f t="shared" si="68"/>
        <v>2</v>
      </c>
      <c r="J197" s="9" t="str">
        <f t="shared" si="69"/>
        <v>Valid</v>
      </c>
      <c r="K197" t="s">
        <v>1054</v>
      </c>
      <c r="L197" t="s">
        <v>92</v>
      </c>
      <c r="M197" t="s">
        <v>92</v>
      </c>
      <c r="N197" t="s">
        <v>114</v>
      </c>
      <c r="O197" s="3" t="str">
        <f t="shared" si="70"/>
        <v>Home Office</v>
      </c>
      <c r="P197" t="s">
        <v>61</v>
      </c>
      <c r="Q197" s="3" t="str">
        <f t="shared" si="71"/>
        <v>South</v>
      </c>
      <c r="R197" t="s">
        <v>99</v>
      </c>
      <c r="S197" t="s">
        <v>100</v>
      </c>
      <c r="T197" t="s">
        <v>44</v>
      </c>
      <c r="U197" s="3" t="str">
        <f t="shared" si="72"/>
        <v>Furniture</v>
      </c>
      <c r="V197" t="s">
        <v>64</v>
      </c>
      <c r="W197" t="s">
        <v>1055</v>
      </c>
      <c r="X197" t="s">
        <v>47</v>
      </c>
      <c r="Y197" s="3" t="str">
        <f t="shared" si="73"/>
        <v>Same Day</v>
      </c>
      <c r="Z197">
        <v>5</v>
      </c>
      <c r="AA197">
        <v>1922.83</v>
      </c>
      <c r="AB197">
        <v>0</v>
      </c>
      <c r="AC197">
        <f t="shared" si="74"/>
        <v>0</v>
      </c>
      <c r="AD197" t="str">
        <f t="shared" si="77"/>
        <v>Valid</v>
      </c>
      <c r="AE197">
        <v>9614.15</v>
      </c>
      <c r="AF197">
        <v>7576.84</v>
      </c>
      <c r="AG197">
        <v>2037.31</v>
      </c>
      <c r="AH197" t="s">
        <v>33</v>
      </c>
      <c r="AI197" t="str">
        <f t="shared" si="78"/>
        <v>Include</v>
      </c>
      <c r="AJ197" t="str">
        <f t="shared" si="79"/>
        <v/>
      </c>
      <c r="AK197" t="s">
        <v>34</v>
      </c>
      <c r="AL197" t="str">
        <f t="shared" si="75"/>
        <v>Completed</v>
      </c>
      <c r="AM197" t="str">
        <f t="shared" si="80"/>
        <v>Include</v>
      </c>
      <c r="AN197">
        <f t="shared" si="81"/>
        <v>9614.15</v>
      </c>
      <c r="AO197">
        <f t="shared" si="82"/>
        <v>2037.3099999999995</v>
      </c>
      <c r="AP197">
        <f>IF(AN197=0,0,AO197/AN197)</f>
        <v>0.21190744891644084</v>
      </c>
      <c r="AQ197" t="str">
        <f t="shared" si="83"/>
        <v>July</v>
      </c>
      <c r="AR197">
        <f t="shared" si="84"/>
        <v>2025</v>
      </c>
      <c r="AS197" t="str">
        <f t="shared" si="85"/>
        <v>Clean</v>
      </c>
      <c r="AT197" t="str">
        <f>IF(OR(AC197&lt;0,AC197&gt;0.5),"Invalid Discount","Valid")</f>
        <v>Valid</v>
      </c>
      <c r="AU197" t="str">
        <f>IF(G197&lt;E197,"Invalid Shipping Record","Valid")</f>
        <v>Valid</v>
      </c>
      <c r="AV197" t="str">
        <f>IF(OR(AL197="Cancelled",AH197="Failed"),"Exclude","Include")</f>
        <v>Include</v>
      </c>
      <c r="AW197" t="str">
        <f t="shared" si="86"/>
        <v>Match</v>
      </c>
      <c r="AX197" t="str">
        <f t="shared" si="87"/>
        <v>Match</v>
      </c>
    </row>
    <row r="198" spans="1:50">
      <c r="A198" t="s">
        <v>1056</v>
      </c>
      <c r="B198">
        <f t="shared" si="66"/>
        <v>1</v>
      </c>
      <c r="C198" t="str">
        <f t="shared" si="76"/>
        <v/>
      </c>
      <c r="D198" s="3" t="s">
        <v>1057</v>
      </c>
      <c r="E198" s="7">
        <v>45313</v>
      </c>
      <c r="F198" s="3" t="s">
        <v>1058</v>
      </c>
      <c r="G198" s="7">
        <v>45316</v>
      </c>
      <c r="H198" s="7" t="str">
        <f t="shared" si="67"/>
        <v>Valid</v>
      </c>
      <c r="I198" s="9">
        <f t="shared" si="68"/>
        <v>3</v>
      </c>
      <c r="J198" s="9" t="str">
        <f t="shared" si="69"/>
        <v>Valid</v>
      </c>
      <c r="K198" t="s">
        <v>1059</v>
      </c>
      <c r="L198" t="s">
        <v>365</v>
      </c>
      <c r="M198" t="s">
        <v>365</v>
      </c>
      <c r="N198" t="s">
        <v>114</v>
      </c>
      <c r="O198" s="3" t="str">
        <f t="shared" si="70"/>
        <v>Home Office</v>
      </c>
      <c r="P198" t="s">
        <v>26</v>
      </c>
      <c r="Q198" s="3" t="str">
        <f t="shared" si="71"/>
        <v>North</v>
      </c>
      <c r="R198" t="s">
        <v>173</v>
      </c>
      <c r="S198" t="s">
        <v>174</v>
      </c>
      <c r="T198" t="s">
        <v>29</v>
      </c>
      <c r="U198" s="3" t="str">
        <f t="shared" si="72"/>
        <v>Office Supplies</v>
      </c>
      <c r="V198" t="s">
        <v>155</v>
      </c>
      <c r="W198" t="s">
        <v>1060</v>
      </c>
      <c r="X198" t="s">
        <v>55</v>
      </c>
      <c r="Y198" s="3" t="str">
        <f t="shared" si="73"/>
        <v>First Class</v>
      </c>
      <c r="Z198">
        <v>3</v>
      </c>
      <c r="AA198">
        <v>1212.03</v>
      </c>
      <c r="AB198">
        <v>0.1</v>
      </c>
      <c r="AC198">
        <f t="shared" si="74"/>
        <v>0.1</v>
      </c>
      <c r="AD198" t="str">
        <f t="shared" si="77"/>
        <v>Valid</v>
      </c>
      <c r="AE198">
        <v>3272.48</v>
      </c>
      <c r="AF198">
        <v>2517.44</v>
      </c>
      <c r="AG198">
        <v>755.04</v>
      </c>
      <c r="AH198" t="s">
        <v>33</v>
      </c>
      <c r="AI198" t="str">
        <f t="shared" si="78"/>
        <v>Include</v>
      </c>
      <c r="AJ198" t="str">
        <f t="shared" si="79"/>
        <v/>
      </c>
      <c r="AK198" t="s">
        <v>34</v>
      </c>
      <c r="AL198" t="str">
        <f t="shared" si="75"/>
        <v>Completed</v>
      </c>
      <c r="AM198" t="str">
        <f t="shared" si="80"/>
        <v>Include</v>
      </c>
      <c r="AN198">
        <f t="shared" si="81"/>
        <v>3272.4810000000002</v>
      </c>
      <c r="AO198">
        <f t="shared" si="82"/>
        <v>755.04100000000017</v>
      </c>
      <c r="AP198">
        <f>IF(AN198=0,0,AO198/AN198)</f>
        <v>0.23072433422837293</v>
      </c>
      <c r="AQ198" t="str">
        <f t="shared" si="83"/>
        <v>January</v>
      </c>
      <c r="AR198">
        <f t="shared" si="84"/>
        <v>2024</v>
      </c>
      <c r="AS198" t="str">
        <f t="shared" si="85"/>
        <v>Clean</v>
      </c>
      <c r="AT198" t="str">
        <f>IF(OR(AC198&lt;0,AC198&gt;0.5),"Invalid Discount","Valid")</f>
        <v>Valid</v>
      </c>
      <c r="AU198" t="str">
        <f>IF(G198&lt;E198,"Invalid Shipping Record","Valid")</f>
        <v>Valid</v>
      </c>
      <c r="AV198" t="str">
        <f>IF(OR(AL198="Cancelled",AH198="Failed"),"Exclude","Include")</f>
        <v>Include</v>
      </c>
      <c r="AW198" t="str">
        <f t="shared" si="86"/>
        <v>Match</v>
      </c>
      <c r="AX198" t="str">
        <f t="shared" si="87"/>
        <v>Match</v>
      </c>
    </row>
    <row r="199" spans="1:50">
      <c r="A199" t="s">
        <v>1061</v>
      </c>
      <c r="B199">
        <f t="shared" si="66"/>
        <v>1</v>
      </c>
      <c r="C199" t="str">
        <f t="shared" si="76"/>
        <v/>
      </c>
      <c r="D199" s="3" t="s">
        <v>368</v>
      </c>
      <c r="E199" s="7">
        <v>45747</v>
      </c>
      <c r="F199" s="3" t="s">
        <v>1062</v>
      </c>
      <c r="G199" s="7">
        <v>45754</v>
      </c>
      <c r="H199" s="7" t="str">
        <f t="shared" si="67"/>
        <v>Valid</v>
      </c>
      <c r="I199" s="9">
        <f t="shared" si="68"/>
        <v>7</v>
      </c>
      <c r="J199" s="9" t="str">
        <f t="shared" si="69"/>
        <v>Valid</v>
      </c>
      <c r="K199" t="s">
        <v>563</v>
      </c>
      <c r="L199" t="s">
        <v>147</v>
      </c>
      <c r="M199" t="s">
        <v>147</v>
      </c>
      <c r="N199" t="s">
        <v>700</v>
      </c>
      <c r="O199" s="3" t="str">
        <f t="shared" si="70"/>
        <v>Small Business</v>
      </c>
      <c r="P199" t="s">
        <v>41</v>
      </c>
      <c r="Q199" s="3" t="str">
        <f t="shared" si="71"/>
        <v>East</v>
      </c>
      <c r="R199" t="s">
        <v>185</v>
      </c>
      <c r="S199" t="s">
        <v>186</v>
      </c>
      <c r="T199" t="s">
        <v>29</v>
      </c>
      <c r="U199" s="3" t="str">
        <f t="shared" si="72"/>
        <v>Office Supplies</v>
      </c>
      <c r="V199" t="s">
        <v>155</v>
      </c>
      <c r="W199" t="s">
        <v>1063</v>
      </c>
      <c r="X199" t="s">
        <v>32</v>
      </c>
      <c r="Y199" s="3" t="str">
        <f t="shared" si="73"/>
        <v>Second Class</v>
      </c>
      <c r="Z199">
        <v>5</v>
      </c>
      <c r="AA199">
        <v>4096.4399999999996</v>
      </c>
      <c r="AB199">
        <v>0.15</v>
      </c>
      <c r="AC199">
        <f t="shared" si="74"/>
        <v>0.15</v>
      </c>
      <c r="AD199" t="str">
        <f t="shared" si="77"/>
        <v>Valid</v>
      </c>
      <c r="AE199">
        <v>17409.87</v>
      </c>
      <c r="AF199">
        <v>14076.25</v>
      </c>
      <c r="AG199">
        <v>3333.62</v>
      </c>
      <c r="AH199" t="s">
        <v>33</v>
      </c>
      <c r="AI199" t="str">
        <f t="shared" si="78"/>
        <v>Include</v>
      </c>
      <c r="AJ199" t="str">
        <f t="shared" si="79"/>
        <v/>
      </c>
      <c r="AK199" t="s">
        <v>34</v>
      </c>
      <c r="AL199" t="str">
        <f t="shared" si="75"/>
        <v>Completed</v>
      </c>
      <c r="AM199" t="str">
        <f t="shared" si="80"/>
        <v>Include</v>
      </c>
      <c r="AN199">
        <f t="shared" si="81"/>
        <v>17409.869999999995</v>
      </c>
      <c r="AO199">
        <f t="shared" si="82"/>
        <v>3333.6199999999953</v>
      </c>
      <c r="AP199">
        <f>IF(AN199=0,0,AO199/AN199)</f>
        <v>0.19147874165631312</v>
      </c>
      <c r="AQ199" t="str">
        <f t="shared" si="83"/>
        <v>March</v>
      </c>
      <c r="AR199">
        <f t="shared" si="84"/>
        <v>2025</v>
      </c>
      <c r="AS199" t="str">
        <f t="shared" si="85"/>
        <v>Clean</v>
      </c>
      <c r="AT199" t="str">
        <f>IF(OR(AC199&lt;0,AC199&gt;0.5),"Invalid Discount","Valid")</f>
        <v>Valid</v>
      </c>
      <c r="AU199" t="str">
        <f>IF(G199&lt;E199,"Invalid Shipping Record","Valid")</f>
        <v>Valid</v>
      </c>
      <c r="AV199" t="str">
        <f>IF(OR(AL199="Cancelled",AH199="Failed"),"Exclude","Include")</f>
        <v>Include</v>
      </c>
      <c r="AW199" t="str">
        <f t="shared" si="86"/>
        <v>Match</v>
      </c>
      <c r="AX199" t="str">
        <f t="shared" si="87"/>
        <v>Match</v>
      </c>
    </row>
    <row r="200" spans="1:50">
      <c r="A200" t="s">
        <v>1064</v>
      </c>
      <c r="B200">
        <f t="shared" si="66"/>
        <v>1</v>
      </c>
      <c r="C200" t="str">
        <f t="shared" si="76"/>
        <v/>
      </c>
      <c r="D200" s="3" t="s">
        <v>1065</v>
      </c>
      <c r="E200" s="7">
        <v>45448</v>
      </c>
      <c r="F200" s="3" t="s">
        <v>1066</v>
      </c>
      <c r="G200" s="7">
        <v>45449</v>
      </c>
      <c r="H200" s="7" t="str">
        <f t="shared" si="67"/>
        <v>Valid</v>
      </c>
      <c r="I200" s="9">
        <f t="shared" si="68"/>
        <v>1</v>
      </c>
      <c r="J200" s="9" t="str">
        <f t="shared" si="69"/>
        <v>Valid</v>
      </c>
      <c r="K200" t="s">
        <v>1067</v>
      </c>
      <c r="L200" t="s">
        <v>167</v>
      </c>
      <c r="M200" t="s">
        <v>167</v>
      </c>
      <c r="N200" t="s">
        <v>25</v>
      </c>
      <c r="O200" s="3" t="str">
        <f t="shared" si="70"/>
        <v>Consumer</v>
      </c>
      <c r="P200" t="s">
        <v>72</v>
      </c>
      <c r="Q200" s="3" t="str">
        <f t="shared" si="71"/>
        <v>West</v>
      </c>
      <c r="R200" t="s">
        <v>234</v>
      </c>
      <c r="S200" t="s">
        <v>235</v>
      </c>
      <c r="T200" t="s">
        <v>29</v>
      </c>
      <c r="U200" s="3" t="str">
        <f t="shared" si="72"/>
        <v>Office Supplies</v>
      </c>
      <c r="V200" t="s">
        <v>53</v>
      </c>
      <c r="W200" t="s">
        <v>1068</v>
      </c>
      <c r="X200" t="s">
        <v>32</v>
      </c>
      <c r="Y200" s="3" t="str">
        <f t="shared" si="73"/>
        <v>Second Class</v>
      </c>
      <c r="Z200">
        <v>1</v>
      </c>
      <c r="AA200">
        <v>1184.58</v>
      </c>
      <c r="AB200">
        <v>0.05</v>
      </c>
      <c r="AC200">
        <f t="shared" si="74"/>
        <v>0.05</v>
      </c>
      <c r="AD200" t="str">
        <f t="shared" si="77"/>
        <v>Valid</v>
      </c>
      <c r="AE200">
        <v>1125.3499999999999</v>
      </c>
      <c r="AF200">
        <v>676.97</v>
      </c>
      <c r="AG200">
        <v>448.38</v>
      </c>
      <c r="AH200" t="s">
        <v>199</v>
      </c>
      <c r="AI200" t="str">
        <f t="shared" si="78"/>
        <v>Exclude</v>
      </c>
      <c r="AJ200" t="str">
        <f t="shared" si="79"/>
        <v/>
      </c>
      <c r="AK200" t="s">
        <v>77</v>
      </c>
      <c r="AL200" t="str">
        <f t="shared" si="75"/>
        <v>Cancelled</v>
      </c>
      <c r="AM200" t="str">
        <f t="shared" si="80"/>
        <v>Exclude</v>
      </c>
      <c r="AN200">
        <f t="shared" si="81"/>
        <v>1125.3509999999999</v>
      </c>
      <c r="AO200">
        <f t="shared" si="82"/>
        <v>448.38099999999986</v>
      </c>
      <c r="AP200">
        <f>IF(AN200=0,0,AO200/AN200)</f>
        <v>0.39843657667696558</v>
      </c>
      <c r="AQ200" t="str">
        <f t="shared" si="83"/>
        <v>June</v>
      </c>
      <c r="AR200">
        <f t="shared" si="84"/>
        <v>2024</v>
      </c>
      <c r="AS200" t="str">
        <f t="shared" si="85"/>
        <v>Clean</v>
      </c>
      <c r="AT200" t="str">
        <f>IF(OR(AC200&lt;0,AC200&gt;0.5),"Invalid Discount","Valid")</f>
        <v>Valid</v>
      </c>
      <c r="AU200" t="str">
        <f>IF(G200&lt;E200,"Invalid Shipping Record","Valid")</f>
        <v>Valid</v>
      </c>
      <c r="AV200" t="str">
        <f>IF(OR(AL200="Cancelled",AH200="Failed"),"Exclude","Include")</f>
        <v>Exclude</v>
      </c>
      <c r="AW200" t="str">
        <f t="shared" si="86"/>
        <v>Match</v>
      </c>
      <c r="AX200" t="str">
        <f t="shared" si="87"/>
        <v>Match</v>
      </c>
    </row>
    <row r="201" spans="1:50">
      <c r="A201" t="s">
        <v>1069</v>
      </c>
      <c r="B201">
        <f t="shared" si="66"/>
        <v>1</v>
      </c>
      <c r="C201" t="str">
        <f t="shared" si="76"/>
        <v/>
      </c>
      <c r="D201" s="3" t="s">
        <v>302</v>
      </c>
      <c r="E201" s="7">
        <v>45363</v>
      </c>
      <c r="F201" s="3" t="s">
        <v>1070</v>
      </c>
      <c r="G201" s="7">
        <v>45363</v>
      </c>
      <c r="H201" s="7" t="str">
        <f t="shared" si="67"/>
        <v>Valid</v>
      </c>
      <c r="I201" s="9">
        <f t="shared" si="68"/>
        <v>0</v>
      </c>
      <c r="J201" s="9" t="str">
        <f t="shared" si="69"/>
        <v>Valid</v>
      </c>
      <c r="K201" t="s">
        <v>1071</v>
      </c>
      <c r="L201" t="s">
        <v>147</v>
      </c>
      <c r="M201" t="s">
        <v>147</v>
      </c>
      <c r="N201" t="s">
        <v>114</v>
      </c>
      <c r="O201" s="3" t="str">
        <f t="shared" si="70"/>
        <v>Home Office</v>
      </c>
      <c r="P201" t="s">
        <v>41</v>
      </c>
      <c r="Q201" s="3" t="str">
        <f t="shared" si="71"/>
        <v>East</v>
      </c>
      <c r="R201" t="s">
        <v>185</v>
      </c>
      <c r="S201" t="s">
        <v>186</v>
      </c>
      <c r="T201" t="s">
        <v>85</v>
      </c>
      <c r="U201" s="3" t="str">
        <f t="shared" si="72"/>
        <v>Technology</v>
      </c>
      <c r="V201" t="s">
        <v>381</v>
      </c>
      <c r="W201" t="s">
        <v>1072</v>
      </c>
      <c r="Y201" s="3" t="str">
        <f t="shared" si="73"/>
        <v>Unknown</v>
      </c>
      <c r="Z201">
        <v>6</v>
      </c>
      <c r="AA201">
        <v>2185.58</v>
      </c>
      <c r="AB201">
        <v>0.25</v>
      </c>
      <c r="AC201">
        <f t="shared" si="74"/>
        <v>0.25</v>
      </c>
      <c r="AD201" t="str">
        <f t="shared" si="77"/>
        <v>Valid</v>
      </c>
      <c r="AE201">
        <v>9835.11</v>
      </c>
      <c r="AF201">
        <v>5437.64</v>
      </c>
      <c r="AG201">
        <v>4397.47</v>
      </c>
      <c r="AH201" t="s">
        <v>33</v>
      </c>
      <c r="AI201" t="str">
        <f t="shared" si="78"/>
        <v>Include</v>
      </c>
      <c r="AJ201" t="str">
        <f t="shared" si="79"/>
        <v/>
      </c>
      <c r="AK201" t="s">
        <v>34</v>
      </c>
      <c r="AL201" t="str">
        <f t="shared" si="75"/>
        <v>Completed</v>
      </c>
      <c r="AM201" t="str">
        <f t="shared" si="80"/>
        <v>Include</v>
      </c>
      <c r="AN201">
        <f t="shared" si="81"/>
        <v>9835.11</v>
      </c>
      <c r="AO201">
        <f t="shared" si="82"/>
        <v>4397.47</v>
      </c>
      <c r="AP201">
        <f>IF(AN201=0,0,AO201/AN201)</f>
        <v>0.44711955433136996</v>
      </c>
      <c r="AQ201" t="str">
        <f t="shared" si="83"/>
        <v>March</v>
      </c>
      <c r="AR201">
        <f t="shared" si="84"/>
        <v>2024</v>
      </c>
      <c r="AS201" t="str">
        <f t="shared" si="85"/>
        <v>Warning</v>
      </c>
      <c r="AT201" t="str">
        <f>IF(OR(AC201&lt;0,AC201&gt;0.5),"Invalid Discount","Valid")</f>
        <v>Valid</v>
      </c>
      <c r="AU201" t="str">
        <f>IF(G201&lt;E201,"Invalid Shipping Record","Valid")</f>
        <v>Valid</v>
      </c>
      <c r="AV201" t="str">
        <f>IF(OR(AL201="Cancelled",AH201="Failed"),"Exclude","Include")</f>
        <v>Include</v>
      </c>
      <c r="AW201" t="str">
        <f t="shared" si="86"/>
        <v>Match</v>
      </c>
      <c r="AX201" t="str">
        <f t="shared" si="87"/>
        <v>Match</v>
      </c>
    </row>
    <row r="202" spans="1:50">
      <c r="A202" t="s">
        <v>1073</v>
      </c>
      <c r="B202">
        <f t="shared" si="66"/>
        <v>1</v>
      </c>
      <c r="C202" t="str">
        <f t="shared" si="76"/>
        <v/>
      </c>
      <c r="D202" s="3" t="s">
        <v>996</v>
      </c>
      <c r="E202" s="7">
        <v>45835</v>
      </c>
      <c r="F202" s="3" t="s">
        <v>1074</v>
      </c>
      <c r="G202" s="7">
        <v>45843</v>
      </c>
      <c r="H202" s="7" t="str">
        <f t="shared" si="67"/>
        <v>Valid</v>
      </c>
      <c r="I202" s="9">
        <f t="shared" si="68"/>
        <v>8</v>
      </c>
      <c r="J202" s="9" t="str">
        <f t="shared" si="69"/>
        <v>Valid</v>
      </c>
      <c r="K202" t="s">
        <v>1075</v>
      </c>
      <c r="L202" t="s">
        <v>141</v>
      </c>
      <c r="M202" t="s">
        <v>141</v>
      </c>
      <c r="N202" t="s">
        <v>40</v>
      </c>
      <c r="O202" s="3" t="str">
        <f t="shared" si="70"/>
        <v>Small Business</v>
      </c>
      <c r="P202" t="s">
        <v>26</v>
      </c>
      <c r="Q202" s="3" t="str">
        <f t="shared" si="71"/>
        <v>North</v>
      </c>
      <c r="R202" t="s">
        <v>27</v>
      </c>
      <c r="S202" t="s">
        <v>28</v>
      </c>
      <c r="T202" t="s">
        <v>85</v>
      </c>
      <c r="U202" s="3" t="str">
        <f t="shared" si="72"/>
        <v>Technology</v>
      </c>
      <c r="V202" t="s">
        <v>93</v>
      </c>
      <c r="W202" t="s">
        <v>1076</v>
      </c>
      <c r="X202" t="s">
        <v>55</v>
      </c>
      <c r="Y202" s="3" t="str">
        <f t="shared" si="73"/>
        <v>First Class</v>
      </c>
      <c r="Z202">
        <v>5</v>
      </c>
      <c r="AA202">
        <v>2868.44</v>
      </c>
      <c r="AB202">
        <v>0.1</v>
      </c>
      <c r="AC202">
        <f t="shared" si="74"/>
        <v>0.1</v>
      </c>
      <c r="AD202" t="str">
        <f t="shared" si="77"/>
        <v>Valid</v>
      </c>
      <c r="AE202">
        <v>12907.98</v>
      </c>
      <c r="AF202">
        <v>9197.08</v>
      </c>
      <c r="AG202">
        <v>3710.9</v>
      </c>
      <c r="AH202" t="s">
        <v>136</v>
      </c>
      <c r="AI202" t="str">
        <f t="shared" si="78"/>
        <v>Exclude</v>
      </c>
      <c r="AJ202" t="str">
        <f t="shared" si="79"/>
        <v/>
      </c>
      <c r="AK202" t="s">
        <v>77</v>
      </c>
      <c r="AL202" t="str">
        <f t="shared" si="75"/>
        <v>Cancelled</v>
      </c>
      <c r="AM202" t="str">
        <f t="shared" si="80"/>
        <v>Exclude</v>
      </c>
      <c r="AN202">
        <f t="shared" si="81"/>
        <v>12907.980000000001</v>
      </c>
      <c r="AO202">
        <f t="shared" si="82"/>
        <v>3710.9000000000015</v>
      </c>
      <c r="AP202">
        <f>IF(AN202=0,0,AO202/AN202)</f>
        <v>0.28748882474252369</v>
      </c>
      <c r="AQ202" t="str">
        <f t="shared" si="83"/>
        <v>June</v>
      </c>
      <c r="AR202">
        <f t="shared" si="84"/>
        <v>2025</v>
      </c>
      <c r="AS202" t="str">
        <f t="shared" si="85"/>
        <v>Clean</v>
      </c>
      <c r="AT202" t="str">
        <f>IF(OR(AC202&lt;0,AC202&gt;0.5),"Invalid Discount","Valid")</f>
        <v>Valid</v>
      </c>
      <c r="AU202" t="str">
        <f>IF(G202&lt;E202,"Invalid Shipping Record","Valid")</f>
        <v>Valid</v>
      </c>
      <c r="AV202" t="str">
        <f>IF(OR(AL202="Cancelled",AH202="Failed"),"Exclude","Include")</f>
        <v>Exclude</v>
      </c>
      <c r="AW202" t="str">
        <f t="shared" si="86"/>
        <v>Match</v>
      </c>
      <c r="AX202" t="str">
        <f t="shared" si="87"/>
        <v>Match</v>
      </c>
    </row>
    <row r="203" spans="1:50">
      <c r="A203" t="s">
        <v>1077</v>
      </c>
      <c r="B203">
        <f t="shared" si="66"/>
        <v>1</v>
      </c>
      <c r="C203" t="str">
        <f t="shared" si="76"/>
        <v/>
      </c>
      <c r="D203" s="3" t="s">
        <v>1078</v>
      </c>
      <c r="E203" s="7">
        <v>45864</v>
      </c>
      <c r="F203" s="3" t="s">
        <v>1079</v>
      </c>
      <c r="G203" s="7">
        <v>45872</v>
      </c>
      <c r="H203" s="7" t="str">
        <f t="shared" si="67"/>
        <v>Valid</v>
      </c>
      <c r="I203" s="9">
        <f t="shared" si="68"/>
        <v>8</v>
      </c>
      <c r="J203" s="9" t="str">
        <f t="shared" si="69"/>
        <v>Valid</v>
      </c>
      <c r="K203" t="s">
        <v>1080</v>
      </c>
      <c r="L203" t="s">
        <v>82</v>
      </c>
      <c r="M203" t="s">
        <v>82</v>
      </c>
      <c r="N203" t="s">
        <v>25</v>
      </c>
      <c r="O203" s="3" t="str">
        <f t="shared" si="70"/>
        <v>Consumer</v>
      </c>
      <c r="P203" t="s">
        <v>72</v>
      </c>
      <c r="Q203" s="3" t="str">
        <f t="shared" si="71"/>
        <v>West</v>
      </c>
      <c r="R203" t="s">
        <v>83</v>
      </c>
      <c r="S203" t="s">
        <v>84</v>
      </c>
      <c r="T203" t="s">
        <v>29</v>
      </c>
      <c r="U203" s="3" t="str">
        <f t="shared" si="72"/>
        <v>Office Supplies</v>
      </c>
      <c r="V203" t="s">
        <v>108</v>
      </c>
      <c r="W203" t="s">
        <v>1081</v>
      </c>
      <c r="X203" t="s">
        <v>32</v>
      </c>
      <c r="Y203" s="3" t="str">
        <f t="shared" si="73"/>
        <v>Second Class</v>
      </c>
      <c r="Z203">
        <v>2</v>
      </c>
      <c r="AA203">
        <v>2503.5300000000002</v>
      </c>
      <c r="AB203">
        <v>-0.16</v>
      </c>
      <c r="AC203">
        <f t="shared" si="74"/>
        <v>-0.16</v>
      </c>
      <c r="AD203" t="str">
        <f t="shared" si="77"/>
        <v>Invalid Discount</v>
      </c>
      <c r="AE203">
        <v>4756.71</v>
      </c>
      <c r="AF203">
        <v>2954.86</v>
      </c>
      <c r="AG203">
        <v>1801.85</v>
      </c>
      <c r="AH203" t="s">
        <v>123</v>
      </c>
      <c r="AI203" t="str">
        <f t="shared" si="78"/>
        <v>Exclude</v>
      </c>
      <c r="AJ203" t="str">
        <f t="shared" si="79"/>
        <v>Refunded Order</v>
      </c>
      <c r="AK203" t="s">
        <v>77</v>
      </c>
      <c r="AL203" t="str">
        <f t="shared" si="75"/>
        <v>Cancelled</v>
      </c>
      <c r="AM203" t="str">
        <f t="shared" si="80"/>
        <v>Exclude</v>
      </c>
      <c r="AN203">
        <f t="shared" si="81"/>
        <v>5808.1895999999997</v>
      </c>
      <c r="AO203">
        <f t="shared" si="82"/>
        <v>2853.3295999999996</v>
      </c>
      <c r="AP203">
        <f>IF(AN203=0,0,AO203/AN203)</f>
        <v>0.49125972058487893</v>
      </c>
      <c r="AQ203" t="str">
        <f t="shared" si="83"/>
        <v>July</v>
      </c>
      <c r="AR203">
        <f t="shared" si="84"/>
        <v>2025</v>
      </c>
      <c r="AS203" t="str">
        <f t="shared" si="85"/>
        <v>Invalid</v>
      </c>
      <c r="AT203" t="str">
        <f>IF(OR(AC203&lt;0,AC203&gt;0.5),"Invalid Discount","Valid")</f>
        <v>Invalid Discount</v>
      </c>
      <c r="AU203" t="str">
        <f>IF(G203&lt;E203,"Invalid Shipping Record","Valid")</f>
        <v>Valid</v>
      </c>
      <c r="AV203" t="str">
        <f>IF(OR(AL203="Cancelled",AH203="Failed"),"Exclude","Include")</f>
        <v>Exclude</v>
      </c>
      <c r="AW203" t="str">
        <f t="shared" si="86"/>
        <v>Mismatch</v>
      </c>
      <c r="AX203" t="str">
        <f t="shared" si="87"/>
        <v>Mismatch</v>
      </c>
    </row>
    <row r="204" spans="1:50">
      <c r="A204" t="s">
        <v>1082</v>
      </c>
      <c r="B204">
        <f t="shared" si="66"/>
        <v>1</v>
      </c>
      <c r="C204" t="str">
        <f t="shared" si="76"/>
        <v/>
      </c>
      <c r="D204" s="3" t="s">
        <v>1083</v>
      </c>
      <c r="E204" s="7">
        <v>45744</v>
      </c>
      <c r="F204" s="3" t="s">
        <v>1084</v>
      </c>
      <c r="G204" s="7">
        <v>45744</v>
      </c>
      <c r="H204" s="7" t="str">
        <f t="shared" si="67"/>
        <v>Valid</v>
      </c>
      <c r="I204" s="9">
        <f t="shared" si="68"/>
        <v>0</v>
      </c>
      <c r="J204" s="9" t="str">
        <f t="shared" si="69"/>
        <v>Valid</v>
      </c>
      <c r="K204" t="s">
        <v>1085</v>
      </c>
      <c r="L204" t="s">
        <v>167</v>
      </c>
      <c r="M204" t="s">
        <v>167</v>
      </c>
      <c r="N204" t="s">
        <v>107</v>
      </c>
      <c r="O204" s="3" t="str">
        <f t="shared" si="70"/>
        <v>Corporate</v>
      </c>
      <c r="P204" t="s">
        <v>72</v>
      </c>
      <c r="Q204" s="3" t="str">
        <f t="shared" si="71"/>
        <v>West</v>
      </c>
      <c r="R204" t="s">
        <v>248</v>
      </c>
      <c r="S204" t="s">
        <v>249</v>
      </c>
      <c r="T204" t="s">
        <v>85</v>
      </c>
      <c r="U204" s="3" t="str">
        <f t="shared" si="72"/>
        <v>Technology</v>
      </c>
      <c r="V204" t="s">
        <v>86</v>
      </c>
      <c r="W204" t="s">
        <v>1086</v>
      </c>
      <c r="X204" t="s">
        <v>66</v>
      </c>
      <c r="Y204" s="3" t="str">
        <f t="shared" si="73"/>
        <v>Standard Class</v>
      </c>
      <c r="Z204">
        <v>8</v>
      </c>
      <c r="AA204">
        <v>1740.94</v>
      </c>
      <c r="AB204">
        <v>0.05</v>
      </c>
      <c r="AC204">
        <f t="shared" si="74"/>
        <v>0.05</v>
      </c>
      <c r="AD204" t="str">
        <f t="shared" si="77"/>
        <v>Valid</v>
      </c>
      <c r="AE204">
        <v>13231.14</v>
      </c>
      <c r="AF204">
        <v>11290.06</v>
      </c>
      <c r="AG204">
        <v>1941.08</v>
      </c>
      <c r="AH204" t="s">
        <v>33</v>
      </c>
      <c r="AI204" t="str">
        <f t="shared" si="78"/>
        <v>Include</v>
      </c>
      <c r="AJ204" t="str">
        <f t="shared" si="79"/>
        <v/>
      </c>
      <c r="AK204" t="s">
        <v>34</v>
      </c>
      <c r="AL204" t="str">
        <f t="shared" si="75"/>
        <v>Completed</v>
      </c>
      <c r="AM204" t="str">
        <f t="shared" si="80"/>
        <v>Include</v>
      </c>
      <c r="AN204">
        <f t="shared" si="81"/>
        <v>13231.144</v>
      </c>
      <c r="AO204">
        <f t="shared" si="82"/>
        <v>1941.0840000000007</v>
      </c>
      <c r="AP204">
        <f>IF(AN204=0,0,AO204/AN204)</f>
        <v>0.14670568168557463</v>
      </c>
      <c r="AQ204" t="str">
        <f t="shared" si="83"/>
        <v>March</v>
      </c>
      <c r="AR204">
        <f t="shared" si="84"/>
        <v>2025</v>
      </c>
      <c r="AS204" t="str">
        <f t="shared" si="85"/>
        <v>Clean</v>
      </c>
      <c r="AT204" t="str">
        <f>IF(OR(AC204&lt;0,AC204&gt;0.5),"Invalid Discount","Valid")</f>
        <v>Valid</v>
      </c>
      <c r="AU204" t="str">
        <f>IF(G204&lt;E204,"Invalid Shipping Record","Valid")</f>
        <v>Valid</v>
      </c>
      <c r="AV204" t="str">
        <f>IF(OR(AL204="Cancelled",AH204="Failed"),"Exclude","Include")</f>
        <v>Include</v>
      </c>
      <c r="AW204" t="str">
        <f t="shared" si="86"/>
        <v>Match</v>
      </c>
      <c r="AX204" t="str">
        <f t="shared" si="87"/>
        <v>Match</v>
      </c>
    </row>
    <row r="205" spans="1:50">
      <c r="A205" t="s">
        <v>1087</v>
      </c>
      <c r="B205">
        <f t="shared" si="66"/>
        <v>1</v>
      </c>
      <c r="C205" t="str">
        <f t="shared" si="76"/>
        <v/>
      </c>
      <c r="D205" s="3" t="s">
        <v>1088</v>
      </c>
      <c r="E205" s="7">
        <v>45379</v>
      </c>
      <c r="F205" s="3" t="s">
        <v>1089</v>
      </c>
      <c r="G205" s="7">
        <v>45381</v>
      </c>
      <c r="H205" s="7" t="str">
        <f t="shared" si="67"/>
        <v>Valid</v>
      </c>
      <c r="I205" s="9">
        <f t="shared" si="68"/>
        <v>2</v>
      </c>
      <c r="J205" s="9" t="str">
        <f t="shared" si="69"/>
        <v>Valid</v>
      </c>
      <c r="K205" t="s">
        <v>1090</v>
      </c>
      <c r="L205" t="s">
        <v>167</v>
      </c>
      <c r="M205" t="s">
        <v>167</v>
      </c>
      <c r="N205" t="s">
        <v>107</v>
      </c>
      <c r="O205" s="3" t="str">
        <f t="shared" si="70"/>
        <v>Corporate</v>
      </c>
      <c r="P205" t="s">
        <v>72</v>
      </c>
      <c r="Q205" s="3" t="str">
        <f t="shared" si="71"/>
        <v>West</v>
      </c>
      <c r="R205" t="s">
        <v>27</v>
      </c>
      <c r="S205" t="s">
        <v>134</v>
      </c>
      <c r="T205" t="s">
        <v>85</v>
      </c>
      <c r="U205" s="3" t="str">
        <f t="shared" si="72"/>
        <v>Technology</v>
      </c>
      <c r="V205" t="s">
        <v>86</v>
      </c>
      <c r="W205" t="s">
        <v>1091</v>
      </c>
      <c r="X205" t="s">
        <v>32</v>
      </c>
      <c r="Y205" s="3" t="str">
        <f t="shared" si="73"/>
        <v>Second Class</v>
      </c>
      <c r="Z205">
        <v>1</v>
      </c>
      <c r="AA205">
        <v>570.34</v>
      </c>
      <c r="AB205">
        <v>0.15</v>
      </c>
      <c r="AC205">
        <f t="shared" si="74"/>
        <v>0.15</v>
      </c>
      <c r="AD205" t="str">
        <f t="shared" si="77"/>
        <v>Valid</v>
      </c>
      <c r="AE205">
        <v>484.79</v>
      </c>
      <c r="AF205">
        <v>333.54</v>
      </c>
      <c r="AG205">
        <v>151.25</v>
      </c>
      <c r="AH205" t="s">
        <v>33</v>
      </c>
      <c r="AI205" t="str">
        <f t="shared" si="78"/>
        <v>Include</v>
      </c>
      <c r="AJ205" t="str">
        <f t="shared" si="79"/>
        <v/>
      </c>
      <c r="AK205" t="s">
        <v>34</v>
      </c>
      <c r="AL205" t="str">
        <f t="shared" si="75"/>
        <v>Completed</v>
      </c>
      <c r="AM205" t="str">
        <f t="shared" si="80"/>
        <v>Include</v>
      </c>
      <c r="AN205">
        <f t="shared" si="81"/>
        <v>484.78899999999999</v>
      </c>
      <c r="AO205">
        <f t="shared" si="82"/>
        <v>151.24899999999997</v>
      </c>
      <c r="AP205">
        <f>IF(AN205=0,0,AO205/AN205)</f>
        <v>0.3119893396921134</v>
      </c>
      <c r="AQ205" t="str">
        <f t="shared" si="83"/>
        <v>March</v>
      </c>
      <c r="AR205">
        <f t="shared" si="84"/>
        <v>2024</v>
      </c>
      <c r="AS205" t="str">
        <f t="shared" si="85"/>
        <v>Clean</v>
      </c>
      <c r="AT205" t="str">
        <f>IF(OR(AC205&lt;0,AC205&gt;0.5),"Invalid Discount","Valid")</f>
        <v>Valid</v>
      </c>
      <c r="AU205" t="str">
        <f>IF(G205&lt;E205,"Invalid Shipping Record","Valid")</f>
        <v>Valid</v>
      </c>
      <c r="AV205" t="str">
        <f>IF(OR(AL205="Cancelled",AH205="Failed"),"Exclude","Include")</f>
        <v>Include</v>
      </c>
      <c r="AW205" t="str">
        <f t="shared" si="86"/>
        <v>Match</v>
      </c>
      <c r="AX205" t="str">
        <f t="shared" si="87"/>
        <v>Match</v>
      </c>
    </row>
    <row r="206" spans="1:50">
      <c r="A206" t="s">
        <v>1092</v>
      </c>
      <c r="B206">
        <f t="shared" si="66"/>
        <v>1</v>
      </c>
      <c r="C206" t="str">
        <f t="shared" si="76"/>
        <v/>
      </c>
      <c r="D206" s="3" t="s">
        <v>1093</v>
      </c>
      <c r="E206" s="7">
        <v>45858</v>
      </c>
      <c r="F206" s="3" t="s">
        <v>1094</v>
      </c>
      <c r="G206" s="7">
        <v>45861</v>
      </c>
      <c r="H206" s="7" t="str">
        <f t="shared" si="67"/>
        <v>Valid</v>
      </c>
      <c r="I206" s="9">
        <f t="shared" si="68"/>
        <v>3</v>
      </c>
      <c r="J206" s="9" t="str">
        <f t="shared" si="69"/>
        <v>Valid</v>
      </c>
      <c r="K206" t="s">
        <v>1095</v>
      </c>
      <c r="L206" t="s">
        <v>39</v>
      </c>
      <c r="M206" t="s">
        <v>39</v>
      </c>
      <c r="N206" t="s">
        <v>114</v>
      </c>
      <c r="O206" s="3" t="str">
        <f t="shared" si="70"/>
        <v>Home Office</v>
      </c>
      <c r="P206" t="s">
        <v>41</v>
      </c>
      <c r="Q206" s="3" t="str">
        <f t="shared" si="71"/>
        <v>East</v>
      </c>
      <c r="R206" t="s">
        <v>120</v>
      </c>
      <c r="S206" t="s">
        <v>121</v>
      </c>
      <c r="T206" t="s">
        <v>44</v>
      </c>
      <c r="U206" s="3" t="str">
        <f t="shared" si="72"/>
        <v>Furniture</v>
      </c>
      <c r="V206" t="s">
        <v>45</v>
      </c>
      <c r="W206" t="s">
        <v>1096</v>
      </c>
      <c r="X206" t="s">
        <v>32</v>
      </c>
      <c r="Y206" s="3" t="str">
        <f t="shared" si="73"/>
        <v>Second Class</v>
      </c>
      <c r="Z206">
        <v>4</v>
      </c>
      <c r="AA206">
        <v>477.69</v>
      </c>
      <c r="AB206">
        <v>0.15</v>
      </c>
      <c r="AC206">
        <f t="shared" si="74"/>
        <v>0.15</v>
      </c>
      <c r="AD206" t="str">
        <f t="shared" si="77"/>
        <v>Valid</v>
      </c>
      <c r="AE206">
        <v>1624.15</v>
      </c>
      <c r="AF206">
        <v>1217.99</v>
      </c>
      <c r="AG206">
        <v>406.16</v>
      </c>
      <c r="AH206" t="s">
        <v>33</v>
      </c>
      <c r="AI206" t="str">
        <f t="shared" si="78"/>
        <v>Include</v>
      </c>
      <c r="AJ206" t="str">
        <f t="shared" si="79"/>
        <v/>
      </c>
      <c r="AK206" t="s">
        <v>34</v>
      </c>
      <c r="AL206" t="str">
        <f t="shared" si="75"/>
        <v>Completed</v>
      </c>
      <c r="AM206" t="str">
        <f t="shared" si="80"/>
        <v>Include</v>
      </c>
      <c r="AN206">
        <f t="shared" si="81"/>
        <v>1624.146</v>
      </c>
      <c r="AO206">
        <f t="shared" si="82"/>
        <v>406.15599999999995</v>
      </c>
      <c r="AP206">
        <f>IF(AN206=0,0,AO206/AN206)</f>
        <v>0.25007357712914968</v>
      </c>
      <c r="AQ206" t="str">
        <f t="shared" si="83"/>
        <v>July</v>
      </c>
      <c r="AR206">
        <f t="shared" si="84"/>
        <v>2025</v>
      </c>
      <c r="AS206" t="str">
        <f t="shared" si="85"/>
        <v>Clean</v>
      </c>
      <c r="AT206" t="str">
        <f>IF(OR(AC206&lt;0,AC206&gt;0.5),"Invalid Discount","Valid")</f>
        <v>Valid</v>
      </c>
      <c r="AU206" t="str">
        <f>IF(G206&lt;E206,"Invalid Shipping Record","Valid")</f>
        <v>Valid</v>
      </c>
      <c r="AV206" t="str">
        <f>IF(OR(AL206="Cancelled",AH206="Failed"),"Exclude","Include")</f>
        <v>Include</v>
      </c>
      <c r="AW206" t="str">
        <f t="shared" si="86"/>
        <v>Match</v>
      </c>
      <c r="AX206" t="str">
        <f t="shared" si="87"/>
        <v>Match</v>
      </c>
    </row>
    <row r="207" spans="1:50">
      <c r="A207" t="s">
        <v>1097</v>
      </c>
      <c r="B207">
        <f t="shared" si="66"/>
        <v>1</v>
      </c>
      <c r="C207" t="str">
        <f t="shared" si="76"/>
        <v/>
      </c>
      <c r="D207" s="3" t="s">
        <v>1098</v>
      </c>
      <c r="E207" s="7">
        <v>45768</v>
      </c>
      <c r="F207" s="3" t="s">
        <v>1099</v>
      </c>
      <c r="G207" s="7">
        <v>45773</v>
      </c>
      <c r="H207" s="7" t="str">
        <f t="shared" si="67"/>
        <v>Valid</v>
      </c>
      <c r="I207" s="9">
        <f t="shared" si="68"/>
        <v>5</v>
      </c>
      <c r="J207" s="9" t="str">
        <f t="shared" si="69"/>
        <v>Valid</v>
      </c>
      <c r="K207" t="s">
        <v>1100</v>
      </c>
      <c r="L207" t="s">
        <v>71</v>
      </c>
      <c r="M207" t="s">
        <v>71</v>
      </c>
      <c r="N207" t="s">
        <v>25</v>
      </c>
      <c r="O207" s="3" t="str">
        <f t="shared" si="70"/>
        <v>Consumer</v>
      </c>
      <c r="P207" t="s">
        <v>72</v>
      </c>
      <c r="Q207" s="3" t="str">
        <f t="shared" si="71"/>
        <v>West</v>
      </c>
      <c r="R207" t="s">
        <v>73</v>
      </c>
      <c r="S207" t="s">
        <v>74</v>
      </c>
      <c r="T207" t="s">
        <v>917</v>
      </c>
      <c r="U207" s="3" t="str">
        <f t="shared" si="72"/>
        <v>Office Supplies</v>
      </c>
      <c r="V207" t="s">
        <v>108</v>
      </c>
      <c r="W207" t="s">
        <v>1101</v>
      </c>
      <c r="X207" t="s">
        <v>47</v>
      </c>
      <c r="Y207" s="3" t="str">
        <f t="shared" si="73"/>
        <v>Same Day</v>
      </c>
      <c r="Z207">
        <v>6</v>
      </c>
      <c r="AA207">
        <v>873.59</v>
      </c>
      <c r="AB207">
        <v>0.2</v>
      </c>
      <c r="AC207">
        <f t="shared" si="74"/>
        <v>0.2</v>
      </c>
      <c r="AD207" t="str">
        <f t="shared" si="77"/>
        <v>Valid</v>
      </c>
      <c r="AE207">
        <v>4193.2299999999996</v>
      </c>
      <c r="AF207">
        <v>3329.99</v>
      </c>
      <c r="AG207">
        <v>863.24</v>
      </c>
      <c r="AH207" t="s">
        <v>33</v>
      </c>
      <c r="AI207" t="str">
        <f t="shared" si="78"/>
        <v>Include</v>
      </c>
      <c r="AJ207" t="str">
        <f t="shared" si="79"/>
        <v/>
      </c>
      <c r="AK207" t="s">
        <v>34</v>
      </c>
      <c r="AL207" t="str">
        <f t="shared" si="75"/>
        <v>Completed</v>
      </c>
      <c r="AM207" t="str">
        <f t="shared" si="80"/>
        <v>Include</v>
      </c>
      <c r="AN207">
        <f t="shared" si="81"/>
        <v>4193.232</v>
      </c>
      <c r="AO207">
        <f t="shared" si="82"/>
        <v>863.24200000000019</v>
      </c>
      <c r="AP207">
        <f>IF(AN207=0,0,AO207/AN207)</f>
        <v>0.2058655471483572</v>
      </c>
      <c r="AQ207" t="str">
        <f t="shared" si="83"/>
        <v>April</v>
      </c>
      <c r="AR207">
        <f t="shared" si="84"/>
        <v>2025</v>
      </c>
      <c r="AS207" t="str">
        <f t="shared" si="85"/>
        <v>Clean</v>
      </c>
      <c r="AT207" t="str">
        <f>IF(OR(AC207&lt;0,AC207&gt;0.5),"Invalid Discount","Valid")</f>
        <v>Valid</v>
      </c>
      <c r="AU207" t="str">
        <f>IF(G207&lt;E207,"Invalid Shipping Record","Valid")</f>
        <v>Valid</v>
      </c>
      <c r="AV207" t="str">
        <f>IF(OR(AL207="Cancelled",AH207="Failed"),"Exclude","Include")</f>
        <v>Include</v>
      </c>
      <c r="AW207" t="str">
        <f t="shared" si="86"/>
        <v>Match</v>
      </c>
      <c r="AX207" t="str">
        <f t="shared" si="87"/>
        <v>Match</v>
      </c>
    </row>
    <row r="208" spans="1:50">
      <c r="A208" t="s">
        <v>1102</v>
      </c>
      <c r="B208">
        <f t="shared" si="66"/>
        <v>1</v>
      </c>
      <c r="C208" t="str">
        <f t="shared" si="76"/>
        <v/>
      </c>
      <c r="D208" s="3" t="s">
        <v>1103</v>
      </c>
      <c r="E208" s="7">
        <v>45795</v>
      </c>
      <c r="F208" s="3" t="s">
        <v>117</v>
      </c>
      <c r="G208" s="7">
        <v>45797</v>
      </c>
      <c r="H208" s="7" t="str">
        <f t="shared" si="67"/>
        <v>Valid</v>
      </c>
      <c r="I208" s="9">
        <f t="shared" si="68"/>
        <v>2</v>
      </c>
      <c r="J208" s="9" t="str">
        <f t="shared" si="69"/>
        <v>Valid</v>
      </c>
      <c r="K208" t="s">
        <v>1104</v>
      </c>
      <c r="L208" t="s">
        <v>209</v>
      </c>
      <c r="M208" t="s">
        <v>209</v>
      </c>
      <c r="N208" t="s">
        <v>40</v>
      </c>
      <c r="O208" s="3" t="str">
        <f t="shared" si="70"/>
        <v>Small Business</v>
      </c>
      <c r="P208" t="s">
        <v>26</v>
      </c>
      <c r="Q208" s="3" t="str">
        <f t="shared" si="71"/>
        <v>North</v>
      </c>
      <c r="R208" t="s">
        <v>173</v>
      </c>
      <c r="S208" t="s">
        <v>174</v>
      </c>
      <c r="T208" t="s">
        <v>44</v>
      </c>
      <c r="U208" s="3" t="str">
        <f t="shared" si="72"/>
        <v>Furniture</v>
      </c>
      <c r="V208" t="s">
        <v>64</v>
      </c>
      <c r="W208" t="s">
        <v>1105</v>
      </c>
      <c r="X208" t="s">
        <v>55</v>
      </c>
      <c r="Y208" s="3" t="str">
        <f t="shared" si="73"/>
        <v>First Class</v>
      </c>
      <c r="Z208">
        <v>2</v>
      </c>
      <c r="AA208">
        <v>215.13</v>
      </c>
      <c r="AB208">
        <v>0</v>
      </c>
      <c r="AC208">
        <f t="shared" si="74"/>
        <v>0</v>
      </c>
      <c r="AD208" t="str">
        <f t="shared" si="77"/>
        <v>Valid</v>
      </c>
      <c r="AE208">
        <v>430.26</v>
      </c>
      <c r="AF208">
        <v>286.38</v>
      </c>
      <c r="AG208">
        <v>143.88</v>
      </c>
      <c r="AH208" t="s">
        <v>33</v>
      </c>
      <c r="AI208" t="str">
        <f t="shared" si="78"/>
        <v>Include</v>
      </c>
      <c r="AJ208" t="str">
        <f t="shared" si="79"/>
        <v/>
      </c>
      <c r="AK208" t="s">
        <v>34</v>
      </c>
      <c r="AL208" t="str">
        <f t="shared" si="75"/>
        <v>Completed</v>
      </c>
      <c r="AM208" t="str">
        <f t="shared" si="80"/>
        <v>Include</v>
      </c>
      <c r="AN208">
        <f t="shared" si="81"/>
        <v>430.26</v>
      </c>
      <c r="AO208">
        <f t="shared" si="82"/>
        <v>143.88</v>
      </c>
      <c r="AP208">
        <f>IF(AN208=0,0,AO208/AN208)</f>
        <v>0.33440245432994004</v>
      </c>
      <c r="AQ208" t="str">
        <f t="shared" si="83"/>
        <v>May</v>
      </c>
      <c r="AR208">
        <f t="shared" si="84"/>
        <v>2025</v>
      </c>
      <c r="AS208" t="str">
        <f t="shared" si="85"/>
        <v>Clean</v>
      </c>
      <c r="AT208" t="str">
        <f>IF(OR(AC208&lt;0,AC208&gt;0.5),"Invalid Discount","Valid")</f>
        <v>Valid</v>
      </c>
      <c r="AU208" t="str">
        <f>IF(G208&lt;E208,"Invalid Shipping Record","Valid")</f>
        <v>Valid</v>
      </c>
      <c r="AV208" t="str">
        <f>IF(OR(AL208="Cancelled",AH208="Failed"),"Exclude","Include")</f>
        <v>Include</v>
      </c>
      <c r="AW208" t="str">
        <f t="shared" si="86"/>
        <v>Match</v>
      </c>
      <c r="AX208" t="str">
        <f t="shared" si="87"/>
        <v>Match</v>
      </c>
    </row>
    <row r="209" spans="1:50">
      <c r="A209" t="s">
        <v>1106</v>
      </c>
      <c r="B209">
        <f t="shared" si="66"/>
        <v>1</v>
      </c>
      <c r="C209" t="str">
        <f t="shared" si="76"/>
        <v/>
      </c>
      <c r="D209" s="3" t="s">
        <v>1107</v>
      </c>
      <c r="E209" s="7">
        <v>45483</v>
      </c>
      <c r="F209" s="3" t="s">
        <v>1108</v>
      </c>
      <c r="G209" s="7">
        <v>45489</v>
      </c>
      <c r="H209" s="7" t="str">
        <f t="shared" si="67"/>
        <v>Valid</v>
      </c>
      <c r="I209" s="9">
        <f t="shared" si="68"/>
        <v>6</v>
      </c>
      <c r="J209" s="9" t="str">
        <f t="shared" si="69"/>
        <v>Valid</v>
      </c>
      <c r="K209" t="s">
        <v>1109</v>
      </c>
      <c r="L209" t="s">
        <v>161</v>
      </c>
      <c r="M209" t="s">
        <v>161</v>
      </c>
      <c r="N209" t="s">
        <v>114</v>
      </c>
      <c r="O209" s="3" t="str">
        <f t="shared" si="70"/>
        <v>Home Office</v>
      </c>
      <c r="P209" t="s">
        <v>72</v>
      </c>
      <c r="Q209" s="3" t="str">
        <f t="shared" si="71"/>
        <v>West</v>
      </c>
      <c r="R209" t="s">
        <v>248</v>
      </c>
      <c r="S209" t="s">
        <v>249</v>
      </c>
      <c r="T209" t="s">
        <v>44</v>
      </c>
      <c r="U209" s="3" t="str">
        <f t="shared" si="72"/>
        <v>Furniture</v>
      </c>
      <c r="V209" t="s">
        <v>203</v>
      </c>
      <c r="W209" t="s">
        <v>1110</v>
      </c>
      <c r="X209" t="s">
        <v>32</v>
      </c>
      <c r="Y209" s="3" t="str">
        <f t="shared" si="73"/>
        <v>Second Class</v>
      </c>
      <c r="Z209">
        <v>2</v>
      </c>
      <c r="AA209">
        <v>1095.45</v>
      </c>
      <c r="AB209">
        <v>0.2</v>
      </c>
      <c r="AC209">
        <f t="shared" si="74"/>
        <v>0.2</v>
      </c>
      <c r="AD209" t="str">
        <f t="shared" si="77"/>
        <v>Valid</v>
      </c>
      <c r="AE209">
        <v>1752.72</v>
      </c>
      <c r="AF209">
        <v>996.41</v>
      </c>
      <c r="AG209">
        <v>756.31</v>
      </c>
      <c r="AH209" t="s">
        <v>33</v>
      </c>
      <c r="AI209" t="str">
        <f t="shared" si="78"/>
        <v>Include</v>
      </c>
      <c r="AJ209" t="str">
        <f t="shared" si="79"/>
        <v/>
      </c>
      <c r="AK209" t="s">
        <v>34</v>
      </c>
      <c r="AL209" t="str">
        <f t="shared" si="75"/>
        <v>Completed</v>
      </c>
      <c r="AM209" t="str">
        <f t="shared" si="80"/>
        <v>Include</v>
      </c>
      <c r="AN209">
        <f t="shared" si="81"/>
        <v>1752.7200000000003</v>
      </c>
      <c r="AO209">
        <f t="shared" si="82"/>
        <v>756.31000000000029</v>
      </c>
      <c r="AP209">
        <f>IF(AN209=0,0,AO209/AN209)</f>
        <v>0.43150645853302305</v>
      </c>
      <c r="AQ209" t="str">
        <f t="shared" si="83"/>
        <v>July</v>
      </c>
      <c r="AR209">
        <f t="shared" si="84"/>
        <v>2024</v>
      </c>
      <c r="AS209" t="str">
        <f t="shared" si="85"/>
        <v>Clean</v>
      </c>
      <c r="AT209" t="str">
        <f>IF(OR(AC209&lt;0,AC209&gt;0.5),"Invalid Discount","Valid")</f>
        <v>Valid</v>
      </c>
      <c r="AU209" t="str">
        <f>IF(G209&lt;E209,"Invalid Shipping Record","Valid")</f>
        <v>Valid</v>
      </c>
      <c r="AV209" t="str">
        <f>IF(OR(AL209="Cancelled",AH209="Failed"),"Exclude","Include")</f>
        <v>Include</v>
      </c>
      <c r="AW209" t="str">
        <f t="shared" si="86"/>
        <v>Match</v>
      </c>
      <c r="AX209" t="str">
        <f t="shared" si="87"/>
        <v>Match</v>
      </c>
    </row>
    <row r="210" spans="1:50">
      <c r="A210" t="s">
        <v>1111</v>
      </c>
      <c r="B210">
        <f t="shared" si="66"/>
        <v>1</v>
      </c>
      <c r="C210" t="str">
        <f t="shared" si="76"/>
        <v/>
      </c>
      <c r="D210" s="3" t="s">
        <v>1112</v>
      </c>
      <c r="E210" s="7">
        <v>45837</v>
      </c>
      <c r="F210" s="3" t="s">
        <v>1113</v>
      </c>
      <c r="G210" s="7">
        <v>45843</v>
      </c>
      <c r="H210" s="7" t="str">
        <f t="shared" si="67"/>
        <v>Valid</v>
      </c>
      <c r="I210" s="9">
        <f t="shared" si="68"/>
        <v>6</v>
      </c>
      <c r="J210" s="9" t="str">
        <f t="shared" si="69"/>
        <v>Valid</v>
      </c>
      <c r="K210" t="s">
        <v>1114</v>
      </c>
      <c r="L210" t="s">
        <v>209</v>
      </c>
      <c r="M210" t="s">
        <v>209</v>
      </c>
      <c r="N210" t="s">
        <v>25</v>
      </c>
      <c r="O210" s="3" t="str">
        <f t="shared" si="70"/>
        <v>Consumer</v>
      </c>
      <c r="P210" t="s">
        <v>26</v>
      </c>
      <c r="Q210" s="3" t="str">
        <f t="shared" si="71"/>
        <v>North</v>
      </c>
      <c r="R210" t="s">
        <v>153</v>
      </c>
      <c r="S210" t="s">
        <v>154</v>
      </c>
      <c r="T210" t="s">
        <v>44</v>
      </c>
      <c r="U210" s="3" t="str">
        <f t="shared" si="72"/>
        <v>Furniture</v>
      </c>
      <c r="V210" t="s">
        <v>75</v>
      </c>
      <c r="W210" t="s">
        <v>1115</v>
      </c>
      <c r="X210" t="s">
        <v>47</v>
      </c>
      <c r="Y210" s="3" t="str">
        <f t="shared" si="73"/>
        <v>Same Day</v>
      </c>
      <c r="Z210">
        <v>1</v>
      </c>
      <c r="AA210">
        <v>999.83</v>
      </c>
      <c r="AB210">
        <v>0</v>
      </c>
      <c r="AC210">
        <f t="shared" si="74"/>
        <v>0</v>
      </c>
      <c r="AD210" t="str">
        <f t="shared" si="77"/>
        <v>Valid</v>
      </c>
      <c r="AE210">
        <v>999.83</v>
      </c>
      <c r="AF210">
        <v>634.91</v>
      </c>
      <c r="AG210">
        <v>364.92</v>
      </c>
      <c r="AH210" t="s">
        <v>33</v>
      </c>
      <c r="AI210" t="str">
        <f t="shared" si="78"/>
        <v>Include</v>
      </c>
      <c r="AJ210" t="str">
        <f t="shared" si="79"/>
        <v/>
      </c>
      <c r="AK210" t="s">
        <v>34</v>
      </c>
      <c r="AL210" t="str">
        <f t="shared" si="75"/>
        <v>Completed</v>
      </c>
      <c r="AM210" t="str">
        <f t="shared" si="80"/>
        <v>Include</v>
      </c>
      <c r="AN210">
        <f t="shared" si="81"/>
        <v>999.83</v>
      </c>
      <c r="AO210">
        <f t="shared" si="82"/>
        <v>364.92000000000007</v>
      </c>
      <c r="AP210">
        <f>IF(AN210=0,0,AO210/AN210)</f>
        <v>0.3649820469479812</v>
      </c>
      <c r="AQ210" t="str">
        <f t="shared" si="83"/>
        <v>June</v>
      </c>
      <c r="AR210">
        <f t="shared" si="84"/>
        <v>2025</v>
      </c>
      <c r="AS210" t="str">
        <f t="shared" si="85"/>
        <v>Clean</v>
      </c>
      <c r="AT210" t="str">
        <f>IF(OR(AC210&lt;0,AC210&gt;0.5),"Invalid Discount","Valid")</f>
        <v>Valid</v>
      </c>
      <c r="AU210" t="str">
        <f>IF(G210&lt;E210,"Invalid Shipping Record","Valid")</f>
        <v>Valid</v>
      </c>
      <c r="AV210" t="str">
        <f>IF(OR(AL210="Cancelled",AH210="Failed"),"Exclude","Include")</f>
        <v>Include</v>
      </c>
      <c r="AW210" t="str">
        <f t="shared" si="86"/>
        <v>Match</v>
      </c>
      <c r="AX210" t="str">
        <f t="shared" si="87"/>
        <v>Match</v>
      </c>
    </row>
    <row r="211" spans="1:50">
      <c r="A211" t="s">
        <v>1116</v>
      </c>
      <c r="B211">
        <f t="shared" si="66"/>
        <v>1</v>
      </c>
      <c r="C211" t="str">
        <f t="shared" si="76"/>
        <v/>
      </c>
      <c r="D211" s="3" t="s">
        <v>1117</v>
      </c>
      <c r="E211" s="7">
        <v>45882</v>
      </c>
      <c r="F211" s="3" t="s">
        <v>1118</v>
      </c>
      <c r="G211" s="7">
        <v>45883</v>
      </c>
      <c r="H211" s="7" t="str">
        <f t="shared" si="67"/>
        <v>Valid</v>
      </c>
      <c r="I211" s="9">
        <f t="shared" si="68"/>
        <v>1</v>
      </c>
      <c r="J211" s="9" t="str">
        <f t="shared" si="69"/>
        <v>Valid</v>
      </c>
      <c r="K211" t="s">
        <v>1119</v>
      </c>
      <c r="L211" t="s">
        <v>179</v>
      </c>
      <c r="M211" t="s">
        <v>179</v>
      </c>
      <c r="N211" t="s">
        <v>40</v>
      </c>
      <c r="O211" s="3" t="str">
        <f t="shared" si="70"/>
        <v>Small Business</v>
      </c>
      <c r="P211" t="s">
        <v>61</v>
      </c>
      <c r="Q211" s="3" t="str">
        <f t="shared" si="71"/>
        <v>South</v>
      </c>
      <c r="R211" t="s">
        <v>99</v>
      </c>
      <c r="S211" t="s">
        <v>100</v>
      </c>
      <c r="T211" t="s">
        <v>29</v>
      </c>
      <c r="U211" s="3" t="str">
        <f t="shared" si="72"/>
        <v>Office Supplies</v>
      </c>
      <c r="V211" t="s">
        <v>30</v>
      </c>
      <c r="W211" t="s">
        <v>1120</v>
      </c>
      <c r="X211" t="s">
        <v>55</v>
      </c>
      <c r="Y211" s="3" t="str">
        <f t="shared" si="73"/>
        <v>First Class</v>
      </c>
      <c r="Z211">
        <v>9</v>
      </c>
      <c r="AA211">
        <v>864.98</v>
      </c>
      <c r="AB211">
        <v>0.1</v>
      </c>
      <c r="AC211">
        <f t="shared" si="74"/>
        <v>0.1</v>
      </c>
      <c r="AD211" t="str">
        <f t="shared" si="77"/>
        <v>Valid</v>
      </c>
      <c r="AE211">
        <v>7006.34</v>
      </c>
      <c r="AF211">
        <v>4640.88</v>
      </c>
      <c r="AG211">
        <v>2365.46</v>
      </c>
      <c r="AH211" t="s">
        <v>33</v>
      </c>
      <c r="AI211" t="str">
        <f t="shared" si="78"/>
        <v>Include</v>
      </c>
      <c r="AJ211" t="str">
        <f t="shared" si="79"/>
        <v/>
      </c>
      <c r="AK211" t="s">
        <v>34</v>
      </c>
      <c r="AL211" t="str">
        <f t="shared" si="75"/>
        <v>Completed</v>
      </c>
      <c r="AM211" t="str">
        <f t="shared" si="80"/>
        <v>Include</v>
      </c>
      <c r="AN211">
        <f t="shared" si="81"/>
        <v>7006.3379999999997</v>
      </c>
      <c r="AO211">
        <f t="shared" si="82"/>
        <v>2365.4579999999996</v>
      </c>
      <c r="AP211">
        <f>IF(AN211=0,0,AO211/AN211)</f>
        <v>0.33761688345609359</v>
      </c>
      <c r="AQ211" t="str">
        <f t="shared" si="83"/>
        <v>August</v>
      </c>
      <c r="AR211">
        <f t="shared" si="84"/>
        <v>2025</v>
      </c>
      <c r="AS211" t="str">
        <f t="shared" si="85"/>
        <v>Clean</v>
      </c>
      <c r="AT211" t="str">
        <f>IF(OR(AC211&lt;0,AC211&gt;0.5),"Invalid Discount","Valid")</f>
        <v>Valid</v>
      </c>
      <c r="AU211" t="str">
        <f>IF(G211&lt;E211,"Invalid Shipping Record","Valid")</f>
        <v>Valid</v>
      </c>
      <c r="AV211" t="str">
        <f>IF(OR(AL211="Cancelled",AH211="Failed"),"Exclude","Include")</f>
        <v>Include</v>
      </c>
      <c r="AW211" t="str">
        <f t="shared" si="86"/>
        <v>Match</v>
      </c>
      <c r="AX211" t="str">
        <f t="shared" si="87"/>
        <v>Match</v>
      </c>
    </row>
    <row r="212" spans="1:50">
      <c r="A212" t="s">
        <v>1121</v>
      </c>
      <c r="B212">
        <f t="shared" si="66"/>
        <v>1</v>
      </c>
      <c r="C212" t="str">
        <f t="shared" si="76"/>
        <v/>
      </c>
      <c r="D212" s="3" t="s">
        <v>1122</v>
      </c>
      <c r="E212" s="7">
        <v>45366</v>
      </c>
      <c r="F212" s="3" t="s">
        <v>1123</v>
      </c>
      <c r="G212" s="7">
        <v>45369</v>
      </c>
      <c r="H212" s="7" t="str">
        <f t="shared" si="67"/>
        <v>Valid</v>
      </c>
      <c r="I212" s="9">
        <f t="shared" si="68"/>
        <v>3</v>
      </c>
      <c r="J212" s="9" t="str">
        <f t="shared" si="69"/>
        <v>Valid</v>
      </c>
      <c r="K212" t="s">
        <v>1124</v>
      </c>
      <c r="L212" t="s">
        <v>365</v>
      </c>
      <c r="M212" t="s">
        <v>365</v>
      </c>
      <c r="N212" t="s">
        <v>114</v>
      </c>
      <c r="O212" s="3" t="str">
        <f t="shared" si="70"/>
        <v>Home Office</v>
      </c>
      <c r="P212" t="s">
        <v>61</v>
      </c>
      <c r="Q212" s="3" t="str">
        <f t="shared" si="71"/>
        <v>South</v>
      </c>
      <c r="R212" t="s">
        <v>228</v>
      </c>
      <c r="S212" t="s">
        <v>229</v>
      </c>
      <c r="T212" t="s">
        <v>85</v>
      </c>
      <c r="U212" s="3" t="str">
        <f t="shared" si="72"/>
        <v>Technology</v>
      </c>
      <c r="V212" t="s">
        <v>381</v>
      </c>
      <c r="W212" t="s">
        <v>1125</v>
      </c>
      <c r="X212" t="s">
        <v>32</v>
      </c>
      <c r="Y212" s="3" t="str">
        <f t="shared" si="73"/>
        <v>Second Class</v>
      </c>
      <c r="Z212">
        <v>1</v>
      </c>
      <c r="AA212">
        <v>4131.3599999999997</v>
      </c>
      <c r="AB212">
        <v>0</v>
      </c>
      <c r="AC212">
        <f t="shared" si="74"/>
        <v>0</v>
      </c>
      <c r="AD212" t="str">
        <f t="shared" si="77"/>
        <v>Valid</v>
      </c>
      <c r="AE212">
        <v>4131.3599999999997</v>
      </c>
      <c r="AF212">
        <v>2937.07</v>
      </c>
      <c r="AG212">
        <v>1194.29</v>
      </c>
      <c r="AH212" t="s">
        <v>199</v>
      </c>
      <c r="AI212" t="str">
        <f t="shared" si="78"/>
        <v>Exclude</v>
      </c>
      <c r="AJ212" t="str">
        <f t="shared" si="79"/>
        <v/>
      </c>
      <c r="AK212" t="s">
        <v>124</v>
      </c>
      <c r="AL212" t="str">
        <f t="shared" si="75"/>
        <v>Returned</v>
      </c>
      <c r="AM212" t="str">
        <f t="shared" si="80"/>
        <v>Include</v>
      </c>
      <c r="AN212">
        <f t="shared" si="81"/>
        <v>4131.3599999999997</v>
      </c>
      <c r="AO212">
        <f t="shared" si="82"/>
        <v>1194.2899999999995</v>
      </c>
      <c r="AP212">
        <f>IF(AN212=0,0,AO212/AN212)</f>
        <v>0.28907914100925591</v>
      </c>
      <c r="AQ212" t="str">
        <f t="shared" si="83"/>
        <v>March</v>
      </c>
      <c r="AR212">
        <f t="shared" si="84"/>
        <v>2024</v>
      </c>
      <c r="AS212" t="str">
        <f t="shared" si="85"/>
        <v>Clean</v>
      </c>
      <c r="AT212" t="str">
        <f>IF(OR(AC212&lt;0,AC212&gt;0.5),"Invalid Discount","Valid")</f>
        <v>Valid</v>
      </c>
      <c r="AU212" t="str">
        <f>IF(G212&lt;E212,"Invalid Shipping Record","Valid")</f>
        <v>Valid</v>
      </c>
      <c r="AV212" t="str">
        <f>IF(OR(AL212="Cancelled",AH212="Failed"),"Exclude","Include")</f>
        <v>Exclude</v>
      </c>
      <c r="AW212" t="str">
        <f t="shared" si="86"/>
        <v>Match</v>
      </c>
      <c r="AX212" t="str">
        <f t="shared" si="87"/>
        <v>Match</v>
      </c>
    </row>
    <row r="213" spans="1:50">
      <c r="A213" t="s">
        <v>1126</v>
      </c>
      <c r="B213">
        <f t="shared" si="66"/>
        <v>1</v>
      </c>
      <c r="C213" t="str">
        <f t="shared" si="76"/>
        <v/>
      </c>
      <c r="D213" s="3" t="s">
        <v>1127</v>
      </c>
      <c r="E213" s="7">
        <v>45428</v>
      </c>
      <c r="F213" s="3" t="s">
        <v>1128</v>
      </c>
      <c r="G213" s="7">
        <v>45429</v>
      </c>
      <c r="H213" s="7" t="str">
        <f t="shared" si="67"/>
        <v>Valid</v>
      </c>
      <c r="I213" s="9">
        <f t="shared" si="68"/>
        <v>1</v>
      </c>
      <c r="J213" s="9" t="str">
        <f t="shared" si="69"/>
        <v>Valid</v>
      </c>
      <c r="K213" t="s">
        <v>1129</v>
      </c>
      <c r="L213" t="s">
        <v>179</v>
      </c>
      <c r="M213" t="s">
        <v>179</v>
      </c>
      <c r="N213" t="s">
        <v>107</v>
      </c>
      <c r="O213" s="3" t="str">
        <f t="shared" si="70"/>
        <v>Corporate</v>
      </c>
      <c r="P213" t="s">
        <v>1130</v>
      </c>
      <c r="Q213" s="3" t="str">
        <f t="shared" si="71"/>
        <v>East</v>
      </c>
      <c r="R213" t="s">
        <v>120</v>
      </c>
      <c r="S213" t="s">
        <v>121</v>
      </c>
      <c r="T213" t="s">
        <v>85</v>
      </c>
      <c r="U213" s="3" t="str">
        <f t="shared" si="72"/>
        <v>Technology</v>
      </c>
      <c r="V213" t="s">
        <v>93</v>
      </c>
      <c r="W213" t="s">
        <v>1131</v>
      </c>
      <c r="X213" t="s">
        <v>32</v>
      </c>
      <c r="Y213" s="3" t="str">
        <f t="shared" si="73"/>
        <v>Second Class</v>
      </c>
      <c r="Z213">
        <v>8</v>
      </c>
      <c r="AA213">
        <v>4221.95</v>
      </c>
      <c r="AB213">
        <v>0.2</v>
      </c>
      <c r="AC213">
        <f t="shared" si="74"/>
        <v>0.2</v>
      </c>
      <c r="AD213" t="str">
        <f t="shared" si="77"/>
        <v>Valid</v>
      </c>
      <c r="AE213">
        <v>27020.48</v>
      </c>
      <c r="AF213">
        <v>22885.24</v>
      </c>
      <c r="AG213">
        <v>4135.24</v>
      </c>
      <c r="AH213" t="s">
        <v>33</v>
      </c>
      <c r="AI213" t="str">
        <f t="shared" si="78"/>
        <v>Include</v>
      </c>
      <c r="AJ213" t="str">
        <f t="shared" si="79"/>
        <v/>
      </c>
      <c r="AK213" t="s">
        <v>34</v>
      </c>
      <c r="AL213" t="str">
        <f t="shared" si="75"/>
        <v>Completed</v>
      </c>
      <c r="AM213" t="str">
        <f t="shared" si="80"/>
        <v>Include</v>
      </c>
      <c r="AN213">
        <f t="shared" si="81"/>
        <v>27020.48</v>
      </c>
      <c r="AO213">
        <f t="shared" si="82"/>
        <v>4135.239999999998</v>
      </c>
      <c r="AP213">
        <f>IF(AN213=0,0,AO213/AN213)</f>
        <v>0.15304095264036752</v>
      </c>
      <c r="AQ213" t="str">
        <f t="shared" si="83"/>
        <v>May</v>
      </c>
      <c r="AR213">
        <f t="shared" si="84"/>
        <v>2024</v>
      </c>
      <c r="AS213" t="str">
        <f t="shared" si="85"/>
        <v>Clean</v>
      </c>
      <c r="AT213" t="str">
        <f>IF(OR(AC213&lt;0,AC213&gt;0.5),"Invalid Discount","Valid")</f>
        <v>Valid</v>
      </c>
      <c r="AU213" t="str">
        <f>IF(G213&lt;E213,"Invalid Shipping Record","Valid")</f>
        <v>Valid</v>
      </c>
      <c r="AV213" t="str">
        <f>IF(OR(AL213="Cancelled",AH213="Failed"),"Exclude","Include")</f>
        <v>Include</v>
      </c>
      <c r="AW213" t="str">
        <f t="shared" si="86"/>
        <v>Match</v>
      </c>
      <c r="AX213" t="str">
        <f t="shared" si="87"/>
        <v>Match</v>
      </c>
    </row>
    <row r="214" spans="1:50">
      <c r="A214" t="s">
        <v>1132</v>
      </c>
      <c r="B214">
        <f t="shared" si="66"/>
        <v>1</v>
      </c>
      <c r="C214" t="str">
        <f t="shared" si="76"/>
        <v/>
      </c>
      <c r="D214" s="3" t="s">
        <v>1133</v>
      </c>
      <c r="E214" s="7">
        <v>45556</v>
      </c>
      <c r="F214" s="3" t="s">
        <v>1134</v>
      </c>
      <c r="G214" s="7">
        <v>45556</v>
      </c>
      <c r="H214" s="7" t="str">
        <f t="shared" si="67"/>
        <v>Valid</v>
      </c>
      <c r="I214" s="9">
        <f t="shared" si="68"/>
        <v>0</v>
      </c>
      <c r="J214" s="9" t="str">
        <f t="shared" si="69"/>
        <v>Valid</v>
      </c>
      <c r="K214" t="s">
        <v>1135</v>
      </c>
      <c r="L214" t="s">
        <v>71</v>
      </c>
      <c r="M214" t="s">
        <v>71</v>
      </c>
      <c r="N214" t="s">
        <v>40</v>
      </c>
      <c r="O214" s="3" t="str">
        <f t="shared" si="70"/>
        <v>Small Business</v>
      </c>
      <c r="P214" t="s">
        <v>41</v>
      </c>
      <c r="Q214" s="3" t="str">
        <f t="shared" si="71"/>
        <v>East</v>
      </c>
      <c r="R214" t="s">
        <v>42</v>
      </c>
      <c r="S214" t="s">
        <v>43</v>
      </c>
      <c r="T214" t="s">
        <v>85</v>
      </c>
      <c r="U214" s="3" t="str">
        <f t="shared" si="72"/>
        <v>Technology</v>
      </c>
      <c r="V214" t="s">
        <v>222</v>
      </c>
      <c r="W214" t="s">
        <v>1136</v>
      </c>
      <c r="X214" t="s">
        <v>47</v>
      </c>
      <c r="Y214" s="3" t="str">
        <f t="shared" si="73"/>
        <v>Same Day</v>
      </c>
      <c r="Z214">
        <v>2</v>
      </c>
      <c r="AA214">
        <v>214.5</v>
      </c>
      <c r="AB214">
        <v>0.15</v>
      </c>
      <c r="AC214">
        <f t="shared" si="74"/>
        <v>0.15</v>
      </c>
      <c r="AD214" t="str">
        <f t="shared" si="77"/>
        <v>Valid</v>
      </c>
      <c r="AE214">
        <v>364.65</v>
      </c>
      <c r="AF214">
        <v>280.74</v>
      </c>
      <c r="AG214">
        <v>83.91</v>
      </c>
      <c r="AH214" t="s">
        <v>33</v>
      </c>
      <c r="AI214" t="str">
        <f t="shared" si="78"/>
        <v>Include</v>
      </c>
      <c r="AJ214" t="str">
        <f t="shared" si="79"/>
        <v/>
      </c>
      <c r="AK214" t="s">
        <v>34</v>
      </c>
      <c r="AL214" t="str">
        <f t="shared" si="75"/>
        <v>Completed</v>
      </c>
      <c r="AM214" t="str">
        <f t="shared" si="80"/>
        <v>Include</v>
      </c>
      <c r="AN214">
        <f t="shared" si="81"/>
        <v>364.65</v>
      </c>
      <c r="AO214">
        <f t="shared" si="82"/>
        <v>83.909999999999968</v>
      </c>
      <c r="AP214">
        <f>IF(AN214=0,0,AO214/AN214)</f>
        <v>0.23011106540518297</v>
      </c>
      <c r="AQ214" t="str">
        <f t="shared" si="83"/>
        <v>September</v>
      </c>
      <c r="AR214">
        <f t="shared" si="84"/>
        <v>2024</v>
      </c>
      <c r="AS214" t="str">
        <f t="shared" si="85"/>
        <v>Clean</v>
      </c>
      <c r="AT214" t="str">
        <f>IF(OR(AC214&lt;0,AC214&gt;0.5),"Invalid Discount","Valid")</f>
        <v>Valid</v>
      </c>
      <c r="AU214" t="str">
        <f>IF(G214&lt;E214,"Invalid Shipping Record","Valid")</f>
        <v>Valid</v>
      </c>
      <c r="AV214" t="str">
        <f>IF(OR(AL214="Cancelled",AH214="Failed"),"Exclude","Include")</f>
        <v>Include</v>
      </c>
      <c r="AW214" t="str">
        <f t="shared" si="86"/>
        <v>Match</v>
      </c>
      <c r="AX214" t="str">
        <f t="shared" si="87"/>
        <v>Match</v>
      </c>
    </row>
    <row r="215" spans="1:50">
      <c r="A215" t="s">
        <v>1137</v>
      </c>
      <c r="B215">
        <f t="shared" si="66"/>
        <v>1</v>
      </c>
      <c r="C215" t="str">
        <f t="shared" si="76"/>
        <v/>
      </c>
      <c r="D215" s="3" t="s">
        <v>1138</v>
      </c>
      <c r="E215" s="7">
        <v>45427</v>
      </c>
      <c r="F215" s="3" t="s">
        <v>1139</v>
      </c>
      <c r="G215" s="7">
        <v>45433</v>
      </c>
      <c r="H215" s="7" t="str">
        <f t="shared" si="67"/>
        <v>Valid</v>
      </c>
      <c r="I215" s="9">
        <f t="shared" si="68"/>
        <v>6</v>
      </c>
      <c r="J215" s="9" t="str">
        <f t="shared" si="69"/>
        <v>Valid</v>
      </c>
      <c r="K215" t="s">
        <v>1140</v>
      </c>
      <c r="L215" t="s">
        <v>52</v>
      </c>
      <c r="M215" t="s">
        <v>52</v>
      </c>
      <c r="N215" t="s">
        <v>40</v>
      </c>
      <c r="O215" s="3" t="str">
        <f t="shared" si="70"/>
        <v>Small Business</v>
      </c>
      <c r="P215" t="s">
        <v>41</v>
      </c>
      <c r="Q215" s="3" t="str">
        <f t="shared" si="71"/>
        <v>East</v>
      </c>
      <c r="R215" t="s">
        <v>185</v>
      </c>
      <c r="S215" t="s">
        <v>186</v>
      </c>
      <c r="T215" t="s">
        <v>85</v>
      </c>
      <c r="U215" s="3" t="str">
        <f t="shared" si="72"/>
        <v>Technology</v>
      </c>
      <c r="V215" t="s">
        <v>86</v>
      </c>
      <c r="W215" t="s">
        <v>1141</v>
      </c>
      <c r="X215" t="s">
        <v>32</v>
      </c>
      <c r="Y215" s="3" t="str">
        <f t="shared" si="73"/>
        <v>Second Class</v>
      </c>
      <c r="Z215">
        <v>4</v>
      </c>
      <c r="AA215">
        <v>4332.7299999999996</v>
      </c>
      <c r="AB215">
        <v>0.2</v>
      </c>
      <c r="AC215">
        <f t="shared" si="74"/>
        <v>0.2</v>
      </c>
      <c r="AD215" t="str">
        <f t="shared" si="77"/>
        <v>Valid</v>
      </c>
      <c r="AE215">
        <v>13864.74</v>
      </c>
      <c r="AF215">
        <v>11294.06</v>
      </c>
      <c r="AG215">
        <v>2570.6799999999998</v>
      </c>
      <c r="AH215" t="s">
        <v>33</v>
      </c>
      <c r="AI215" t="str">
        <f t="shared" si="78"/>
        <v>Include</v>
      </c>
      <c r="AJ215" t="str">
        <f t="shared" si="79"/>
        <v/>
      </c>
      <c r="AK215" t="s">
        <v>34</v>
      </c>
      <c r="AL215" t="str">
        <f t="shared" si="75"/>
        <v>Completed</v>
      </c>
      <c r="AM215" t="str">
        <f t="shared" si="80"/>
        <v>Include</v>
      </c>
      <c r="AN215">
        <f t="shared" si="81"/>
        <v>13864.735999999999</v>
      </c>
      <c r="AO215">
        <f t="shared" si="82"/>
        <v>2570.6759999999995</v>
      </c>
      <c r="AP215">
        <f>IF(AN215=0,0,AO215/AN215)</f>
        <v>0.18541110339208763</v>
      </c>
      <c r="AQ215" t="str">
        <f t="shared" si="83"/>
        <v>May</v>
      </c>
      <c r="AR215">
        <f t="shared" si="84"/>
        <v>2024</v>
      </c>
      <c r="AS215" t="str">
        <f t="shared" si="85"/>
        <v>Clean</v>
      </c>
      <c r="AT215" t="str">
        <f>IF(OR(AC215&lt;0,AC215&gt;0.5),"Invalid Discount","Valid")</f>
        <v>Valid</v>
      </c>
      <c r="AU215" t="str">
        <f>IF(G215&lt;E215,"Invalid Shipping Record","Valid")</f>
        <v>Valid</v>
      </c>
      <c r="AV215" t="str">
        <f>IF(OR(AL215="Cancelled",AH215="Failed"),"Exclude","Include")</f>
        <v>Include</v>
      </c>
      <c r="AW215" t="str">
        <f t="shared" si="86"/>
        <v>Match</v>
      </c>
      <c r="AX215" t="str">
        <f t="shared" si="87"/>
        <v>Match</v>
      </c>
    </row>
    <row r="216" spans="1:50">
      <c r="A216" t="s">
        <v>1142</v>
      </c>
      <c r="B216">
        <f t="shared" si="66"/>
        <v>1</v>
      </c>
      <c r="C216" t="str">
        <f t="shared" si="76"/>
        <v/>
      </c>
      <c r="D216" s="3" t="s">
        <v>1143</v>
      </c>
      <c r="E216" s="7">
        <v>45368</v>
      </c>
      <c r="F216" s="3" t="s">
        <v>1144</v>
      </c>
      <c r="G216" s="7">
        <v>45374</v>
      </c>
      <c r="H216" s="7" t="str">
        <f t="shared" si="67"/>
        <v>Valid</v>
      </c>
      <c r="I216" s="9">
        <f t="shared" si="68"/>
        <v>6</v>
      </c>
      <c r="J216" s="9" t="str">
        <f t="shared" si="69"/>
        <v>Valid</v>
      </c>
      <c r="K216" t="s">
        <v>1145</v>
      </c>
      <c r="L216" t="s">
        <v>147</v>
      </c>
      <c r="M216" t="s">
        <v>147</v>
      </c>
      <c r="N216" t="s">
        <v>25</v>
      </c>
      <c r="O216" s="3" t="str">
        <f t="shared" si="70"/>
        <v>Consumer</v>
      </c>
      <c r="P216" t="s">
        <v>26</v>
      </c>
      <c r="Q216" s="3" t="str">
        <f t="shared" si="71"/>
        <v>North</v>
      </c>
      <c r="R216" t="s">
        <v>322</v>
      </c>
      <c r="S216" t="s">
        <v>323</v>
      </c>
      <c r="T216" t="s">
        <v>85</v>
      </c>
      <c r="U216" s="3" t="str">
        <f t="shared" si="72"/>
        <v>Technology</v>
      </c>
      <c r="V216" t="s">
        <v>86</v>
      </c>
      <c r="W216" t="s">
        <v>1146</v>
      </c>
      <c r="X216" t="s">
        <v>55</v>
      </c>
      <c r="Y216" s="3" t="str">
        <f t="shared" si="73"/>
        <v>First Class</v>
      </c>
      <c r="Z216">
        <v>3</v>
      </c>
      <c r="AA216">
        <v>248.18</v>
      </c>
      <c r="AB216">
        <v>0.05</v>
      </c>
      <c r="AC216">
        <f t="shared" si="74"/>
        <v>0.05</v>
      </c>
      <c r="AD216" t="str">
        <f t="shared" si="77"/>
        <v>Valid</v>
      </c>
      <c r="AE216">
        <v>707.31</v>
      </c>
      <c r="AF216">
        <v>569</v>
      </c>
      <c r="AG216">
        <v>138.31</v>
      </c>
      <c r="AH216" t="s">
        <v>33</v>
      </c>
      <c r="AI216" t="str">
        <f t="shared" si="78"/>
        <v>Include</v>
      </c>
      <c r="AJ216" t="str">
        <f t="shared" si="79"/>
        <v/>
      </c>
      <c r="AK216" t="s">
        <v>34</v>
      </c>
      <c r="AL216" t="str">
        <f t="shared" si="75"/>
        <v>Completed</v>
      </c>
      <c r="AM216" t="str">
        <f t="shared" si="80"/>
        <v>Include</v>
      </c>
      <c r="AN216">
        <f t="shared" si="81"/>
        <v>707.31299999999999</v>
      </c>
      <c r="AO216">
        <f t="shared" si="82"/>
        <v>138.31299999999999</v>
      </c>
      <c r="AP216">
        <f>IF(AN216=0,0,AO216/AN216)</f>
        <v>0.19554709159876885</v>
      </c>
      <c r="AQ216" t="str">
        <f t="shared" si="83"/>
        <v>March</v>
      </c>
      <c r="AR216">
        <f t="shared" si="84"/>
        <v>2024</v>
      </c>
      <c r="AS216" t="str">
        <f t="shared" si="85"/>
        <v>Clean</v>
      </c>
      <c r="AT216" t="str">
        <f>IF(OR(AC216&lt;0,AC216&gt;0.5),"Invalid Discount","Valid")</f>
        <v>Valid</v>
      </c>
      <c r="AU216" t="str">
        <f>IF(G216&lt;E216,"Invalid Shipping Record","Valid")</f>
        <v>Valid</v>
      </c>
      <c r="AV216" t="str">
        <f>IF(OR(AL216="Cancelled",AH216="Failed"),"Exclude","Include")</f>
        <v>Include</v>
      </c>
      <c r="AW216" t="str">
        <f t="shared" si="86"/>
        <v>Match</v>
      </c>
      <c r="AX216" t="str">
        <f t="shared" si="87"/>
        <v>Match</v>
      </c>
    </row>
    <row r="217" spans="1:50">
      <c r="A217" t="s">
        <v>1147</v>
      </c>
      <c r="B217">
        <f t="shared" si="66"/>
        <v>1</v>
      </c>
      <c r="C217" t="str">
        <f t="shared" si="76"/>
        <v/>
      </c>
      <c r="D217" s="3" t="s">
        <v>1148</v>
      </c>
      <c r="E217" s="7">
        <v>45352</v>
      </c>
      <c r="F217" s="3" t="s">
        <v>206</v>
      </c>
      <c r="G217" s="7">
        <v>45355</v>
      </c>
      <c r="H217" s="7" t="str">
        <f t="shared" si="67"/>
        <v>Valid</v>
      </c>
      <c r="I217" s="9">
        <f t="shared" si="68"/>
        <v>3</v>
      </c>
      <c r="J217" s="9" t="str">
        <f t="shared" si="69"/>
        <v>Valid</v>
      </c>
      <c r="K217" t="s">
        <v>1149</v>
      </c>
      <c r="L217" t="s">
        <v>39</v>
      </c>
      <c r="M217" t="s">
        <v>39</v>
      </c>
      <c r="N217" t="s">
        <v>25</v>
      </c>
      <c r="O217" s="3" t="str">
        <f t="shared" si="70"/>
        <v>Consumer</v>
      </c>
      <c r="P217" t="s">
        <v>72</v>
      </c>
      <c r="Q217" s="3" t="str">
        <f t="shared" si="71"/>
        <v>West</v>
      </c>
      <c r="R217" t="s">
        <v>83</v>
      </c>
      <c r="S217" t="s">
        <v>84</v>
      </c>
      <c r="T217" t="s">
        <v>29</v>
      </c>
      <c r="U217" s="3" t="str">
        <f t="shared" si="72"/>
        <v>Office Supplies</v>
      </c>
      <c r="V217" t="s">
        <v>30</v>
      </c>
      <c r="W217" t="s">
        <v>1150</v>
      </c>
      <c r="X217" t="s">
        <v>55</v>
      </c>
      <c r="Y217" s="3" t="str">
        <f t="shared" si="73"/>
        <v>First Class</v>
      </c>
      <c r="Z217">
        <v>8</v>
      </c>
      <c r="AA217">
        <v>3202.4</v>
      </c>
      <c r="AB217">
        <v>0.25</v>
      </c>
      <c r="AC217">
        <f t="shared" si="74"/>
        <v>0.25</v>
      </c>
      <c r="AD217" t="str">
        <f t="shared" si="77"/>
        <v>Valid</v>
      </c>
      <c r="AE217">
        <v>19214.400000000001</v>
      </c>
      <c r="AF217">
        <v>10916.01</v>
      </c>
      <c r="AG217">
        <v>8298.39</v>
      </c>
      <c r="AH217" t="s">
        <v>33</v>
      </c>
      <c r="AI217" t="str">
        <f t="shared" si="78"/>
        <v>Include</v>
      </c>
      <c r="AJ217" t="str">
        <f t="shared" si="79"/>
        <v/>
      </c>
      <c r="AK217" t="s">
        <v>34</v>
      </c>
      <c r="AL217" t="str">
        <f t="shared" si="75"/>
        <v>Completed</v>
      </c>
      <c r="AM217" t="str">
        <f t="shared" si="80"/>
        <v>Include</v>
      </c>
      <c r="AN217">
        <f t="shared" si="81"/>
        <v>19214.400000000001</v>
      </c>
      <c r="AO217">
        <f t="shared" si="82"/>
        <v>8298.3900000000012</v>
      </c>
      <c r="AP217">
        <f>IF(AN217=0,0,AO217/AN217)</f>
        <v>0.43188389957531853</v>
      </c>
      <c r="AQ217" t="str">
        <f t="shared" si="83"/>
        <v>March</v>
      </c>
      <c r="AR217">
        <f t="shared" si="84"/>
        <v>2024</v>
      </c>
      <c r="AS217" t="str">
        <f t="shared" si="85"/>
        <v>Clean</v>
      </c>
      <c r="AT217" t="str">
        <f>IF(OR(AC217&lt;0,AC217&gt;0.5),"Invalid Discount","Valid")</f>
        <v>Valid</v>
      </c>
      <c r="AU217" t="str">
        <f>IF(G217&lt;E217,"Invalid Shipping Record","Valid")</f>
        <v>Valid</v>
      </c>
      <c r="AV217" t="str">
        <f>IF(OR(AL217="Cancelled",AH217="Failed"),"Exclude","Include")</f>
        <v>Include</v>
      </c>
      <c r="AW217" t="str">
        <f t="shared" si="86"/>
        <v>Match</v>
      </c>
      <c r="AX217" t="str">
        <f t="shared" si="87"/>
        <v>Match</v>
      </c>
    </row>
    <row r="218" spans="1:50">
      <c r="A218" t="s">
        <v>1151</v>
      </c>
      <c r="B218">
        <f t="shared" si="66"/>
        <v>1</v>
      </c>
      <c r="C218" t="str">
        <f t="shared" si="76"/>
        <v/>
      </c>
      <c r="D218" s="3" t="s">
        <v>89</v>
      </c>
      <c r="E218" s="7">
        <v>45757</v>
      </c>
      <c r="F218" s="3" t="s">
        <v>1152</v>
      </c>
      <c r="G218" s="7">
        <v>45762</v>
      </c>
      <c r="H218" s="7" t="str">
        <f t="shared" si="67"/>
        <v>Valid</v>
      </c>
      <c r="I218" s="9">
        <f t="shared" si="68"/>
        <v>5</v>
      </c>
      <c r="J218" s="9" t="str">
        <f t="shared" si="69"/>
        <v>Valid</v>
      </c>
      <c r="K218" t="s">
        <v>1153</v>
      </c>
      <c r="L218" t="s">
        <v>52</v>
      </c>
      <c r="M218" t="s">
        <v>52</v>
      </c>
      <c r="N218" t="s">
        <v>25</v>
      </c>
      <c r="O218" s="3" t="str">
        <f t="shared" si="70"/>
        <v>Consumer</v>
      </c>
      <c r="P218" t="s">
        <v>72</v>
      </c>
      <c r="Q218" s="3" t="str">
        <f t="shared" si="71"/>
        <v>West</v>
      </c>
      <c r="R218" t="s">
        <v>234</v>
      </c>
      <c r="S218" t="s">
        <v>235</v>
      </c>
      <c r="T218" t="s">
        <v>44</v>
      </c>
      <c r="U218" s="3" t="str">
        <f t="shared" si="72"/>
        <v>Furniture</v>
      </c>
      <c r="V218" t="s">
        <v>45</v>
      </c>
      <c r="W218" t="s">
        <v>1154</v>
      </c>
      <c r="X218" t="s">
        <v>66</v>
      </c>
      <c r="Y218" s="3" t="str">
        <f t="shared" si="73"/>
        <v>Standard Class</v>
      </c>
      <c r="Z218">
        <v>8</v>
      </c>
      <c r="AA218">
        <v>1839.87</v>
      </c>
      <c r="AB218">
        <v>0.25</v>
      </c>
      <c r="AC218">
        <f t="shared" si="74"/>
        <v>0.25</v>
      </c>
      <c r="AD218" t="str">
        <f t="shared" si="77"/>
        <v>Valid</v>
      </c>
      <c r="AE218">
        <v>11039.22</v>
      </c>
      <c r="AF218">
        <v>7642.91</v>
      </c>
      <c r="AG218">
        <v>3396.31</v>
      </c>
      <c r="AH218" t="s">
        <v>199</v>
      </c>
      <c r="AI218" t="str">
        <f t="shared" si="78"/>
        <v>Exclude</v>
      </c>
      <c r="AJ218" t="str">
        <f t="shared" si="79"/>
        <v/>
      </c>
      <c r="AK218" t="s">
        <v>124</v>
      </c>
      <c r="AL218" t="str">
        <f t="shared" si="75"/>
        <v>Returned</v>
      </c>
      <c r="AM218" t="str">
        <f t="shared" si="80"/>
        <v>Include</v>
      </c>
      <c r="AN218">
        <f t="shared" si="81"/>
        <v>11039.22</v>
      </c>
      <c r="AO218">
        <f t="shared" si="82"/>
        <v>3396.3099999999995</v>
      </c>
      <c r="AP218">
        <f>IF(AN218=0,0,AO218/AN218)</f>
        <v>0.30765851210502188</v>
      </c>
      <c r="AQ218" t="str">
        <f t="shared" si="83"/>
        <v>April</v>
      </c>
      <c r="AR218">
        <f t="shared" si="84"/>
        <v>2025</v>
      </c>
      <c r="AS218" t="str">
        <f t="shared" si="85"/>
        <v>Clean</v>
      </c>
      <c r="AT218" t="str">
        <f>IF(OR(AC218&lt;0,AC218&gt;0.5),"Invalid Discount","Valid")</f>
        <v>Valid</v>
      </c>
      <c r="AU218" t="str">
        <f>IF(G218&lt;E218,"Invalid Shipping Record","Valid")</f>
        <v>Valid</v>
      </c>
      <c r="AV218" t="str">
        <f>IF(OR(AL218="Cancelled",AH218="Failed"),"Exclude","Include")</f>
        <v>Exclude</v>
      </c>
      <c r="AW218" t="str">
        <f t="shared" si="86"/>
        <v>Match</v>
      </c>
      <c r="AX218" t="str">
        <f t="shared" si="87"/>
        <v>Match</v>
      </c>
    </row>
    <row r="219" spans="1:50">
      <c r="A219" t="s">
        <v>1155</v>
      </c>
      <c r="B219">
        <f t="shared" si="66"/>
        <v>1</v>
      </c>
      <c r="C219" t="str">
        <f t="shared" si="76"/>
        <v/>
      </c>
      <c r="D219" s="3" t="s">
        <v>1156</v>
      </c>
      <c r="E219" s="7">
        <v>45748</v>
      </c>
      <c r="F219" s="3" t="s">
        <v>1157</v>
      </c>
      <c r="G219" s="7">
        <v>45755</v>
      </c>
      <c r="H219" s="7" t="str">
        <f t="shared" si="67"/>
        <v>Valid</v>
      </c>
      <c r="I219" s="9">
        <f t="shared" si="68"/>
        <v>7</v>
      </c>
      <c r="J219" s="9" t="str">
        <f t="shared" si="69"/>
        <v>Valid</v>
      </c>
      <c r="K219" t="s">
        <v>1158</v>
      </c>
      <c r="L219" t="s">
        <v>106</v>
      </c>
      <c r="M219" t="s">
        <v>106</v>
      </c>
      <c r="N219" t="s">
        <v>25</v>
      </c>
      <c r="O219" s="3" t="str">
        <f t="shared" si="70"/>
        <v>Consumer</v>
      </c>
      <c r="P219" t="s">
        <v>41</v>
      </c>
      <c r="Q219" s="3" t="str">
        <f t="shared" si="71"/>
        <v>East</v>
      </c>
      <c r="R219" t="s">
        <v>42</v>
      </c>
      <c r="S219" t="s">
        <v>43</v>
      </c>
      <c r="T219" t="s">
        <v>44</v>
      </c>
      <c r="U219" s="3" t="str">
        <f t="shared" si="72"/>
        <v>Furniture</v>
      </c>
      <c r="V219" t="s">
        <v>203</v>
      </c>
      <c r="W219" t="s">
        <v>1159</v>
      </c>
      <c r="X219" t="s">
        <v>32</v>
      </c>
      <c r="Y219" s="3" t="str">
        <f t="shared" si="73"/>
        <v>Second Class</v>
      </c>
      <c r="Z219">
        <v>5</v>
      </c>
      <c r="AA219">
        <v>1021.28</v>
      </c>
      <c r="AB219">
        <v>0.1</v>
      </c>
      <c r="AC219">
        <f t="shared" si="74"/>
        <v>0.1</v>
      </c>
      <c r="AD219" t="str">
        <f t="shared" si="77"/>
        <v>Valid</v>
      </c>
      <c r="AE219">
        <v>4595.76</v>
      </c>
      <c r="AF219">
        <v>3396.8</v>
      </c>
      <c r="AG219">
        <v>1198.96</v>
      </c>
      <c r="AH219" t="s">
        <v>123</v>
      </c>
      <c r="AI219" t="str">
        <f t="shared" si="78"/>
        <v>Exclude</v>
      </c>
      <c r="AJ219" t="str">
        <f t="shared" si="79"/>
        <v>Refunded Order</v>
      </c>
      <c r="AK219" t="s">
        <v>77</v>
      </c>
      <c r="AL219" t="str">
        <f t="shared" si="75"/>
        <v>Cancelled</v>
      </c>
      <c r="AM219" t="str">
        <f t="shared" si="80"/>
        <v>Exclude</v>
      </c>
      <c r="AN219">
        <f t="shared" si="81"/>
        <v>4595.76</v>
      </c>
      <c r="AO219">
        <f t="shared" si="82"/>
        <v>1198.96</v>
      </c>
      <c r="AP219">
        <f>IF(AN219=0,0,AO219/AN219)</f>
        <v>0.26088394520166414</v>
      </c>
      <c r="AQ219" t="str">
        <f t="shared" si="83"/>
        <v>April</v>
      </c>
      <c r="AR219">
        <f t="shared" si="84"/>
        <v>2025</v>
      </c>
      <c r="AS219" t="str">
        <f t="shared" si="85"/>
        <v>Clean</v>
      </c>
      <c r="AT219" t="str">
        <f>IF(OR(AC219&lt;0,AC219&gt;0.5),"Invalid Discount","Valid")</f>
        <v>Valid</v>
      </c>
      <c r="AU219" t="str">
        <f>IF(G219&lt;E219,"Invalid Shipping Record","Valid")</f>
        <v>Valid</v>
      </c>
      <c r="AV219" t="str">
        <f>IF(OR(AL219="Cancelled",AH219="Failed"),"Exclude","Include")</f>
        <v>Exclude</v>
      </c>
      <c r="AW219" t="str">
        <f t="shared" si="86"/>
        <v>Match</v>
      </c>
      <c r="AX219" t="str">
        <f t="shared" si="87"/>
        <v>Match</v>
      </c>
    </row>
    <row r="220" spans="1:50">
      <c r="A220" t="s">
        <v>1160</v>
      </c>
      <c r="B220">
        <f t="shared" ref="B220:B283" si="88">COUNTIF($A:$A,A220)</f>
        <v>1</v>
      </c>
      <c r="C220" t="str">
        <f t="shared" si="76"/>
        <v/>
      </c>
      <c r="D220" s="3" t="s">
        <v>1161</v>
      </c>
      <c r="E220" s="7">
        <v>45714</v>
      </c>
      <c r="F220" s="3" t="s">
        <v>1162</v>
      </c>
      <c r="G220" s="7">
        <v>45715</v>
      </c>
      <c r="H220" s="7" t="str">
        <f t="shared" si="67"/>
        <v>Valid</v>
      </c>
      <c r="I220" s="9">
        <f t="shared" si="68"/>
        <v>1</v>
      </c>
      <c r="J220" s="9" t="str">
        <f t="shared" si="69"/>
        <v>Valid</v>
      </c>
      <c r="K220" t="s">
        <v>1163</v>
      </c>
      <c r="L220" t="s">
        <v>141</v>
      </c>
      <c r="M220" t="s">
        <v>141</v>
      </c>
      <c r="N220" t="s">
        <v>107</v>
      </c>
      <c r="O220" s="3" t="str">
        <f t="shared" si="70"/>
        <v>Corporate</v>
      </c>
      <c r="P220" t="s">
        <v>72</v>
      </c>
      <c r="Q220" s="3" t="str">
        <f t="shared" si="71"/>
        <v>West</v>
      </c>
      <c r="R220" t="s">
        <v>234</v>
      </c>
      <c r="S220" t="s">
        <v>235</v>
      </c>
      <c r="T220" t="s">
        <v>44</v>
      </c>
      <c r="U220" s="3" t="str">
        <f t="shared" si="72"/>
        <v>Furniture</v>
      </c>
      <c r="V220" t="s">
        <v>203</v>
      </c>
      <c r="W220" t="s">
        <v>1164</v>
      </c>
      <c r="X220" t="s">
        <v>66</v>
      </c>
      <c r="Y220" s="3" t="str">
        <f t="shared" si="73"/>
        <v>Standard Class</v>
      </c>
      <c r="Z220">
        <v>5</v>
      </c>
      <c r="AA220">
        <v>258.27999999999997</v>
      </c>
      <c r="AB220">
        <v>0</v>
      </c>
      <c r="AC220">
        <f t="shared" si="74"/>
        <v>0</v>
      </c>
      <c r="AD220" t="str">
        <f t="shared" si="77"/>
        <v>Valid</v>
      </c>
      <c r="AE220">
        <v>1291.4000000000001</v>
      </c>
      <c r="AF220">
        <v>756.93</v>
      </c>
      <c r="AG220">
        <v>534.47</v>
      </c>
      <c r="AH220" t="s">
        <v>33</v>
      </c>
      <c r="AI220" t="str">
        <f t="shared" si="78"/>
        <v>Include</v>
      </c>
      <c r="AJ220" t="str">
        <f t="shared" si="79"/>
        <v/>
      </c>
      <c r="AK220" t="s">
        <v>34</v>
      </c>
      <c r="AL220" t="str">
        <f t="shared" si="75"/>
        <v>Completed</v>
      </c>
      <c r="AM220" t="str">
        <f t="shared" si="80"/>
        <v>Include</v>
      </c>
      <c r="AN220">
        <f t="shared" si="81"/>
        <v>1291.3999999999999</v>
      </c>
      <c r="AO220">
        <f t="shared" si="82"/>
        <v>534.46999999999991</v>
      </c>
      <c r="AP220">
        <f>IF(AN220=0,0,AO220/AN220)</f>
        <v>0.41386866966083319</v>
      </c>
      <c r="AQ220" t="str">
        <f t="shared" si="83"/>
        <v>February</v>
      </c>
      <c r="AR220">
        <f t="shared" si="84"/>
        <v>2025</v>
      </c>
      <c r="AS220" t="str">
        <f t="shared" si="85"/>
        <v>Clean</v>
      </c>
      <c r="AT220" t="str">
        <f>IF(OR(AC220&lt;0,AC220&gt;0.5),"Invalid Discount","Valid")</f>
        <v>Valid</v>
      </c>
      <c r="AU220" t="str">
        <f>IF(G220&lt;E220,"Invalid Shipping Record","Valid")</f>
        <v>Valid</v>
      </c>
      <c r="AV220" t="str">
        <f>IF(OR(AL220="Cancelled",AH220="Failed"),"Exclude","Include")</f>
        <v>Include</v>
      </c>
      <c r="AW220" t="str">
        <f t="shared" si="86"/>
        <v>Match</v>
      </c>
      <c r="AX220" t="str">
        <f t="shared" si="87"/>
        <v>Match</v>
      </c>
    </row>
    <row r="221" spans="1:50">
      <c r="A221" t="s">
        <v>1165</v>
      </c>
      <c r="B221">
        <f t="shared" si="88"/>
        <v>1</v>
      </c>
      <c r="C221" t="str">
        <f t="shared" si="76"/>
        <v/>
      </c>
      <c r="D221" s="3" t="s">
        <v>683</v>
      </c>
      <c r="E221" s="7">
        <v>45461</v>
      </c>
      <c r="F221" s="3" t="s">
        <v>1166</v>
      </c>
      <c r="G221" s="7">
        <v>45462</v>
      </c>
      <c r="H221" s="7" t="str">
        <f t="shared" si="67"/>
        <v>Valid</v>
      </c>
      <c r="I221" s="9">
        <f t="shared" si="68"/>
        <v>1</v>
      </c>
      <c r="J221" s="9" t="str">
        <f t="shared" si="69"/>
        <v>Valid</v>
      </c>
      <c r="K221" t="s">
        <v>1167</v>
      </c>
      <c r="L221" t="s">
        <v>147</v>
      </c>
      <c r="M221" t="s">
        <v>147</v>
      </c>
      <c r="N221" t="s">
        <v>25</v>
      </c>
      <c r="O221" s="3" t="str">
        <f t="shared" si="70"/>
        <v>Consumer</v>
      </c>
      <c r="P221" t="s">
        <v>41</v>
      </c>
      <c r="Q221" s="3" t="str">
        <f t="shared" si="71"/>
        <v>East</v>
      </c>
      <c r="R221" t="s">
        <v>185</v>
      </c>
      <c r="S221" t="s">
        <v>186</v>
      </c>
      <c r="T221" t="s">
        <v>85</v>
      </c>
      <c r="U221" s="3" t="str">
        <f t="shared" si="72"/>
        <v>Technology</v>
      </c>
      <c r="V221" t="s">
        <v>381</v>
      </c>
      <c r="W221" t="s">
        <v>1168</v>
      </c>
      <c r="X221" t="s">
        <v>55</v>
      </c>
      <c r="Y221" s="3" t="str">
        <f t="shared" si="73"/>
        <v>First Class</v>
      </c>
      <c r="Z221">
        <v>2</v>
      </c>
      <c r="AA221">
        <v>121.49</v>
      </c>
      <c r="AB221" t="s">
        <v>1169</v>
      </c>
      <c r="AC221" t="str">
        <f t="shared" si="74"/>
        <v>85%</v>
      </c>
      <c r="AD221" t="str">
        <f t="shared" si="77"/>
        <v>Valid</v>
      </c>
      <c r="AE221">
        <v>242.98</v>
      </c>
      <c r="AF221">
        <v>161.41999999999999</v>
      </c>
      <c r="AG221">
        <v>81.56</v>
      </c>
      <c r="AH221" t="s">
        <v>33</v>
      </c>
      <c r="AI221" t="str">
        <f t="shared" si="78"/>
        <v>Include</v>
      </c>
      <c r="AJ221" t="str">
        <f t="shared" si="79"/>
        <v/>
      </c>
      <c r="AK221" t="s">
        <v>34</v>
      </c>
      <c r="AL221" t="str">
        <f t="shared" si="75"/>
        <v>Completed</v>
      </c>
      <c r="AM221" t="str">
        <f t="shared" si="80"/>
        <v>Include</v>
      </c>
      <c r="AN221">
        <f t="shared" si="81"/>
        <v>36.447000000000003</v>
      </c>
      <c r="AO221">
        <f t="shared" si="82"/>
        <v>-124.97299999999998</v>
      </c>
      <c r="AP221">
        <f>IF(AN221=0,0,AO221/AN221)</f>
        <v>-3.4288967541910162</v>
      </c>
      <c r="AQ221" t="str">
        <f t="shared" si="83"/>
        <v>June</v>
      </c>
      <c r="AR221">
        <f t="shared" si="84"/>
        <v>2024</v>
      </c>
      <c r="AS221" t="str">
        <f t="shared" si="85"/>
        <v>Invalid</v>
      </c>
      <c r="AT221" t="str">
        <f>IF(OR(AC221&lt;0,AC221&gt;0.5),"Invalid Discount","Valid")</f>
        <v>Invalid Discount</v>
      </c>
      <c r="AU221" t="str">
        <f>IF(G221&lt;E221,"Invalid Shipping Record","Valid")</f>
        <v>Valid</v>
      </c>
      <c r="AV221" t="str">
        <f>IF(OR(AL221="Cancelled",AH221="Failed"),"Exclude","Include")</f>
        <v>Include</v>
      </c>
      <c r="AW221" t="str">
        <f t="shared" si="86"/>
        <v>Mismatch</v>
      </c>
      <c r="AX221" t="str">
        <f t="shared" si="87"/>
        <v>Mismatch</v>
      </c>
    </row>
    <row r="222" spans="1:50">
      <c r="A222" t="s">
        <v>1170</v>
      </c>
      <c r="B222">
        <f t="shared" si="88"/>
        <v>1</v>
      </c>
      <c r="C222" t="str">
        <f t="shared" si="76"/>
        <v/>
      </c>
      <c r="D222" s="3" t="s">
        <v>1171</v>
      </c>
      <c r="E222" s="7">
        <v>45538</v>
      </c>
      <c r="F222" s="3" t="s">
        <v>1171</v>
      </c>
      <c r="G222" s="7">
        <v>45538</v>
      </c>
      <c r="H222" s="7" t="str">
        <f t="shared" si="67"/>
        <v>Valid</v>
      </c>
      <c r="I222" s="9">
        <f t="shared" si="68"/>
        <v>0</v>
      </c>
      <c r="J222" s="9" t="str">
        <f t="shared" si="69"/>
        <v>Valid</v>
      </c>
      <c r="K222" t="s">
        <v>1172</v>
      </c>
      <c r="L222" t="s">
        <v>167</v>
      </c>
      <c r="M222" t="s">
        <v>167</v>
      </c>
      <c r="N222" t="s">
        <v>25</v>
      </c>
      <c r="O222" s="3" t="str">
        <f t="shared" si="70"/>
        <v>Consumer</v>
      </c>
      <c r="P222" t="s">
        <v>61</v>
      </c>
      <c r="Q222" s="3" t="str">
        <f t="shared" si="71"/>
        <v>South</v>
      </c>
      <c r="R222" t="s">
        <v>241</v>
      </c>
      <c r="S222" t="s">
        <v>242</v>
      </c>
      <c r="T222" t="s">
        <v>29</v>
      </c>
      <c r="U222" s="3" t="str">
        <f t="shared" si="72"/>
        <v>Office Supplies</v>
      </c>
      <c r="V222" t="s">
        <v>155</v>
      </c>
      <c r="W222" t="s">
        <v>1173</v>
      </c>
      <c r="X222" t="s">
        <v>55</v>
      </c>
      <c r="Y222" s="3" t="str">
        <f t="shared" si="73"/>
        <v>First Class</v>
      </c>
      <c r="Z222">
        <v>4</v>
      </c>
      <c r="AA222">
        <v>2810.17</v>
      </c>
      <c r="AB222">
        <v>0.15</v>
      </c>
      <c r="AC222">
        <f t="shared" si="74"/>
        <v>0.15</v>
      </c>
      <c r="AD222" t="str">
        <f t="shared" si="77"/>
        <v>Valid</v>
      </c>
      <c r="AE222">
        <v>9554.58</v>
      </c>
      <c r="AF222">
        <v>6068.47</v>
      </c>
      <c r="AG222">
        <v>3486.11</v>
      </c>
      <c r="AH222" t="s">
        <v>123</v>
      </c>
      <c r="AI222" t="str">
        <f t="shared" si="78"/>
        <v>Exclude</v>
      </c>
      <c r="AJ222" t="str">
        <f t="shared" si="79"/>
        <v>Refunded Order</v>
      </c>
      <c r="AK222" t="s">
        <v>77</v>
      </c>
      <c r="AL222" t="str">
        <f t="shared" si="75"/>
        <v>Cancelled</v>
      </c>
      <c r="AM222" t="str">
        <f t="shared" si="80"/>
        <v>Exclude</v>
      </c>
      <c r="AN222">
        <f t="shared" si="81"/>
        <v>9554.5779999999995</v>
      </c>
      <c r="AO222">
        <f t="shared" si="82"/>
        <v>3486.1079999999993</v>
      </c>
      <c r="AP222">
        <f>IF(AN222=0,0,AO222/AN222)</f>
        <v>0.36486258210462036</v>
      </c>
      <c r="AQ222" t="str">
        <f t="shared" si="83"/>
        <v>September</v>
      </c>
      <c r="AR222">
        <f t="shared" si="84"/>
        <v>2024</v>
      </c>
      <c r="AS222" t="str">
        <f t="shared" si="85"/>
        <v>Clean</v>
      </c>
      <c r="AT222" t="str">
        <f>IF(OR(AC222&lt;0,AC222&gt;0.5),"Invalid Discount","Valid")</f>
        <v>Valid</v>
      </c>
      <c r="AU222" t="str">
        <f>IF(G222&lt;E222,"Invalid Shipping Record","Valid")</f>
        <v>Valid</v>
      </c>
      <c r="AV222" t="str">
        <f>IF(OR(AL222="Cancelled",AH222="Failed"),"Exclude","Include")</f>
        <v>Exclude</v>
      </c>
      <c r="AW222" t="str">
        <f t="shared" si="86"/>
        <v>Match</v>
      </c>
      <c r="AX222" t="str">
        <f t="shared" si="87"/>
        <v>Match</v>
      </c>
    </row>
    <row r="223" spans="1:50">
      <c r="A223" t="s">
        <v>1174</v>
      </c>
      <c r="B223">
        <f t="shared" si="88"/>
        <v>1</v>
      </c>
      <c r="C223" t="str">
        <f t="shared" si="76"/>
        <v/>
      </c>
      <c r="D223" s="3" t="s">
        <v>1175</v>
      </c>
      <c r="E223" s="7">
        <v>45669</v>
      </c>
      <c r="F223" s="3" t="s">
        <v>1176</v>
      </c>
      <c r="G223" s="7">
        <v>45672</v>
      </c>
      <c r="H223" s="7" t="str">
        <f t="shared" si="67"/>
        <v>Valid</v>
      </c>
      <c r="I223" s="9">
        <f t="shared" si="68"/>
        <v>3</v>
      </c>
      <c r="J223" s="9" t="str">
        <f t="shared" si="69"/>
        <v>Valid</v>
      </c>
      <c r="K223" t="s">
        <v>1177</v>
      </c>
      <c r="L223" t="s">
        <v>39</v>
      </c>
      <c r="M223" t="s">
        <v>39</v>
      </c>
      <c r="N223" t="s">
        <v>107</v>
      </c>
      <c r="O223" s="3" t="str">
        <f t="shared" si="70"/>
        <v>Corporate</v>
      </c>
      <c r="P223" t="s">
        <v>61</v>
      </c>
      <c r="Q223" s="3" t="str">
        <f t="shared" si="71"/>
        <v>South</v>
      </c>
      <c r="R223" t="s">
        <v>228</v>
      </c>
      <c r="S223" t="s">
        <v>229</v>
      </c>
      <c r="T223" t="s">
        <v>44</v>
      </c>
      <c r="U223" s="3" t="str">
        <f t="shared" si="72"/>
        <v>Furniture</v>
      </c>
      <c r="V223" t="s">
        <v>75</v>
      </c>
      <c r="W223" t="s">
        <v>1178</v>
      </c>
      <c r="X223" t="s">
        <v>47</v>
      </c>
      <c r="Y223" s="3" t="str">
        <f t="shared" si="73"/>
        <v>Same Day</v>
      </c>
      <c r="Z223">
        <v>4</v>
      </c>
      <c r="AA223">
        <v>1531.53</v>
      </c>
      <c r="AB223">
        <v>0.2</v>
      </c>
      <c r="AC223">
        <f t="shared" si="74"/>
        <v>0.2</v>
      </c>
      <c r="AD223" t="str">
        <f t="shared" si="77"/>
        <v>Valid</v>
      </c>
      <c r="AE223">
        <v>4900.8999999999996</v>
      </c>
      <c r="AF223">
        <v>3552.69</v>
      </c>
      <c r="AG223">
        <v>1348.21</v>
      </c>
      <c r="AH223" t="s">
        <v>33</v>
      </c>
      <c r="AI223" t="str">
        <f t="shared" si="78"/>
        <v>Include</v>
      </c>
      <c r="AJ223" t="str">
        <f t="shared" si="79"/>
        <v/>
      </c>
      <c r="AK223" t="s">
        <v>34</v>
      </c>
      <c r="AL223" t="str">
        <f t="shared" si="75"/>
        <v>Completed</v>
      </c>
      <c r="AM223" t="str">
        <f t="shared" si="80"/>
        <v>Include</v>
      </c>
      <c r="AN223">
        <f t="shared" si="81"/>
        <v>4900.8959999999997</v>
      </c>
      <c r="AO223">
        <f t="shared" si="82"/>
        <v>1348.2059999999997</v>
      </c>
      <c r="AP223">
        <f>IF(AN223=0,0,AO223/AN223)</f>
        <v>0.27509377877024932</v>
      </c>
      <c r="AQ223" t="str">
        <f t="shared" si="83"/>
        <v>January</v>
      </c>
      <c r="AR223">
        <f t="shared" si="84"/>
        <v>2025</v>
      </c>
      <c r="AS223" t="str">
        <f t="shared" si="85"/>
        <v>Clean</v>
      </c>
      <c r="AT223" t="str">
        <f>IF(OR(AC223&lt;0,AC223&gt;0.5),"Invalid Discount","Valid")</f>
        <v>Valid</v>
      </c>
      <c r="AU223" t="str">
        <f>IF(G223&lt;E223,"Invalid Shipping Record","Valid")</f>
        <v>Valid</v>
      </c>
      <c r="AV223" t="str">
        <f>IF(OR(AL223="Cancelled",AH223="Failed"),"Exclude","Include")</f>
        <v>Include</v>
      </c>
      <c r="AW223" t="str">
        <f t="shared" si="86"/>
        <v>Match</v>
      </c>
      <c r="AX223" t="str">
        <f t="shared" si="87"/>
        <v>Match</v>
      </c>
    </row>
    <row r="224" spans="1:50">
      <c r="A224" t="s">
        <v>1179</v>
      </c>
      <c r="B224">
        <f t="shared" si="88"/>
        <v>1</v>
      </c>
      <c r="C224" t="str">
        <f t="shared" si="76"/>
        <v/>
      </c>
      <c r="D224" s="3" t="s">
        <v>1180</v>
      </c>
      <c r="E224" s="7">
        <v>45776</v>
      </c>
      <c r="F224" s="3" t="s">
        <v>1012</v>
      </c>
      <c r="G224" s="7">
        <v>45779</v>
      </c>
      <c r="H224" s="7" t="str">
        <f t="shared" si="67"/>
        <v>Valid</v>
      </c>
      <c r="I224" s="9">
        <f t="shared" si="68"/>
        <v>3</v>
      </c>
      <c r="J224" s="9" t="str">
        <f t="shared" si="69"/>
        <v>Valid</v>
      </c>
      <c r="K224" t="s">
        <v>1181</v>
      </c>
      <c r="L224" t="s">
        <v>82</v>
      </c>
      <c r="M224" t="s">
        <v>82</v>
      </c>
      <c r="N224" t="s">
        <v>40</v>
      </c>
      <c r="O224" s="3" t="str">
        <f t="shared" si="70"/>
        <v>Small Business</v>
      </c>
      <c r="P224" t="s">
        <v>72</v>
      </c>
      <c r="Q224" s="3" t="str">
        <f t="shared" si="71"/>
        <v>West</v>
      </c>
      <c r="R224" t="s">
        <v>248</v>
      </c>
      <c r="S224" t="s">
        <v>249</v>
      </c>
      <c r="T224" t="s">
        <v>29</v>
      </c>
      <c r="U224" s="3" t="str">
        <f t="shared" si="72"/>
        <v>Office Supplies</v>
      </c>
      <c r="V224" t="s">
        <v>155</v>
      </c>
      <c r="W224" t="s">
        <v>1182</v>
      </c>
      <c r="X224" t="s">
        <v>55</v>
      </c>
      <c r="Y224" s="3" t="str">
        <f t="shared" si="73"/>
        <v>First Class</v>
      </c>
      <c r="Z224">
        <v>6</v>
      </c>
      <c r="AA224">
        <v>4308.09</v>
      </c>
      <c r="AB224">
        <v>0</v>
      </c>
      <c r="AC224">
        <f t="shared" si="74"/>
        <v>0</v>
      </c>
      <c r="AD224" t="str">
        <f t="shared" si="77"/>
        <v>Valid</v>
      </c>
      <c r="AE224">
        <v>25848.54</v>
      </c>
      <c r="AF224">
        <v>17729.09</v>
      </c>
      <c r="AG224">
        <v>8119.45</v>
      </c>
      <c r="AH224" t="s">
        <v>33</v>
      </c>
      <c r="AI224" t="str">
        <f t="shared" si="78"/>
        <v>Include</v>
      </c>
      <c r="AJ224" t="str">
        <f t="shared" si="79"/>
        <v/>
      </c>
      <c r="AK224" t="s">
        <v>34</v>
      </c>
      <c r="AL224" t="str">
        <f t="shared" si="75"/>
        <v>Completed</v>
      </c>
      <c r="AM224" t="str">
        <f t="shared" si="80"/>
        <v>Include</v>
      </c>
      <c r="AN224">
        <f t="shared" si="81"/>
        <v>25848.54</v>
      </c>
      <c r="AO224">
        <f t="shared" si="82"/>
        <v>8119.4500000000007</v>
      </c>
      <c r="AP224">
        <f>IF(AN224=0,0,AO224/AN224)</f>
        <v>0.31411638723115504</v>
      </c>
      <c r="AQ224" t="str">
        <f t="shared" si="83"/>
        <v>April</v>
      </c>
      <c r="AR224">
        <f t="shared" si="84"/>
        <v>2025</v>
      </c>
      <c r="AS224" t="str">
        <f t="shared" si="85"/>
        <v>Clean</v>
      </c>
      <c r="AT224" t="str">
        <f>IF(OR(AC224&lt;0,AC224&gt;0.5),"Invalid Discount","Valid")</f>
        <v>Valid</v>
      </c>
      <c r="AU224" t="str">
        <f>IF(G224&lt;E224,"Invalid Shipping Record","Valid")</f>
        <v>Valid</v>
      </c>
      <c r="AV224" t="str">
        <f>IF(OR(AL224="Cancelled",AH224="Failed"),"Exclude","Include")</f>
        <v>Include</v>
      </c>
      <c r="AW224" t="str">
        <f t="shared" si="86"/>
        <v>Match</v>
      </c>
      <c r="AX224" t="str">
        <f t="shared" si="87"/>
        <v>Match</v>
      </c>
    </row>
    <row r="225" spans="1:50">
      <c r="A225" t="s">
        <v>1183</v>
      </c>
      <c r="B225">
        <f t="shared" si="88"/>
        <v>1</v>
      </c>
      <c r="C225" t="str">
        <f t="shared" si="76"/>
        <v/>
      </c>
      <c r="D225" s="3" t="s">
        <v>1184</v>
      </c>
      <c r="E225" s="7">
        <v>45707</v>
      </c>
      <c r="F225" s="3" t="s">
        <v>1185</v>
      </c>
      <c r="G225" s="7">
        <v>45714</v>
      </c>
      <c r="H225" s="7" t="str">
        <f t="shared" si="67"/>
        <v>Valid</v>
      </c>
      <c r="I225" s="9">
        <f t="shared" si="68"/>
        <v>7</v>
      </c>
      <c r="J225" s="9" t="str">
        <f t="shared" si="69"/>
        <v>Valid</v>
      </c>
      <c r="K225" t="s">
        <v>1186</v>
      </c>
      <c r="L225" t="s">
        <v>39</v>
      </c>
      <c r="M225" t="s">
        <v>39</v>
      </c>
      <c r="N225" t="s">
        <v>107</v>
      </c>
      <c r="O225" s="3" t="str">
        <f t="shared" si="70"/>
        <v>Corporate</v>
      </c>
      <c r="P225" t="s">
        <v>72</v>
      </c>
      <c r="Q225" s="3" t="str">
        <f t="shared" si="71"/>
        <v>West</v>
      </c>
      <c r="R225" t="s">
        <v>73</v>
      </c>
      <c r="S225" t="s">
        <v>74</v>
      </c>
      <c r="T225" t="s">
        <v>44</v>
      </c>
      <c r="U225" s="3" t="str">
        <f t="shared" si="72"/>
        <v>Furniture</v>
      </c>
      <c r="V225" t="s">
        <v>64</v>
      </c>
      <c r="W225" t="s">
        <v>1187</v>
      </c>
      <c r="X225" t="s">
        <v>55</v>
      </c>
      <c r="Y225" s="3" t="str">
        <f t="shared" si="73"/>
        <v>First Class</v>
      </c>
      <c r="Z225">
        <v>3</v>
      </c>
      <c r="AA225">
        <v>490.3</v>
      </c>
      <c r="AB225">
        <v>0.2</v>
      </c>
      <c r="AC225">
        <f t="shared" si="74"/>
        <v>0.2</v>
      </c>
      <c r="AD225" t="str">
        <f t="shared" si="77"/>
        <v>Valid</v>
      </c>
      <c r="AE225">
        <v>1176.72</v>
      </c>
      <c r="AF225">
        <v>654.33000000000004</v>
      </c>
      <c r="AG225">
        <v>522.39</v>
      </c>
      <c r="AH225" t="s">
        <v>136</v>
      </c>
      <c r="AI225" t="str">
        <f t="shared" si="78"/>
        <v>Include</v>
      </c>
      <c r="AJ225" t="str">
        <f t="shared" si="79"/>
        <v/>
      </c>
      <c r="AK225" t="s">
        <v>124</v>
      </c>
      <c r="AL225" t="str">
        <f t="shared" si="75"/>
        <v>Returned</v>
      </c>
      <c r="AM225" t="str">
        <f t="shared" si="80"/>
        <v>Include</v>
      </c>
      <c r="AN225">
        <f t="shared" si="81"/>
        <v>1176.72</v>
      </c>
      <c r="AO225">
        <f t="shared" si="82"/>
        <v>522.39</v>
      </c>
      <c r="AP225">
        <f>IF(AN225=0,0,AO225/AN225)</f>
        <v>0.44393738527432181</v>
      </c>
      <c r="AQ225" t="str">
        <f t="shared" si="83"/>
        <v>February</v>
      </c>
      <c r="AR225">
        <f t="shared" si="84"/>
        <v>2025</v>
      </c>
      <c r="AS225" t="str">
        <f t="shared" si="85"/>
        <v>Clean</v>
      </c>
      <c r="AT225" t="str">
        <f>IF(OR(AC225&lt;0,AC225&gt;0.5),"Invalid Discount","Valid")</f>
        <v>Valid</v>
      </c>
      <c r="AU225" t="str">
        <f>IF(G225&lt;E225,"Invalid Shipping Record","Valid")</f>
        <v>Valid</v>
      </c>
      <c r="AV225" t="str">
        <f>IF(OR(AL225="Cancelled",AH225="Failed"),"Exclude","Include")</f>
        <v>Include</v>
      </c>
      <c r="AW225" t="str">
        <f t="shared" si="86"/>
        <v>Match</v>
      </c>
      <c r="AX225" t="str">
        <f t="shared" si="87"/>
        <v>Match</v>
      </c>
    </row>
    <row r="226" spans="1:50">
      <c r="A226" t="s">
        <v>1407</v>
      </c>
      <c r="B226">
        <f t="shared" si="88"/>
        <v>2</v>
      </c>
      <c r="C226" t="str">
        <f t="shared" si="76"/>
        <v>Review Required</v>
      </c>
      <c r="D226" s="3" t="s">
        <v>1408</v>
      </c>
      <c r="E226" s="7">
        <v>45522</v>
      </c>
      <c r="F226" s="3" t="s">
        <v>1409</v>
      </c>
      <c r="G226" s="7">
        <v>45528</v>
      </c>
      <c r="H226" s="7" t="str">
        <f t="shared" si="67"/>
        <v>Valid</v>
      </c>
      <c r="I226" s="9">
        <f t="shared" si="68"/>
        <v>6</v>
      </c>
      <c r="J226" s="9" t="str">
        <f t="shared" si="69"/>
        <v>Valid</v>
      </c>
      <c r="K226" t="s">
        <v>1410</v>
      </c>
      <c r="L226" t="s">
        <v>60</v>
      </c>
      <c r="M226" t="s">
        <v>60</v>
      </c>
      <c r="N226" t="s">
        <v>25</v>
      </c>
      <c r="O226" s="3" t="str">
        <f t="shared" si="70"/>
        <v>Consumer</v>
      </c>
      <c r="P226" t="s">
        <v>61</v>
      </c>
      <c r="Q226" s="3" t="str">
        <f t="shared" si="71"/>
        <v>South</v>
      </c>
      <c r="R226" t="s">
        <v>99</v>
      </c>
      <c r="S226" t="s">
        <v>100</v>
      </c>
      <c r="T226" t="s">
        <v>44</v>
      </c>
      <c r="U226" s="3" t="str">
        <f t="shared" si="72"/>
        <v>Furniture</v>
      </c>
      <c r="V226" t="s">
        <v>75</v>
      </c>
      <c r="W226" t="s">
        <v>1411</v>
      </c>
      <c r="X226" t="s">
        <v>55</v>
      </c>
      <c r="Y226" s="3" t="str">
        <f t="shared" si="73"/>
        <v>First Class</v>
      </c>
      <c r="Z226">
        <v>7</v>
      </c>
      <c r="AA226">
        <v>557.21</v>
      </c>
      <c r="AB226">
        <v>0.1</v>
      </c>
      <c r="AC226">
        <f t="shared" si="74"/>
        <v>0.1</v>
      </c>
      <c r="AD226" t="str">
        <f t="shared" si="77"/>
        <v>Valid</v>
      </c>
      <c r="AE226">
        <v>3510.42</v>
      </c>
      <c r="AF226">
        <v>2191.5</v>
      </c>
      <c r="AG226">
        <v>1213.48</v>
      </c>
      <c r="AH226" t="s">
        <v>33</v>
      </c>
      <c r="AI226" t="str">
        <f t="shared" si="78"/>
        <v>Include</v>
      </c>
      <c r="AJ226" t="str">
        <f t="shared" si="79"/>
        <v/>
      </c>
      <c r="AK226" t="s">
        <v>34</v>
      </c>
      <c r="AL226" t="str">
        <f t="shared" si="75"/>
        <v>Completed</v>
      </c>
      <c r="AM226" t="str">
        <f t="shared" si="80"/>
        <v>Include</v>
      </c>
      <c r="AN226">
        <f t="shared" si="81"/>
        <v>3510.4230000000002</v>
      </c>
      <c r="AO226">
        <f t="shared" si="82"/>
        <v>1318.9230000000002</v>
      </c>
      <c r="AP226">
        <f>IF(AN226=0,0,AO226/AN226)</f>
        <v>0.37571625983535323</v>
      </c>
      <c r="AQ226" t="str">
        <f t="shared" si="83"/>
        <v>August</v>
      </c>
      <c r="AR226">
        <f t="shared" si="84"/>
        <v>2024</v>
      </c>
      <c r="AS226" t="str">
        <f t="shared" si="85"/>
        <v>Clean</v>
      </c>
      <c r="AT226" t="str">
        <f>IF(OR(AC226&lt;0,AC226&gt;0.5),"Invalid Discount","Valid")</f>
        <v>Valid</v>
      </c>
      <c r="AU226" t="str">
        <f>IF(G226&lt;E226,"Invalid Shipping Record","Valid")</f>
        <v>Valid</v>
      </c>
      <c r="AV226" t="str">
        <f>IF(OR(AL226="Cancelled",AH226="Failed"),"Exclude","Include")</f>
        <v>Include</v>
      </c>
      <c r="AW226" t="str">
        <f t="shared" si="86"/>
        <v>Match</v>
      </c>
      <c r="AX226" t="str">
        <f t="shared" si="87"/>
        <v>Mismatch</v>
      </c>
    </row>
    <row r="227" spans="1:50">
      <c r="A227" t="s">
        <v>1193</v>
      </c>
      <c r="B227">
        <f t="shared" si="88"/>
        <v>1</v>
      </c>
      <c r="C227" t="str">
        <f t="shared" si="76"/>
        <v/>
      </c>
      <c r="D227" s="3" t="s">
        <v>1194</v>
      </c>
      <c r="E227" s="7">
        <v>45537</v>
      </c>
      <c r="F227" s="3" t="s">
        <v>1195</v>
      </c>
      <c r="G227" s="7">
        <v>45545</v>
      </c>
      <c r="H227" s="7" t="str">
        <f t="shared" si="67"/>
        <v>Valid</v>
      </c>
      <c r="I227" s="9">
        <f t="shared" si="68"/>
        <v>8</v>
      </c>
      <c r="J227" s="9" t="str">
        <f t="shared" si="69"/>
        <v>Valid</v>
      </c>
      <c r="K227" t="s">
        <v>1196</v>
      </c>
      <c r="L227" t="s">
        <v>39</v>
      </c>
      <c r="M227" t="s">
        <v>39</v>
      </c>
      <c r="N227" t="s">
        <v>107</v>
      </c>
      <c r="O227" s="3" t="str">
        <f t="shared" si="70"/>
        <v>Corporate</v>
      </c>
      <c r="P227" t="s">
        <v>72</v>
      </c>
      <c r="Q227" s="3" t="str">
        <f t="shared" si="71"/>
        <v>West</v>
      </c>
      <c r="R227" t="s">
        <v>248</v>
      </c>
      <c r="S227" t="s">
        <v>249</v>
      </c>
      <c r="T227" t="s">
        <v>85</v>
      </c>
      <c r="U227" s="3" t="str">
        <f t="shared" si="72"/>
        <v>Technology</v>
      </c>
      <c r="V227" t="s">
        <v>222</v>
      </c>
      <c r="W227" t="s">
        <v>1197</v>
      </c>
      <c r="X227" t="s">
        <v>66</v>
      </c>
      <c r="Y227" s="3" t="str">
        <f t="shared" si="73"/>
        <v>Standard Class</v>
      </c>
      <c r="Z227">
        <v>6</v>
      </c>
      <c r="AA227">
        <v>1032.47</v>
      </c>
      <c r="AB227">
        <v>0.15</v>
      </c>
      <c r="AC227">
        <f t="shared" si="74"/>
        <v>0.15</v>
      </c>
      <c r="AD227" t="str">
        <f t="shared" si="77"/>
        <v>Valid</v>
      </c>
      <c r="AE227">
        <v>5265.6</v>
      </c>
      <c r="AF227">
        <v>4293.1099999999997</v>
      </c>
      <c r="AG227">
        <v>787.57</v>
      </c>
      <c r="AH227" t="s">
        <v>33</v>
      </c>
      <c r="AI227" t="str">
        <f t="shared" si="78"/>
        <v>Include</v>
      </c>
      <c r="AJ227" t="str">
        <f t="shared" si="79"/>
        <v/>
      </c>
      <c r="AK227" t="s">
        <v>34</v>
      </c>
      <c r="AL227" t="str">
        <f t="shared" si="75"/>
        <v>Completed</v>
      </c>
      <c r="AM227" t="str">
        <f t="shared" si="80"/>
        <v>Include</v>
      </c>
      <c r="AN227">
        <f t="shared" si="81"/>
        <v>5265.5969999999998</v>
      </c>
      <c r="AO227">
        <f t="shared" si="82"/>
        <v>972.48700000000008</v>
      </c>
      <c r="AP227">
        <f>IF(AN227=0,0,AO227/AN227)</f>
        <v>0.18468694053114967</v>
      </c>
      <c r="AQ227" t="str">
        <f t="shared" si="83"/>
        <v>September</v>
      </c>
      <c r="AR227">
        <f t="shared" si="84"/>
        <v>2024</v>
      </c>
      <c r="AS227" t="str">
        <f t="shared" si="85"/>
        <v>Clean</v>
      </c>
      <c r="AT227" t="str">
        <f>IF(OR(AC227&lt;0,AC227&gt;0.5),"Invalid Discount","Valid")</f>
        <v>Valid</v>
      </c>
      <c r="AU227" t="str">
        <f>IF(G227&lt;E227,"Invalid Shipping Record","Valid")</f>
        <v>Valid</v>
      </c>
      <c r="AV227" t="str">
        <f>IF(OR(AL227="Cancelled",AH227="Failed"),"Exclude","Include")</f>
        <v>Include</v>
      </c>
      <c r="AW227" t="str">
        <f t="shared" si="86"/>
        <v>Match</v>
      </c>
      <c r="AX227" t="str">
        <f t="shared" si="87"/>
        <v>Mismatch</v>
      </c>
    </row>
    <row r="228" spans="1:50">
      <c r="A228" t="s">
        <v>1198</v>
      </c>
      <c r="B228">
        <f t="shared" si="88"/>
        <v>1</v>
      </c>
      <c r="C228" t="str">
        <f t="shared" si="76"/>
        <v/>
      </c>
      <c r="D228" s="3" t="s">
        <v>1199</v>
      </c>
      <c r="E228" s="7">
        <v>45757</v>
      </c>
      <c r="F228" s="3" t="s">
        <v>1152</v>
      </c>
      <c r="G228" s="7">
        <v>45762</v>
      </c>
      <c r="H228" s="7" t="str">
        <f t="shared" si="67"/>
        <v>Valid</v>
      </c>
      <c r="I228" s="9">
        <f t="shared" si="68"/>
        <v>5</v>
      </c>
      <c r="J228" s="9" t="str">
        <f t="shared" si="69"/>
        <v>Valid</v>
      </c>
      <c r="K228" t="s">
        <v>1200</v>
      </c>
      <c r="L228" t="s">
        <v>209</v>
      </c>
      <c r="M228" t="s">
        <v>209</v>
      </c>
      <c r="N228" t="s">
        <v>114</v>
      </c>
      <c r="O228" s="3" t="str">
        <f t="shared" si="70"/>
        <v>Home Office</v>
      </c>
      <c r="Q228" s="3" t="str">
        <f t="shared" si="71"/>
        <v>Unknown</v>
      </c>
      <c r="R228" t="s">
        <v>241</v>
      </c>
      <c r="S228" t="s">
        <v>242</v>
      </c>
      <c r="T228" t="s">
        <v>85</v>
      </c>
      <c r="U228" s="3" t="str">
        <f t="shared" si="72"/>
        <v>Technology</v>
      </c>
      <c r="V228" t="s">
        <v>93</v>
      </c>
      <c r="W228" t="s">
        <v>1201</v>
      </c>
      <c r="X228" t="s">
        <v>47</v>
      </c>
      <c r="Y228" s="3" t="str">
        <f t="shared" si="73"/>
        <v>Same Day</v>
      </c>
      <c r="Z228">
        <v>1</v>
      </c>
      <c r="AA228">
        <v>2208.27</v>
      </c>
      <c r="AB228">
        <v>0.1</v>
      </c>
      <c r="AC228">
        <f t="shared" si="74"/>
        <v>0.1</v>
      </c>
      <c r="AD228" t="str">
        <f t="shared" si="77"/>
        <v>Valid</v>
      </c>
      <c r="AE228">
        <v>1987.44</v>
      </c>
      <c r="AF228">
        <v>1110.23</v>
      </c>
      <c r="AG228">
        <v>877.21</v>
      </c>
      <c r="AH228" t="s">
        <v>33</v>
      </c>
      <c r="AI228" t="str">
        <f t="shared" si="78"/>
        <v>Include</v>
      </c>
      <c r="AJ228" t="str">
        <f t="shared" si="79"/>
        <v/>
      </c>
      <c r="AK228" t="s">
        <v>34</v>
      </c>
      <c r="AL228" t="str">
        <f t="shared" si="75"/>
        <v>Completed</v>
      </c>
      <c r="AM228" t="str">
        <f t="shared" si="80"/>
        <v>Include</v>
      </c>
      <c r="AN228">
        <f t="shared" si="81"/>
        <v>1987.443</v>
      </c>
      <c r="AO228">
        <f t="shared" si="82"/>
        <v>877.21299999999997</v>
      </c>
      <c r="AP228">
        <f>IF(AN228=0,0,AO228/AN228)</f>
        <v>0.44137768982556985</v>
      </c>
      <c r="AQ228" t="str">
        <f t="shared" si="83"/>
        <v>April</v>
      </c>
      <c r="AR228">
        <f t="shared" si="84"/>
        <v>2025</v>
      </c>
      <c r="AS228" t="str">
        <f t="shared" si="85"/>
        <v>Warning</v>
      </c>
      <c r="AT228" t="str">
        <f>IF(OR(AC228&lt;0,AC228&gt;0.5),"Invalid Discount","Valid")</f>
        <v>Valid</v>
      </c>
      <c r="AU228" t="str">
        <f>IF(G228&lt;E228,"Invalid Shipping Record","Valid")</f>
        <v>Valid</v>
      </c>
      <c r="AV228" t="str">
        <f>IF(OR(AL228="Cancelled",AH228="Failed"),"Exclude","Include")</f>
        <v>Include</v>
      </c>
      <c r="AW228" t="str">
        <f t="shared" si="86"/>
        <v>Match</v>
      </c>
      <c r="AX228" t="str">
        <f t="shared" si="87"/>
        <v>Match</v>
      </c>
    </row>
    <row r="229" spans="1:50">
      <c r="A229" t="s">
        <v>1202</v>
      </c>
      <c r="B229">
        <f t="shared" si="88"/>
        <v>1</v>
      </c>
      <c r="C229" t="str">
        <f t="shared" si="76"/>
        <v/>
      </c>
      <c r="D229" s="3" t="s">
        <v>1203</v>
      </c>
      <c r="E229" s="7">
        <v>45478</v>
      </c>
      <c r="F229" s="3" t="s">
        <v>1204</v>
      </c>
      <c r="G229" s="7">
        <v>45485</v>
      </c>
      <c r="H229" s="7" t="str">
        <f t="shared" si="67"/>
        <v>Valid</v>
      </c>
      <c r="I229" s="9">
        <f t="shared" si="68"/>
        <v>7</v>
      </c>
      <c r="J229" s="9" t="str">
        <f t="shared" si="69"/>
        <v>Valid</v>
      </c>
      <c r="K229" t="s">
        <v>1205</v>
      </c>
      <c r="L229" t="s">
        <v>71</v>
      </c>
      <c r="M229" t="s">
        <v>71</v>
      </c>
      <c r="N229" t="s">
        <v>1206</v>
      </c>
      <c r="O229" s="3" t="str">
        <f t="shared" si="70"/>
        <v>Small Business</v>
      </c>
      <c r="P229" t="s">
        <v>72</v>
      </c>
      <c r="Q229" s="3" t="str">
        <f t="shared" si="71"/>
        <v>West</v>
      </c>
      <c r="R229" t="s">
        <v>248</v>
      </c>
      <c r="S229" t="s">
        <v>249</v>
      </c>
      <c r="T229" t="s">
        <v>29</v>
      </c>
      <c r="U229" s="3" t="str">
        <f t="shared" si="72"/>
        <v>Office Supplies</v>
      </c>
      <c r="V229" t="s">
        <v>197</v>
      </c>
      <c r="W229" t="s">
        <v>1207</v>
      </c>
      <c r="X229" t="s">
        <v>55</v>
      </c>
      <c r="Y229" s="3" t="str">
        <f t="shared" si="73"/>
        <v>First Class</v>
      </c>
      <c r="Z229">
        <v>3</v>
      </c>
      <c r="AA229">
        <v>577.75</v>
      </c>
      <c r="AB229">
        <v>0.15</v>
      </c>
      <c r="AC229">
        <f t="shared" si="74"/>
        <v>0.15</v>
      </c>
      <c r="AD229" t="str">
        <f t="shared" si="77"/>
        <v>Valid</v>
      </c>
      <c r="AE229">
        <v>1473.26</v>
      </c>
      <c r="AF229">
        <v>899.86</v>
      </c>
      <c r="AG229">
        <v>573.4</v>
      </c>
      <c r="AH229" t="s">
        <v>33</v>
      </c>
      <c r="AI229" t="str">
        <f t="shared" si="78"/>
        <v>Include</v>
      </c>
      <c r="AJ229" t="str">
        <f t="shared" si="79"/>
        <v/>
      </c>
      <c r="AK229" t="s">
        <v>34</v>
      </c>
      <c r="AL229" t="str">
        <f t="shared" si="75"/>
        <v>Completed</v>
      </c>
      <c r="AM229" t="str">
        <f t="shared" si="80"/>
        <v>Include</v>
      </c>
      <c r="AN229">
        <f t="shared" si="81"/>
        <v>1473.2625</v>
      </c>
      <c r="AO229">
        <f t="shared" si="82"/>
        <v>573.40250000000003</v>
      </c>
      <c r="AP229">
        <f>IF(AN229=0,0,AO229/AN229)</f>
        <v>0.38920592901808065</v>
      </c>
      <c r="AQ229" t="str">
        <f t="shared" si="83"/>
        <v>July</v>
      </c>
      <c r="AR229">
        <f t="shared" si="84"/>
        <v>2024</v>
      </c>
      <c r="AS229" t="str">
        <f t="shared" si="85"/>
        <v>Clean</v>
      </c>
      <c r="AT229" t="str">
        <f>IF(OR(AC229&lt;0,AC229&gt;0.5),"Invalid Discount","Valid")</f>
        <v>Valid</v>
      </c>
      <c r="AU229" t="str">
        <f>IF(G229&lt;E229,"Invalid Shipping Record","Valid")</f>
        <v>Valid</v>
      </c>
      <c r="AV229" t="str">
        <f>IF(OR(AL229="Cancelled",AH229="Failed"),"Exclude","Include")</f>
        <v>Include</v>
      </c>
      <c r="AW229" t="str">
        <f t="shared" si="86"/>
        <v>Match</v>
      </c>
      <c r="AX229" t="str">
        <f t="shared" si="87"/>
        <v>Match</v>
      </c>
    </row>
    <row r="230" spans="1:50">
      <c r="A230" t="s">
        <v>1208</v>
      </c>
      <c r="B230">
        <f t="shared" si="88"/>
        <v>1</v>
      </c>
      <c r="C230" t="str">
        <f t="shared" si="76"/>
        <v/>
      </c>
      <c r="D230" s="3" t="s">
        <v>1209</v>
      </c>
      <c r="E230" s="7">
        <v>45406</v>
      </c>
      <c r="F230" s="3" t="s">
        <v>1210</v>
      </c>
      <c r="G230" s="7">
        <v>45410</v>
      </c>
      <c r="H230" s="7" t="str">
        <f t="shared" si="67"/>
        <v>Valid</v>
      </c>
      <c r="I230" s="9">
        <f t="shared" si="68"/>
        <v>4</v>
      </c>
      <c r="J230" s="9" t="str">
        <f t="shared" si="69"/>
        <v>Valid</v>
      </c>
      <c r="K230" t="s">
        <v>1211</v>
      </c>
      <c r="L230" t="s">
        <v>24</v>
      </c>
      <c r="M230" t="s">
        <v>24</v>
      </c>
      <c r="N230" t="s">
        <v>40</v>
      </c>
      <c r="O230" s="3" t="str">
        <f t="shared" si="70"/>
        <v>Small Business</v>
      </c>
      <c r="P230" t="s">
        <v>61</v>
      </c>
      <c r="Q230" s="3" t="str">
        <f t="shared" si="71"/>
        <v>South</v>
      </c>
      <c r="R230" t="s">
        <v>62</v>
      </c>
      <c r="S230" t="s">
        <v>63</v>
      </c>
      <c r="T230" t="s">
        <v>29</v>
      </c>
      <c r="U230" s="3" t="str">
        <f t="shared" si="72"/>
        <v>Office Supplies</v>
      </c>
      <c r="V230" t="s">
        <v>108</v>
      </c>
      <c r="W230" t="s">
        <v>1212</v>
      </c>
      <c r="X230" t="s">
        <v>32</v>
      </c>
      <c r="Y230" s="3" t="str">
        <f t="shared" si="73"/>
        <v>Second Class</v>
      </c>
      <c r="Z230">
        <v>1</v>
      </c>
      <c r="AA230">
        <v>3194.37</v>
      </c>
      <c r="AB230">
        <v>0.15</v>
      </c>
      <c r="AC230">
        <f t="shared" si="74"/>
        <v>0.15</v>
      </c>
      <c r="AD230" t="str">
        <f t="shared" si="77"/>
        <v>Valid</v>
      </c>
      <c r="AE230">
        <v>2715.21</v>
      </c>
      <c r="AF230">
        <v>1551.55</v>
      </c>
      <c r="AG230">
        <v>1163.6600000000001</v>
      </c>
      <c r="AH230" t="s">
        <v>33</v>
      </c>
      <c r="AI230" t="str">
        <f t="shared" si="78"/>
        <v>Include</v>
      </c>
      <c r="AJ230" t="str">
        <f t="shared" si="79"/>
        <v/>
      </c>
      <c r="AK230" t="s">
        <v>34</v>
      </c>
      <c r="AL230" t="str">
        <f t="shared" si="75"/>
        <v>Completed</v>
      </c>
      <c r="AM230" t="str">
        <f t="shared" si="80"/>
        <v>Include</v>
      </c>
      <c r="AN230">
        <f t="shared" si="81"/>
        <v>2715.2145</v>
      </c>
      <c r="AO230">
        <f t="shared" si="82"/>
        <v>1163.6645000000001</v>
      </c>
      <c r="AP230">
        <f>IF(AN230=0,0,AO230/AN230)</f>
        <v>0.42857184948003191</v>
      </c>
      <c r="AQ230" t="str">
        <f t="shared" si="83"/>
        <v>April</v>
      </c>
      <c r="AR230">
        <f t="shared" si="84"/>
        <v>2024</v>
      </c>
      <c r="AS230" t="str">
        <f t="shared" si="85"/>
        <v>Clean</v>
      </c>
      <c r="AT230" t="str">
        <f>IF(OR(AC230&lt;0,AC230&gt;0.5),"Invalid Discount","Valid")</f>
        <v>Valid</v>
      </c>
      <c r="AU230" t="str">
        <f>IF(G230&lt;E230,"Invalid Shipping Record","Valid")</f>
        <v>Valid</v>
      </c>
      <c r="AV230" t="str">
        <f>IF(OR(AL230="Cancelled",AH230="Failed"),"Exclude","Include")</f>
        <v>Include</v>
      </c>
      <c r="AW230" t="str">
        <f t="shared" si="86"/>
        <v>Match</v>
      </c>
      <c r="AX230" t="str">
        <f t="shared" si="87"/>
        <v>Match</v>
      </c>
    </row>
    <row r="231" spans="1:50">
      <c r="A231" t="s">
        <v>1213</v>
      </c>
      <c r="B231">
        <f t="shared" si="88"/>
        <v>1</v>
      </c>
      <c r="C231" t="str">
        <f t="shared" si="76"/>
        <v/>
      </c>
      <c r="D231" s="3" t="s">
        <v>1214</v>
      </c>
      <c r="E231" s="7">
        <v>45836</v>
      </c>
      <c r="F231" s="3" t="s">
        <v>1215</v>
      </c>
      <c r="G231" s="7">
        <v>45842</v>
      </c>
      <c r="H231" s="7" t="str">
        <f t="shared" si="67"/>
        <v>Valid</v>
      </c>
      <c r="I231" s="9">
        <f t="shared" si="68"/>
        <v>6</v>
      </c>
      <c r="J231" s="9" t="str">
        <f t="shared" si="69"/>
        <v>Valid</v>
      </c>
      <c r="K231" t="s">
        <v>1216</v>
      </c>
      <c r="L231" t="s">
        <v>179</v>
      </c>
      <c r="M231" t="s">
        <v>179</v>
      </c>
      <c r="N231" t="s">
        <v>25</v>
      </c>
      <c r="O231" s="3" t="str">
        <f t="shared" si="70"/>
        <v>Consumer</v>
      </c>
      <c r="P231" t="s">
        <v>61</v>
      </c>
      <c r="Q231" s="3" t="str">
        <f t="shared" si="71"/>
        <v>South</v>
      </c>
      <c r="R231" t="s">
        <v>62</v>
      </c>
      <c r="S231" t="s">
        <v>63</v>
      </c>
      <c r="T231" t="s">
        <v>44</v>
      </c>
      <c r="U231" s="3" t="str">
        <f t="shared" si="72"/>
        <v>Furniture</v>
      </c>
      <c r="V231" t="s">
        <v>203</v>
      </c>
      <c r="W231" t="s">
        <v>1217</v>
      </c>
      <c r="X231" t="s">
        <v>55</v>
      </c>
      <c r="Y231" s="3" t="str">
        <f t="shared" si="73"/>
        <v>First Class</v>
      </c>
      <c r="Z231">
        <v>3</v>
      </c>
      <c r="AA231">
        <v>2886.23</v>
      </c>
      <c r="AB231">
        <v>0</v>
      </c>
      <c r="AC231">
        <f t="shared" si="74"/>
        <v>0</v>
      </c>
      <c r="AD231" t="str">
        <f t="shared" si="77"/>
        <v>Valid</v>
      </c>
      <c r="AE231">
        <v>8658.69</v>
      </c>
      <c r="AF231">
        <v>5535.94</v>
      </c>
      <c r="AG231">
        <v>3122.75</v>
      </c>
      <c r="AH231" t="s">
        <v>123</v>
      </c>
      <c r="AI231" t="str">
        <f t="shared" si="78"/>
        <v>Include</v>
      </c>
      <c r="AJ231" t="str">
        <f t="shared" si="79"/>
        <v>Refunded Order</v>
      </c>
      <c r="AK231" t="s">
        <v>124</v>
      </c>
      <c r="AL231" t="str">
        <f t="shared" si="75"/>
        <v>Returned</v>
      </c>
      <c r="AM231" t="str">
        <f t="shared" si="80"/>
        <v>Include</v>
      </c>
      <c r="AN231">
        <f t="shared" si="81"/>
        <v>8658.69</v>
      </c>
      <c r="AO231">
        <f t="shared" si="82"/>
        <v>3122.7500000000009</v>
      </c>
      <c r="AP231">
        <f>IF(AN231=0,0,AO231/AN231)</f>
        <v>0.36064924370776652</v>
      </c>
      <c r="AQ231" t="str">
        <f t="shared" si="83"/>
        <v>June</v>
      </c>
      <c r="AR231">
        <f t="shared" si="84"/>
        <v>2025</v>
      </c>
      <c r="AS231" t="str">
        <f t="shared" si="85"/>
        <v>Clean</v>
      </c>
      <c r="AT231" t="str">
        <f>IF(OR(AC231&lt;0,AC231&gt;0.5),"Invalid Discount","Valid")</f>
        <v>Valid</v>
      </c>
      <c r="AU231" t="str">
        <f>IF(G231&lt;E231,"Invalid Shipping Record","Valid")</f>
        <v>Valid</v>
      </c>
      <c r="AV231" t="str">
        <f>IF(OR(AL231="Cancelled",AH231="Failed"),"Exclude","Include")</f>
        <v>Include</v>
      </c>
      <c r="AW231" t="str">
        <f t="shared" si="86"/>
        <v>Match</v>
      </c>
      <c r="AX231" t="str">
        <f t="shared" si="87"/>
        <v>Match</v>
      </c>
    </row>
    <row r="232" spans="1:50">
      <c r="A232" t="s">
        <v>1218</v>
      </c>
      <c r="B232">
        <f t="shared" si="88"/>
        <v>1</v>
      </c>
      <c r="C232" t="str">
        <f t="shared" si="76"/>
        <v/>
      </c>
      <c r="D232" s="3" t="s">
        <v>80</v>
      </c>
      <c r="E232" s="7">
        <v>45440</v>
      </c>
      <c r="F232" s="3" t="s">
        <v>1219</v>
      </c>
      <c r="G232" s="7">
        <v>45446</v>
      </c>
      <c r="H232" s="7" t="str">
        <f t="shared" si="67"/>
        <v>Valid</v>
      </c>
      <c r="I232" s="9">
        <f t="shared" si="68"/>
        <v>6</v>
      </c>
      <c r="J232" s="9" t="str">
        <f t="shared" si="69"/>
        <v>Valid</v>
      </c>
      <c r="K232" t="s">
        <v>1220</v>
      </c>
      <c r="L232" t="s">
        <v>92</v>
      </c>
      <c r="M232" t="s">
        <v>92</v>
      </c>
      <c r="N232" t="s">
        <v>40</v>
      </c>
      <c r="O232" s="3" t="str">
        <f t="shared" si="70"/>
        <v>Small Business</v>
      </c>
      <c r="P232" t="s">
        <v>26</v>
      </c>
      <c r="Q232" s="3" t="str">
        <f t="shared" si="71"/>
        <v>North</v>
      </c>
      <c r="R232" t="s">
        <v>27</v>
      </c>
      <c r="S232" t="s">
        <v>28</v>
      </c>
      <c r="T232" t="s">
        <v>29</v>
      </c>
      <c r="U232" s="3" t="str">
        <f t="shared" si="72"/>
        <v>Office Supplies</v>
      </c>
      <c r="V232" t="s">
        <v>30</v>
      </c>
      <c r="W232" t="s">
        <v>1221</v>
      </c>
      <c r="X232" t="s">
        <v>66</v>
      </c>
      <c r="Y232" s="3" t="str">
        <f t="shared" si="73"/>
        <v>Standard Class</v>
      </c>
      <c r="Z232">
        <v>8</v>
      </c>
      <c r="AA232">
        <v>1540.33</v>
      </c>
      <c r="AB232">
        <v>0.1</v>
      </c>
      <c r="AC232">
        <f t="shared" si="74"/>
        <v>0.1</v>
      </c>
      <c r="AD232" t="str">
        <f t="shared" si="77"/>
        <v>Valid</v>
      </c>
      <c r="AE232">
        <v>11090.38</v>
      </c>
      <c r="AF232">
        <v>8840.9500000000007</v>
      </c>
      <c r="AG232">
        <v>2249.4299999999998</v>
      </c>
      <c r="AH232" t="s">
        <v>33</v>
      </c>
      <c r="AI232" t="str">
        <f t="shared" si="78"/>
        <v>Include</v>
      </c>
      <c r="AJ232" t="str">
        <f t="shared" si="79"/>
        <v/>
      </c>
      <c r="AK232" t="s">
        <v>34</v>
      </c>
      <c r="AL232" t="str">
        <f t="shared" si="75"/>
        <v>Completed</v>
      </c>
      <c r="AM232" t="str">
        <f t="shared" si="80"/>
        <v>Include</v>
      </c>
      <c r="AN232">
        <f t="shared" si="81"/>
        <v>11090.376</v>
      </c>
      <c r="AO232">
        <f t="shared" si="82"/>
        <v>2249.4259999999995</v>
      </c>
      <c r="AP232">
        <f>IF(AN232=0,0,AO232/AN232)</f>
        <v>0.20282684734944958</v>
      </c>
      <c r="AQ232" t="str">
        <f t="shared" si="83"/>
        <v>May</v>
      </c>
      <c r="AR232">
        <f t="shared" si="84"/>
        <v>2024</v>
      </c>
      <c r="AS232" t="str">
        <f t="shared" si="85"/>
        <v>Clean</v>
      </c>
      <c r="AT232" t="str">
        <f>IF(OR(AC232&lt;0,AC232&gt;0.5),"Invalid Discount","Valid")</f>
        <v>Valid</v>
      </c>
      <c r="AU232" t="str">
        <f>IF(G232&lt;E232,"Invalid Shipping Record","Valid")</f>
        <v>Valid</v>
      </c>
      <c r="AV232" t="str">
        <f>IF(OR(AL232="Cancelled",AH232="Failed"),"Exclude","Include")</f>
        <v>Include</v>
      </c>
      <c r="AW232" t="str">
        <f t="shared" si="86"/>
        <v>Match</v>
      </c>
      <c r="AX232" t="str">
        <f t="shared" si="87"/>
        <v>Match</v>
      </c>
    </row>
    <row r="233" spans="1:50">
      <c r="A233" t="s">
        <v>1222</v>
      </c>
      <c r="B233">
        <f t="shared" si="88"/>
        <v>1</v>
      </c>
      <c r="C233" t="str">
        <f t="shared" si="76"/>
        <v/>
      </c>
      <c r="D233" s="3" t="s">
        <v>1223</v>
      </c>
      <c r="E233" s="7">
        <v>45414</v>
      </c>
      <c r="F233" s="3" t="s">
        <v>1224</v>
      </c>
      <c r="G233" s="7">
        <v>45414</v>
      </c>
      <c r="H233" s="7" t="str">
        <f t="shared" si="67"/>
        <v>Valid</v>
      </c>
      <c r="I233" s="9">
        <f t="shared" si="68"/>
        <v>0</v>
      </c>
      <c r="J233" s="9" t="str">
        <f t="shared" si="69"/>
        <v>Valid</v>
      </c>
      <c r="K233" t="s">
        <v>1225</v>
      </c>
      <c r="L233" t="s">
        <v>71</v>
      </c>
      <c r="M233" t="s">
        <v>71</v>
      </c>
      <c r="N233" t="s">
        <v>107</v>
      </c>
      <c r="O233" s="3" t="str">
        <f t="shared" si="70"/>
        <v>Corporate</v>
      </c>
      <c r="P233" t="s">
        <v>26</v>
      </c>
      <c r="Q233" s="3" t="str">
        <f t="shared" si="71"/>
        <v>North</v>
      </c>
      <c r="R233" t="s">
        <v>27</v>
      </c>
      <c r="S233" t="s">
        <v>28</v>
      </c>
      <c r="T233" t="s">
        <v>1226</v>
      </c>
      <c r="U233" s="3" t="str">
        <f t="shared" si="72"/>
        <v>Office Supplies</v>
      </c>
      <c r="V233" t="s">
        <v>108</v>
      </c>
      <c r="W233" t="s">
        <v>1227</v>
      </c>
      <c r="X233" t="s">
        <v>55</v>
      </c>
      <c r="Y233" s="3" t="str">
        <f t="shared" si="73"/>
        <v>First Class</v>
      </c>
      <c r="Z233">
        <v>7</v>
      </c>
      <c r="AA233">
        <v>2183.38</v>
      </c>
      <c r="AB233">
        <v>0.25</v>
      </c>
      <c r="AC233">
        <f t="shared" si="74"/>
        <v>0.25</v>
      </c>
      <c r="AD233" t="str">
        <f t="shared" si="77"/>
        <v>Valid</v>
      </c>
      <c r="AE233">
        <v>11462.74</v>
      </c>
      <c r="AF233">
        <v>7163.54</v>
      </c>
      <c r="AG233">
        <v>4299.2</v>
      </c>
      <c r="AH233" t="s">
        <v>123</v>
      </c>
      <c r="AI233" t="str">
        <f t="shared" si="78"/>
        <v>Exclude</v>
      </c>
      <c r="AJ233" t="str">
        <f t="shared" si="79"/>
        <v>Refunded Order</v>
      </c>
      <c r="AK233" t="s">
        <v>77</v>
      </c>
      <c r="AL233" t="str">
        <f t="shared" si="75"/>
        <v>Cancelled</v>
      </c>
      <c r="AM233" t="str">
        <f t="shared" si="80"/>
        <v>Exclude</v>
      </c>
      <c r="AN233">
        <f t="shared" si="81"/>
        <v>11462.744999999999</v>
      </c>
      <c r="AO233">
        <f t="shared" si="82"/>
        <v>4299.204999999999</v>
      </c>
      <c r="AP233">
        <f>IF(AN233=0,0,AO233/AN233)</f>
        <v>0.37505894094302888</v>
      </c>
      <c r="AQ233" t="str">
        <f t="shared" si="83"/>
        <v>May</v>
      </c>
      <c r="AR233">
        <f t="shared" si="84"/>
        <v>2024</v>
      </c>
      <c r="AS233" t="str">
        <f t="shared" si="85"/>
        <v>Clean</v>
      </c>
      <c r="AT233" t="str">
        <f>IF(OR(AC233&lt;0,AC233&gt;0.5),"Invalid Discount","Valid")</f>
        <v>Valid</v>
      </c>
      <c r="AU233" t="str">
        <f>IF(G233&lt;E233,"Invalid Shipping Record","Valid")</f>
        <v>Valid</v>
      </c>
      <c r="AV233" t="str">
        <f>IF(OR(AL233="Cancelled",AH233="Failed"),"Exclude","Include")</f>
        <v>Exclude</v>
      </c>
      <c r="AW233" t="str">
        <f t="shared" si="86"/>
        <v>Mismatch</v>
      </c>
      <c r="AX233" t="str">
        <f t="shared" si="87"/>
        <v>Mismatch</v>
      </c>
    </row>
    <row r="234" spans="1:50">
      <c r="A234" t="s">
        <v>1228</v>
      </c>
      <c r="B234">
        <f t="shared" si="88"/>
        <v>1</v>
      </c>
      <c r="C234" t="str">
        <f t="shared" si="76"/>
        <v/>
      </c>
      <c r="D234" s="3" t="s">
        <v>1229</v>
      </c>
      <c r="E234" s="7">
        <v>45812</v>
      </c>
      <c r="F234" s="3" t="s">
        <v>1230</v>
      </c>
      <c r="G234" s="7">
        <v>45818</v>
      </c>
      <c r="H234" s="7" t="str">
        <f t="shared" si="67"/>
        <v>Valid</v>
      </c>
      <c r="I234" s="9">
        <f t="shared" si="68"/>
        <v>6</v>
      </c>
      <c r="J234" s="9" t="str">
        <f t="shared" si="69"/>
        <v>Valid</v>
      </c>
      <c r="K234" t="s">
        <v>1231</v>
      </c>
      <c r="L234" t="s">
        <v>147</v>
      </c>
      <c r="M234" t="s">
        <v>147</v>
      </c>
      <c r="N234" t="s">
        <v>25</v>
      </c>
      <c r="O234" s="3" t="str">
        <f t="shared" si="70"/>
        <v>Consumer</v>
      </c>
      <c r="P234" t="s">
        <v>61</v>
      </c>
      <c r="Q234" s="3" t="str">
        <f t="shared" si="71"/>
        <v>South</v>
      </c>
      <c r="R234" t="s">
        <v>99</v>
      </c>
      <c r="S234" t="s">
        <v>100</v>
      </c>
      <c r="T234" t="s">
        <v>85</v>
      </c>
      <c r="U234" s="3" t="str">
        <f t="shared" si="72"/>
        <v>Technology</v>
      </c>
      <c r="V234" t="s">
        <v>222</v>
      </c>
      <c r="W234" t="s">
        <v>1232</v>
      </c>
      <c r="X234" t="s">
        <v>66</v>
      </c>
      <c r="Y234" s="3" t="str">
        <f t="shared" si="73"/>
        <v>Standard Class</v>
      </c>
      <c r="Z234">
        <v>4</v>
      </c>
      <c r="AA234">
        <v>223.37</v>
      </c>
      <c r="AB234">
        <v>0.25</v>
      </c>
      <c r="AC234">
        <f t="shared" si="74"/>
        <v>0.25</v>
      </c>
      <c r="AD234" t="str">
        <f t="shared" si="77"/>
        <v>Valid</v>
      </c>
      <c r="AE234">
        <v>670.11</v>
      </c>
      <c r="AF234">
        <v>559.57000000000005</v>
      </c>
      <c r="AG234">
        <v>110.54</v>
      </c>
      <c r="AH234" t="s">
        <v>33</v>
      </c>
      <c r="AI234" t="str">
        <f t="shared" si="78"/>
        <v>Include</v>
      </c>
      <c r="AJ234" t="str">
        <f t="shared" si="79"/>
        <v/>
      </c>
      <c r="AK234" t="s">
        <v>34</v>
      </c>
      <c r="AL234" t="str">
        <f t="shared" si="75"/>
        <v>Completed</v>
      </c>
      <c r="AM234" t="str">
        <f t="shared" si="80"/>
        <v>Include</v>
      </c>
      <c r="AN234">
        <f t="shared" si="81"/>
        <v>670.11</v>
      </c>
      <c r="AO234">
        <f t="shared" si="82"/>
        <v>110.53999999999996</v>
      </c>
      <c r="AP234">
        <f>IF(AN234=0,0,AO234/AN234)</f>
        <v>0.16495799197146732</v>
      </c>
      <c r="AQ234" t="str">
        <f t="shared" si="83"/>
        <v>June</v>
      </c>
      <c r="AR234">
        <f t="shared" si="84"/>
        <v>2025</v>
      </c>
      <c r="AS234" t="str">
        <f t="shared" si="85"/>
        <v>Clean</v>
      </c>
      <c r="AT234" t="str">
        <f>IF(OR(AC234&lt;0,AC234&gt;0.5),"Invalid Discount","Valid")</f>
        <v>Valid</v>
      </c>
      <c r="AU234" t="str">
        <f>IF(G234&lt;E234,"Invalid Shipping Record","Valid")</f>
        <v>Valid</v>
      </c>
      <c r="AV234" t="str">
        <f>IF(OR(AL234="Cancelled",AH234="Failed"),"Exclude","Include")</f>
        <v>Include</v>
      </c>
      <c r="AW234" t="str">
        <f t="shared" si="86"/>
        <v>Match</v>
      </c>
      <c r="AX234" t="str">
        <f t="shared" si="87"/>
        <v>Match</v>
      </c>
    </row>
    <row r="235" spans="1:50">
      <c r="A235" t="s">
        <v>1233</v>
      </c>
      <c r="B235">
        <f t="shared" si="88"/>
        <v>1</v>
      </c>
      <c r="C235" t="str">
        <f t="shared" si="76"/>
        <v/>
      </c>
      <c r="D235" s="3" t="s">
        <v>1234</v>
      </c>
      <c r="E235" s="7">
        <v>45579</v>
      </c>
      <c r="F235" s="3" t="s">
        <v>1235</v>
      </c>
      <c r="G235" s="7">
        <v>45579</v>
      </c>
      <c r="H235" s="7" t="str">
        <f t="shared" si="67"/>
        <v>Valid</v>
      </c>
      <c r="I235" s="9">
        <f t="shared" si="68"/>
        <v>0</v>
      </c>
      <c r="J235" s="9" t="str">
        <f t="shared" si="69"/>
        <v>Valid</v>
      </c>
      <c r="K235" t="s">
        <v>1236</v>
      </c>
      <c r="L235" t="s">
        <v>82</v>
      </c>
      <c r="M235" t="s">
        <v>82</v>
      </c>
      <c r="N235" t="s">
        <v>107</v>
      </c>
      <c r="O235" s="3" t="str">
        <f t="shared" si="70"/>
        <v>Corporate</v>
      </c>
      <c r="P235" t="s">
        <v>61</v>
      </c>
      <c r="Q235" s="3" t="str">
        <f t="shared" si="71"/>
        <v>South</v>
      </c>
      <c r="R235" t="s">
        <v>228</v>
      </c>
      <c r="S235" t="s">
        <v>229</v>
      </c>
      <c r="T235" t="s">
        <v>44</v>
      </c>
      <c r="U235" s="3" t="str">
        <f t="shared" si="72"/>
        <v>Furniture</v>
      </c>
      <c r="V235" t="s">
        <v>203</v>
      </c>
      <c r="W235" t="s">
        <v>1237</v>
      </c>
      <c r="Y235" s="3" t="str">
        <f t="shared" si="73"/>
        <v>Unknown</v>
      </c>
      <c r="Z235">
        <v>8</v>
      </c>
      <c r="AA235">
        <v>3904.59</v>
      </c>
      <c r="AB235">
        <v>0</v>
      </c>
      <c r="AC235">
        <f t="shared" si="74"/>
        <v>0</v>
      </c>
      <c r="AD235" t="str">
        <f t="shared" si="77"/>
        <v>Valid</v>
      </c>
      <c r="AE235">
        <v>31236.720000000001</v>
      </c>
      <c r="AF235">
        <v>26377.7</v>
      </c>
      <c r="AG235">
        <v>4859.0200000000004</v>
      </c>
      <c r="AH235" t="s">
        <v>33</v>
      </c>
      <c r="AI235" t="str">
        <f t="shared" si="78"/>
        <v>Include</v>
      </c>
      <c r="AJ235" t="str">
        <f t="shared" si="79"/>
        <v/>
      </c>
      <c r="AK235" t="s">
        <v>34</v>
      </c>
      <c r="AL235" t="str">
        <f t="shared" si="75"/>
        <v>Completed</v>
      </c>
      <c r="AM235" t="str">
        <f t="shared" si="80"/>
        <v>Include</v>
      </c>
      <c r="AN235">
        <f t="shared" si="81"/>
        <v>31236.720000000001</v>
      </c>
      <c r="AO235">
        <f t="shared" si="82"/>
        <v>4859.0200000000004</v>
      </c>
      <c r="AP235">
        <f>IF(AN235=0,0,AO235/AN235)</f>
        <v>0.15555474454424154</v>
      </c>
      <c r="AQ235" t="str">
        <f t="shared" si="83"/>
        <v>October</v>
      </c>
      <c r="AR235">
        <f t="shared" si="84"/>
        <v>2024</v>
      </c>
      <c r="AS235" t="str">
        <f t="shared" si="85"/>
        <v>Warning</v>
      </c>
      <c r="AT235" t="str">
        <f>IF(OR(AC235&lt;0,AC235&gt;0.5),"Invalid Discount","Valid")</f>
        <v>Valid</v>
      </c>
      <c r="AU235" t="str">
        <f>IF(G235&lt;E235,"Invalid Shipping Record","Valid")</f>
        <v>Valid</v>
      </c>
      <c r="AV235" t="str">
        <f>IF(OR(AL235="Cancelled",AH235="Failed"),"Exclude","Include")</f>
        <v>Include</v>
      </c>
      <c r="AW235" t="str">
        <f t="shared" si="86"/>
        <v>Match</v>
      </c>
      <c r="AX235" t="str">
        <f t="shared" si="87"/>
        <v>Match</v>
      </c>
    </row>
    <row r="236" spans="1:50">
      <c r="A236" t="s">
        <v>1238</v>
      </c>
      <c r="B236">
        <f t="shared" si="88"/>
        <v>1</v>
      </c>
      <c r="C236" t="str">
        <f t="shared" si="76"/>
        <v/>
      </c>
      <c r="D236" s="3" t="s">
        <v>1239</v>
      </c>
      <c r="E236" s="7">
        <v>45537</v>
      </c>
      <c r="F236" s="3" t="s">
        <v>1240</v>
      </c>
      <c r="G236" s="7">
        <v>45538</v>
      </c>
      <c r="H236" s="7" t="str">
        <f t="shared" si="67"/>
        <v>Valid</v>
      </c>
      <c r="I236" s="9">
        <f t="shared" si="68"/>
        <v>1</v>
      </c>
      <c r="J236" s="9" t="str">
        <f t="shared" si="69"/>
        <v>Valid</v>
      </c>
      <c r="K236" t="s">
        <v>1241</v>
      </c>
      <c r="L236" t="s">
        <v>365</v>
      </c>
      <c r="M236" t="s">
        <v>365</v>
      </c>
      <c r="N236" t="s">
        <v>114</v>
      </c>
      <c r="O236" s="3" t="str">
        <f t="shared" si="70"/>
        <v>Home Office</v>
      </c>
      <c r="P236" t="s">
        <v>26</v>
      </c>
      <c r="Q236" s="3" t="str">
        <f t="shared" si="71"/>
        <v>North</v>
      </c>
      <c r="R236" t="s">
        <v>505</v>
      </c>
      <c r="S236" t="s">
        <v>506</v>
      </c>
      <c r="T236" t="s">
        <v>44</v>
      </c>
      <c r="U236" s="3" t="str">
        <f t="shared" si="72"/>
        <v>Furniture</v>
      </c>
      <c r="V236" t="s">
        <v>64</v>
      </c>
      <c r="W236" t="s">
        <v>1242</v>
      </c>
      <c r="X236" t="s">
        <v>55</v>
      </c>
      <c r="Y236" s="3" t="str">
        <f t="shared" si="73"/>
        <v>First Class</v>
      </c>
      <c r="Z236">
        <v>9</v>
      </c>
      <c r="AA236">
        <v>1353.61</v>
      </c>
      <c r="AB236">
        <v>0.1</v>
      </c>
      <c r="AC236">
        <f t="shared" si="74"/>
        <v>0.1</v>
      </c>
      <c r="AD236" t="str">
        <f t="shared" si="77"/>
        <v>Valid</v>
      </c>
      <c r="AE236">
        <v>10964.24</v>
      </c>
      <c r="AF236">
        <v>9262.4699999999993</v>
      </c>
      <c r="AG236">
        <v>1701.77</v>
      </c>
      <c r="AH236" t="s">
        <v>33</v>
      </c>
      <c r="AI236" t="str">
        <f t="shared" si="78"/>
        <v>Include</v>
      </c>
      <c r="AJ236" t="str">
        <f t="shared" si="79"/>
        <v/>
      </c>
      <c r="AK236" t="s">
        <v>34</v>
      </c>
      <c r="AL236" t="str">
        <f t="shared" si="75"/>
        <v>Completed</v>
      </c>
      <c r="AM236" t="str">
        <f t="shared" si="80"/>
        <v>Include</v>
      </c>
      <c r="AN236">
        <f t="shared" si="81"/>
        <v>10964.241</v>
      </c>
      <c r="AO236">
        <f t="shared" si="82"/>
        <v>1701.7710000000006</v>
      </c>
      <c r="AP236">
        <f>IF(AN236=0,0,AO236/AN236)</f>
        <v>0.15521101734265058</v>
      </c>
      <c r="AQ236" t="str">
        <f t="shared" si="83"/>
        <v>September</v>
      </c>
      <c r="AR236">
        <f t="shared" si="84"/>
        <v>2024</v>
      </c>
      <c r="AS236" t="str">
        <f t="shared" si="85"/>
        <v>Clean</v>
      </c>
      <c r="AT236" t="str">
        <f>IF(OR(AC236&lt;0,AC236&gt;0.5),"Invalid Discount","Valid")</f>
        <v>Valid</v>
      </c>
      <c r="AU236" t="str">
        <f>IF(G236&lt;E236,"Invalid Shipping Record","Valid")</f>
        <v>Valid</v>
      </c>
      <c r="AV236" t="str">
        <f>IF(OR(AL236="Cancelled",AH236="Failed"),"Exclude","Include")</f>
        <v>Include</v>
      </c>
      <c r="AW236" t="str">
        <f t="shared" si="86"/>
        <v>Match</v>
      </c>
      <c r="AX236" t="str">
        <f t="shared" si="87"/>
        <v>Match</v>
      </c>
    </row>
    <row r="237" spans="1:50">
      <c r="A237" t="s">
        <v>1243</v>
      </c>
      <c r="B237">
        <f t="shared" si="88"/>
        <v>1</v>
      </c>
      <c r="C237" t="str">
        <f t="shared" si="76"/>
        <v/>
      </c>
      <c r="D237" s="3" t="s">
        <v>1244</v>
      </c>
      <c r="E237" s="7">
        <v>45598</v>
      </c>
      <c r="F237" s="3" t="s">
        <v>1245</v>
      </c>
      <c r="G237" s="7">
        <v>45599</v>
      </c>
      <c r="H237" s="7" t="str">
        <f t="shared" si="67"/>
        <v>Valid</v>
      </c>
      <c r="I237" s="9">
        <f t="shared" si="68"/>
        <v>1</v>
      </c>
      <c r="J237" s="9" t="str">
        <f t="shared" si="69"/>
        <v>Valid</v>
      </c>
      <c r="K237" t="s">
        <v>1246</v>
      </c>
      <c r="L237" t="s">
        <v>147</v>
      </c>
      <c r="M237" t="s">
        <v>147</v>
      </c>
      <c r="N237" t="s">
        <v>40</v>
      </c>
      <c r="O237" s="3" t="str">
        <f t="shared" si="70"/>
        <v>Small Business</v>
      </c>
      <c r="P237" t="s">
        <v>72</v>
      </c>
      <c r="Q237" s="3" t="str">
        <f t="shared" si="71"/>
        <v>West</v>
      </c>
      <c r="R237" t="s">
        <v>27</v>
      </c>
      <c r="S237" t="s">
        <v>134</v>
      </c>
      <c r="T237" t="s">
        <v>29</v>
      </c>
      <c r="U237" s="3" t="str">
        <f t="shared" si="72"/>
        <v>Office Supplies</v>
      </c>
      <c r="V237" t="s">
        <v>155</v>
      </c>
      <c r="W237" t="s">
        <v>1247</v>
      </c>
      <c r="X237" t="s">
        <v>66</v>
      </c>
      <c r="Y237" s="3" t="str">
        <f t="shared" si="73"/>
        <v>Standard Class</v>
      </c>
      <c r="Z237">
        <v>6</v>
      </c>
      <c r="AA237">
        <v>2671.29</v>
      </c>
      <c r="AB237">
        <v>0.05</v>
      </c>
      <c r="AC237">
        <f t="shared" si="74"/>
        <v>0.05</v>
      </c>
      <c r="AD237" t="str">
        <f t="shared" si="77"/>
        <v>Valid</v>
      </c>
      <c r="AE237">
        <v>15226.35</v>
      </c>
      <c r="AF237">
        <v>11145.28</v>
      </c>
      <c r="AG237">
        <v>4081.07</v>
      </c>
      <c r="AH237" t="s">
        <v>33</v>
      </c>
      <c r="AI237" t="str">
        <f t="shared" si="78"/>
        <v>Include</v>
      </c>
      <c r="AJ237" t="str">
        <f t="shared" si="79"/>
        <v/>
      </c>
      <c r="AK237" t="s">
        <v>34</v>
      </c>
      <c r="AL237" t="str">
        <f t="shared" si="75"/>
        <v>Completed</v>
      </c>
      <c r="AM237" t="str">
        <f t="shared" si="80"/>
        <v>Include</v>
      </c>
      <c r="AN237">
        <f t="shared" si="81"/>
        <v>15226.352999999999</v>
      </c>
      <c r="AO237">
        <f t="shared" si="82"/>
        <v>4081.0729999999985</v>
      </c>
      <c r="AP237">
        <f>IF(AN237=0,0,AO237/AN237)</f>
        <v>0.26802695300706603</v>
      </c>
      <c r="AQ237" t="str">
        <f t="shared" si="83"/>
        <v>November</v>
      </c>
      <c r="AR237">
        <f t="shared" si="84"/>
        <v>2024</v>
      </c>
      <c r="AS237" t="str">
        <f t="shared" si="85"/>
        <v>Clean</v>
      </c>
      <c r="AT237" t="str">
        <f>IF(OR(AC237&lt;0,AC237&gt;0.5),"Invalid Discount","Valid")</f>
        <v>Valid</v>
      </c>
      <c r="AU237" t="str">
        <f>IF(G237&lt;E237,"Invalid Shipping Record","Valid")</f>
        <v>Valid</v>
      </c>
      <c r="AV237" t="str">
        <f>IF(OR(AL237="Cancelled",AH237="Failed"),"Exclude","Include")</f>
        <v>Include</v>
      </c>
      <c r="AW237" t="str">
        <f t="shared" si="86"/>
        <v>Match</v>
      </c>
      <c r="AX237" t="str">
        <f t="shared" si="87"/>
        <v>Match</v>
      </c>
    </row>
    <row r="238" spans="1:50">
      <c r="A238" t="s">
        <v>1248</v>
      </c>
      <c r="B238">
        <f t="shared" si="88"/>
        <v>1</v>
      </c>
      <c r="C238" t="str">
        <f t="shared" si="76"/>
        <v/>
      </c>
      <c r="D238" s="3" t="s">
        <v>1235</v>
      </c>
      <c r="E238" s="7">
        <v>45579</v>
      </c>
      <c r="F238" s="3" t="s">
        <v>1249</v>
      </c>
      <c r="G238" s="7">
        <v>45586</v>
      </c>
      <c r="H238" s="7" t="str">
        <f t="shared" si="67"/>
        <v>Valid</v>
      </c>
      <c r="I238" s="9">
        <f t="shared" si="68"/>
        <v>7</v>
      </c>
      <c r="J238" s="9" t="str">
        <f t="shared" si="69"/>
        <v>Valid</v>
      </c>
      <c r="K238" t="s">
        <v>1250</v>
      </c>
      <c r="L238" t="s">
        <v>141</v>
      </c>
      <c r="M238" t="s">
        <v>141</v>
      </c>
      <c r="N238" t="s">
        <v>107</v>
      </c>
      <c r="O238" s="3" t="str">
        <f t="shared" si="70"/>
        <v>Corporate</v>
      </c>
      <c r="P238" t="s">
        <v>26</v>
      </c>
      <c r="Q238" s="3" t="str">
        <f t="shared" si="71"/>
        <v>North</v>
      </c>
      <c r="R238" t="s">
        <v>173</v>
      </c>
      <c r="S238" t="s">
        <v>174</v>
      </c>
      <c r="T238" t="s">
        <v>44</v>
      </c>
      <c r="U238" s="3" t="str">
        <f t="shared" si="72"/>
        <v>Furniture</v>
      </c>
      <c r="V238" t="s">
        <v>203</v>
      </c>
      <c r="W238" t="s">
        <v>1251</v>
      </c>
      <c r="X238" t="s">
        <v>55</v>
      </c>
      <c r="Y238" s="3" t="str">
        <f t="shared" si="73"/>
        <v>First Class</v>
      </c>
      <c r="Z238">
        <v>6</v>
      </c>
      <c r="AA238">
        <v>4062.78</v>
      </c>
      <c r="AB238">
        <v>0</v>
      </c>
      <c r="AC238">
        <f t="shared" si="74"/>
        <v>0</v>
      </c>
      <c r="AD238" t="str">
        <f t="shared" si="77"/>
        <v>Valid</v>
      </c>
      <c r="AE238">
        <v>24376.68</v>
      </c>
      <c r="AF238">
        <v>18533.39</v>
      </c>
      <c r="AG238">
        <v>5843.29</v>
      </c>
      <c r="AH238" t="s">
        <v>33</v>
      </c>
      <c r="AI238" t="str">
        <f t="shared" si="78"/>
        <v>Include</v>
      </c>
      <c r="AJ238" t="str">
        <f t="shared" si="79"/>
        <v/>
      </c>
      <c r="AK238" t="s">
        <v>34</v>
      </c>
      <c r="AL238" t="str">
        <f t="shared" si="75"/>
        <v>Completed</v>
      </c>
      <c r="AM238" t="str">
        <f t="shared" si="80"/>
        <v>Include</v>
      </c>
      <c r="AN238">
        <f t="shared" si="81"/>
        <v>24376.68</v>
      </c>
      <c r="AO238">
        <f t="shared" si="82"/>
        <v>5843.2900000000009</v>
      </c>
      <c r="AP238">
        <f>IF(AN238=0,0,AO238/AN238)</f>
        <v>0.23970819652224998</v>
      </c>
      <c r="AQ238" t="str">
        <f t="shared" si="83"/>
        <v>October</v>
      </c>
      <c r="AR238">
        <f t="shared" si="84"/>
        <v>2024</v>
      </c>
      <c r="AS238" t="str">
        <f t="shared" si="85"/>
        <v>Clean</v>
      </c>
      <c r="AT238" t="str">
        <f>IF(OR(AC238&lt;0,AC238&gt;0.5),"Invalid Discount","Valid")</f>
        <v>Valid</v>
      </c>
      <c r="AU238" t="str">
        <f>IF(G238&lt;E238,"Invalid Shipping Record","Valid")</f>
        <v>Valid</v>
      </c>
      <c r="AV238" t="str">
        <f>IF(OR(AL238="Cancelled",AH238="Failed"),"Exclude","Include")</f>
        <v>Include</v>
      </c>
      <c r="AW238" t="str">
        <f t="shared" si="86"/>
        <v>Match</v>
      </c>
      <c r="AX238" t="str">
        <f t="shared" si="87"/>
        <v>Match</v>
      </c>
    </row>
    <row r="239" spans="1:50">
      <c r="A239" t="s">
        <v>1252</v>
      </c>
      <c r="B239">
        <f t="shared" si="88"/>
        <v>1</v>
      </c>
      <c r="C239" t="str">
        <f t="shared" si="76"/>
        <v/>
      </c>
      <c r="D239" s="3" t="s">
        <v>1253</v>
      </c>
      <c r="E239" s="7">
        <v>45531</v>
      </c>
      <c r="F239" s="3" t="s">
        <v>1253</v>
      </c>
      <c r="G239" s="7">
        <v>45531</v>
      </c>
      <c r="H239" s="7" t="str">
        <f t="shared" si="67"/>
        <v>Valid</v>
      </c>
      <c r="I239" s="9">
        <f t="shared" si="68"/>
        <v>0</v>
      </c>
      <c r="J239" s="9" t="str">
        <f t="shared" si="69"/>
        <v>Valid</v>
      </c>
      <c r="K239" t="s">
        <v>1254</v>
      </c>
      <c r="L239" t="s">
        <v>39</v>
      </c>
      <c r="M239" t="s">
        <v>39</v>
      </c>
      <c r="N239" t="s">
        <v>25</v>
      </c>
      <c r="O239" s="3" t="str">
        <f t="shared" si="70"/>
        <v>Consumer</v>
      </c>
      <c r="P239" t="s">
        <v>26</v>
      </c>
      <c r="Q239" s="3" t="str">
        <f t="shared" si="71"/>
        <v>North</v>
      </c>
      <c r="R239" t="s">
        <v>322</v>
      </c>
      <c r="S239" t="s">
        <v>323</v>
      </c>
      <c r="T239" t="s">
        <v>85</v>
      </c>
      <c r="U239" s="3" t="str">
        <f t="shared" si="72"/>
        <v>Technology</v>
      </c>
      <c r="V239" t="s">
        <v>93</v>
      </c>
      <c r="W239" t="s">
        <v>1255</v>
      </c>
      <c r="X239" t="s">
        <v>66</v>
      </c>
      <c r="Y239" s="3" t="str">
        <f t="shared" si="73"/>
        <v>Standard Class</v>
      </c>
      <c r="Z239">
        <v>9</v>
      </c>
      <c r="AA239">
        <v>2330.3000000000002</v>
      </c>
      <c r="AB239">
        <v>0</v>
      </c>
      <c r="AC239">
        <f t="shared" si="74"/>
        <v>0</v>
      </c>
      <c r="AD239" t="str">
        <f t="shared" si="77"/>
        <v>Valid</v>
      </c>
      <c r="AE239">
        <v>20972.7</v>
      </c>
      <c r="AF239">
        <v>13504.88</v>
      </c>
      <c r="AG239">
        <v>7467.82</v>
      </c>
      <c r="AH239" t="s">
        <v>33</v>
      </c>
      <c r="AI239" t="str">
        <f t="shared" si="78"/>
        <v>Include</v>
      </c>
      <c r="AJ239" t="str">
        <f t="shared" si="79"/>
        <v/>
      </c>
      <c r="AK239" t="s">
        <v>34</v>
      </c>
      <c r="AL239" t="str">
        <f t="shared" si="75"/>
        <v>Completed</v>
      </c>
      <c r="AM239" t="str">
        <f t="shared" si="80"/>
        <v>Include</v>
      </c>
      <c r="AN239">
        <f t="shared" si="81"/>
        <v>20972.7</v>
      </c>
      <c r="AO239">
        <f t="shared" si="82"/>
        <v>7467.8200000000015</v>
      </c>
      <c r="AP239">
        <f>IF(AN239=0,0,AO239/AN239)</f>
        <v>0.35607337157352181</v>
      </c>
      <c r="AQ239" t="str">
        <f t="shared" si="83"/>
        <v>August</v>
      </c>
      <c r="AR239">
        <f t="shared" si="84"/>
        <v>2024</v>
      </c>
      <c r="AS239" t="str">
        <f t="shared" si="85"/>
        <v>Clean</v>
      </c>
      <c r="AT239" t="str">
        <f>IF(OR(AC239&lt;0,AC239&gt;0.5),"Invalid Discount","Valid")</f>
        <v>Valid</v>
      </c>
      <c r="AU239" t="str">
        <f>IF(G239&lt;E239,"Invalid Shipping Record","Valid")</f>
        <v>Valid</v>
      </c>
      <c r="AV239" t="str">
        <f>IF(OR(AL239="Cancelled",AH239="Failed"),"Exclude","Include")</f>
        <v>Include</v>
      </c>
      <c r="AW239" t="str">
        <f t="shared" si="86"/>
        <v>Match</v>
      </c>
      <c r="AX239" t="str">
        <f t="shared" si="87"/>
        <v>Match</v>
      </c>
    </row>
    <row r="240" spans="1:50">
      <c r="A240" t="s">
        <v>1256</v>
      </c>
      <c r="B240">
        <f t="shared" si="88"/>
        <v>1</v>
      </c>
      <c r="C240" t="str">
        <f t="shared" si="76"/>
        <v/>
      </c>
      <c r="D240" s="3" t="s">
        <v>1257</v>
      </c>
      <c r="E240" s="7">
        <v>45303</v>
      </c>
      <c r="F240" s="3" t="s">
        <v>1258</v>
      </c>
      <c r="G240" s="7">
        <v>45308</v>
      </c>
      <c r="H240" s="7" t="str">
        <f t="shared" si="67"/>
        <v>Valid</v>
      </c>
      <c r="I240" s="9">
        <f t="shared" si="68"/>
        <v>5</v>
      </c>
      <c r="J240" s="9" t="str">
        <f t="shared" si="69"/>
        <v>Valid</v>
      </c>
      <c r="K240" t="s">
        <v>1259</v>
      </c>
      <c r="L240" t="s">
        <v>60</v>
      </c>
      <c r="M240" t="s">
        <v>60</v>
      </c>
      <c r="N240" t="s">
        <v>25</v>
      </c>
      <c r="O240" s="3" t="str">
        <f t="shared" si="70"/>
        <v>Consumer</v>
      </c>
      <c r="P240" t="s">
        <v>61</v>
      </c>
      <c r="Q240" s="3" t="str">
        <f t="shared" si="71"/>
        <v>South</v>
      </c>
      <c r="R240" t="s">
        <v>99</v>
      </c>
      <c r="S240" t="s">
        <v>100</v>
      </c>
      <c r="T240" t="s">
        <v>29</v>
      </c>
      <c r="U240" s="3" t="str">
        <f t="shared" si="72"/>
        <v>Office Supplies</v>
      </c>
      <c r="V240" t="s">
        <v>155</v>
      </c>
      <c r="W240" t="s">
        <v>1260</v>
      </c>
      <c r="X240" t="s">
        <v>55</v>
      </c>
      <c r="Y240" s="3" t="str">
        <f t="shared" si="73"/>
        <v>First Class</v>
      </c>
      <c r="Z240">
        <v>7</v>
      </c>
      <c r="AA240">
        <v>4005.05</v>
      </c>
      <c r="AB240">
        <v>0.55000000000000004</v>
      </c>
      <c r="AC240">
        <f t="shared" si="74"/>
        <v>0.55000000000000004</v>
      </c>
      <c r="AD240" t="str">
        <f t="shared" si="77"/>
        <v>Valid</v>
      </c>
      <c r="AE240">
        <v>26633.58</v>
      </c>
      <c r="AF240">
        <v>18838.75</v>
      </c>
      <c r="AG240">
        <v>7794.83</v>
      </c>
      <c r="AH240" t="s">
        <v>33</v>
      </c>
      <c r="AI240" t="str">
        <f t="shared" si="78"/>
        <v>Include</v>
      </c>
      <c r="AJ240" t="str">
        <f t="shared" si="79"/>
        <v/>
      </c>
      <c r="AK240" t="s">
        <v>34</v>
      </c>
      <c r="AL240" t="str">
        <f t="shared" si="75"/>
        <v>Completed</v>
      </c>
      <c r="AM240" t="str">
        <f t="shared" si="80"/>
        <v>Include</v>
      </c>
      <c r="AN240">
        <f t="shared" si="81"/>
        <v>12615.907499999999</v>
      </c>
      <c r="AO240">
        <f t="shared" si="82"/>
        <v>-6222.8425000000007</v>
      </c>
      <c r="AP240">
        <f>IF(AN240=0,0,AO240/AN240)</f>
        <v>-0.4932536561480021</v>
      </c>
      <c r="AQ240" t="str">
        <f t="shared" si="83"/>
        <v>January</v>
      </c>
      <c r="AR240">
        <f t="shared" si="84"/>
        <v>2024</v>
      </c>
      <c r="AS240" t="str">
        <f t="shared" si="85"/>
        <v>Clean</v>
      </c>
      <c r="AT240" t="str">
        <f>IF(OR(AC240&lt;0,AC240&gt;0.5),"Invalid Discount","Valid")</f>
        <v>Invalid Discount</v>
      </c>
      <c r="AU240" t="str">
        <f>IF(G240&lt;E240,"Invalid Shipping Record","Valid")</f>
        <v>Valid</v>
      </c>
      <c r="AV240" t="str">
        <f>IF(OR(AL240="Cancelled",AH240="Failed"),"Exclude","Include")</f>
        <v>Include</v>
      </c>
      <c r="AW240" t="str">
        <f t="shared" si="86"/>
        <v>Mismatch</v>
      </c>
      <c r="AX240" t="str">
        <f t="shared" si="87"/>
        <v>Mismatch</v>
      </c>
    </row>
    <row r="241" spans="1:50">
      <c r="A241" t="s">
        <v>1261</v>
      </c>
      <c r="B241">
        <f t="shared" si="88"/>
        <v>1</v>
      </c>
      <c r="C241" t="str">
        <f t="shared" si="76"/>
        <v/>
      </c>
      <c r="D241" s="3" t="s">
        <v>1262</v>
      </c>
      <c r="E241" s="7">
        <v>45556</v>
      </c>
      <c r="F241" s="3" t="s">
        <v>1133</v>
      </c>
      <c r="G241" s="7">
        <v>45556</v>
      </c>
      <c r="H241" s="7" t="str">
        <f t="shared" si="67"/>
        <v>Valid</v>
      </c>
      <c r="I241" s="9">
        <f t="shared" si="68"/>
        <v>0</v>
      </c>
      <c r="J241" s="9" t="str">
        <f t="shared" si="69"/>
        <v>Valid</v>
      </c>
      <c r="K241" t="s">
        <v>1263</v>
      </c>
      <c r="L241" t="s">
        <v>365</v>
      </c>
      <c r="M241" t="s">
        <v>365</v>
      </c>
      <c r="N241" t="s">
        <v>107</v>
      </c>
      <c r="O241" s="3" t="str">
        <f t="shared" si="70"/>
        <v>Corporate</v>
      </c>
      <c r="P241" t="s">
        <v>61</v>
      </c>
      <c r="Q241" s="3" t="str">
        <f t="shared" si="71"/>
        <v>South</v>
      </c>
      <c r="R241" t="s">
        <v>228</v>
      </c>
      <c r="S241" t="s">
        <v>229</v>
      </c>
      <c r="T241" t="s">
        <v>85</v>
      </c>
      <c r="U241" s="3" t="str">
        <f t="shared" si="72"/>
        <v>Technology</v>
      </c>
      <c r="V241" t="s">
        <v>381</v>
      </c>
      <c r="W241" t="s">
        <v>1264</v>
      </c>
      <c r="X241" t="s">
        <v>55</v>
      </c>
      <c r="Y241" s="3" t="str">
        <f t="shared" si="73"/>
        <v>First Class</v>
      </c>
      <c r="Z241">
        <v>2</v>
      </c>
      <c r="AA241">
        <v>1960.06</v>
      </c>
      <c r="AB241">
        <v>0.2</v>
      </c>
      <c r="AC241">
        <f t="shared" si="74"/>
        <v>0.2</v>
      </c>
      <c r="AD241" t="str">
        <f t="shared" si="77"/>
        <v>Valid</v>
      </c>
      <c r="AE241">
        <v>3136.1</v>
      </c>
      <c r="AF241">
        <v>2279.4899999999998</v>
      </c>
      <c r="AG241">
        <v>856.61</v>
      </c>
      <c r="AH241" t="s">
        <v>33</v>
      </c>
      <c r="AI241" t="str">
        <f t="shared" si="78"/>
        <v>Include</v>
      </c>
      <c r="AJ241" t="str">
        <f t="shared" si="79"/>
        <v/>
      </c>
      <c r="AK241" t="s">
        <v>34</v>
      </c>
      <c r="AL241" t="str">
        <f t="shared" si="75"/>
        <v>Completed</v>
      </c>
      <c r="AM241" t="str">
        <f t="shared" si="80"/>
        <v>Include</v>
      </c>
      <c r="AN241">
        <f t="shared" si="81"/>
        <v>3136.096</v>
      </c>
      <c r="AO241">
        <f t="shared" si="82"/>
        <v>856.60600000000022</v>
      </c>
      <c r="AP241">
        <f>IF(AN241=0,0,AO241/AN241)</f>
        <v>0.273144061916472</v>
      </c>
      <c r="AQ241" t="str">
        <f t="shared" si="83"/>
        <v>September</v>
      </c>
      <c r="AR241">
        <f t="shared" si="84"/>
        <v>2024</v>
      </c>
      <c r="AS241" t="str">
        <f t="shared" si="85"/>
        <v>Clean</v>
      </c>
      <c r="AT241" t="str">
        <f>IF(OR(AC241&lt;0,AC241&gt;0.5),"Invalid Discount","Valid")</f>
        <v>Valid</v>
      </c>
      <c r="AU241" t="str">
        <f>IF(G241&lt;E241,"Invalid Shipping Record","Valid")</f>
        <v>Valid</v>
      </c>
      <c r="AV241" t="str">
        <f>IF(OR(AL241="Cancelled",AH241="Failed"),"Exclude","Include")</f>
        <v>Include</v>
      </c>
      <c r="AW241" t="str">
        <f t="shared" si="86"/>
        <v>Match</v>
      </c>
      <c r="AX241" t="str">
        <f t="shared" si="87"/>
        <v>Match</v>
      </c>
    </row>
    <row r="242" spans="1:50">
      <c r="A242" t="s">
        <v>1265</v>
      </c>
      <c r="B242">
        <f t="shared" si="88"/>
        <v>1</v>
      </c>
      <c r="C242" t="str">
        <f t="shared" si="76"/>
        <v/>
      </c>
      <c r="D242" s="3" t="s">
        <v>1266</v>
      </c>
      <c r="E242" s="7">
        <v>45643</v>
      </c>
      <c r="F242" s="3" t="s">
        <v>823</v>
      </c>
      <c r="G242" s="7">
        <v>45649</v>
      </c>
      <c r="H242" s="7" t="str">
        <f t="shared" si="67"/>
        <v>Valid</v>
      </c>
      <c r="I242" s="9">
        <f t="shared" si="68"/>
        <v>6</v>
      </c>
      <c r="J242" s="9" t="str">
        <f t="shared" si="69"/>
        <v>Valid</v>
      </c>
      <c r="K242" t="s">
        <v>1267</v>
      </c>
      <c r="L242" t="s">
        <v>161</v>
      </c>
      <c r="M242" t="s">
        <v>161</v>
      </c>
      <c r="N242" t="s">
        <v>107</v>
      </c>
      <c r="O242" s="3" t="str">
        <f t="shared" si="70"/>
        <v>Corporate</v>
      </c>
      <c r="P242" t="s">
        <v>61</v>
      </c>
      <c r="Q242" s="3" t="str">
        <f t="shared" si="71"/>
        <v>South</v>
      </c>
      <c r="R242" t="s">
        <v>62</v>
      </c>
      <c r="S242" t="s">
        <v>63</v>
      </c>
      <c r="T242" t="s">
        <v>29</v>
      </c>
      <c r="U242" s="3" t="str">
        <f t="shared" si="72"/>
        <v>Office Supplies</v>
      </c>
      <c r="V242" t="s">
        <v>197</v>
      </c>
      <c r="W242" t="s">
        <v>1268</v>
      </c>
      <c r="X242" t="s">
        <v>55</v>
      </c>
      <c r="Y242" s="3" t="str">
        <f t="shared" si="73"/>
        <v>First Class</v>
      </c>
      <c r="Z242">
        <v>9</v>
      </c>
      <c r="AA242">
        <v>2315.1</v>
      </c>
      <c r="AB242">
        <v>0</v>
      </c>
      <c r="AC242">
        <f t="shared" si="74"/>
        <v>0</v>
      </c>
      <c r="AD242" t="str">
        <f t="shared" si="77"/>
        <v>Valid</v>
      </c>
      <c r="AE242">
        <v>20835.900000000001</v>
      </c>
      <c r="AF242">
        <v>13928.19</v>
      </c>
      <c r="AG242">
        <v>6907.71</v>
      </c>
      <c r="AH242" t="s">
        <v>33</v>
      </c>
      <c r="AI242" t="str">
        <f t="shared" si="78"/>
        <v>Include</v>
      </c>
      <c r="AJ242" t="str">
        <f t="shared" si="79"/>
        <v/>
      </c>
      <c r="AK242" t="s">
        <v>34</v>
      </c>
      <c r="AL242" t="str">
        <f t="shared" si="75"/>
        <v>Completed</v>
      </c>
      <c r="AM242" t="str">
        <f t="shared" si="80"/>
        <v>Include</v>
      </c>
      <c r="AN242">
        <f t="shared" si="81"/>
        <v>20835.899999999998</v>
      </c>
      <c r="AO242">
        <f t="shared" si="82"/>
        <v>6907.7099999999973</v>
      </c>
      <c r="AP242">
        <f>IF(AN242=0,0,AO242/AN242)</f>
        <v>0.33152923559817421</v>
      </c>
      <c r="AQ242" t="str">
        <f t="shared" si="83"/>
        <v>December</v>
      </c>
      <c r="AR242">
        <f t="shared" si="84"/>
        <v>2024</v>
      </c>
      <c r="AS242" t="str">
        <f t="shared" si="85"/>
        <v>Clean</v>
      </c>
      <c r="AT242" t="str">
        <f>IF(OR(AC242&lt;0,AC242&gt;0.5),"Invalid Discount","Valid")</f>
        <v>Valid</v>
      </c>
      <c r="AU242" t="str">
        <f>IF(G242&lt;E242,"Invalid Shipping Record","Valid")</f>
        <v>Valid</v>
      </c>
      <c r="AV242" t="str">
        <f>IF(OR(AL242="Cancelled",AH242="Failed"),"Exclude","Include")</f>
        <v>Include</v>
      </c>
      <c r="AW242" t="str">
        <f t="shared" si="86"/>
        <v>Match</v>
      </c>
      <c r="AX242" t="str">
        <f t="shared" si="87"/>
        <v>Match</v>
      </c>
    </row>
    <row r="243" spans="1:50">
      <c r="A243" t="s">
        <v>1269</v>
      </c>
      <c r="B243">
        <f t="shared" si="88"/>
        <v>1</v>
      </c>
      <c r="C243" t="str">
        <f t="shared" si="76"/>
        <v/>
      </c>
      <c r="D243" s="3" t="s">
        <v>1270</v>
      </c>
      <c r="E243" s="7">
        <v>45844</v>
      </c>
      <c r="F243" s="3" t="s">
        <v>1271</v>
      </c>
      <c r="G243" s="7">
        <v>45844</v>
      </c>
      <c r="H243" s="7" t="str">
        <f t="shared" si="67"/>
        <v>Valid</v>
      </c>
      <c r="I243" s="9">
        <f t="shared" si="68"/>
        <v>0</v>
      </c>
      <c r="J243" s="9" t="str">
        <f t="shared" si="69"/>
        <v>Valid</v>
      </c>
      <c r="K243" t="s">
        <v>1272</v>
      </c>
      <c r="L243" t="s">
        <v>167</v>
      </c>
      <c r="M243" t="s">
        <v>167</v>
      </c>
      <c r="N243" t="s">
        <v>107</v>
      </c>
      <c r="O243" s="3" t="str">
        <f t="shared" si="70"/>
        <v>Corporate</v>
      </c>
      <c r="P243" t="s">
        <v>26</v>
      </c>
      <c r="Q243" s="3" t="str">
        <f t="shared" si="71"/>
        <v>North</v>
      </c>
      <c r="R243" t="s">
        <v>322</v>
      </c>
      <c r="S243" t="s">
        <v>323</v>
      </c>
      <c r="T243" t="s">
        <v>29</v>
      </c>
      <c r="U243" s="3" t="str">
        <f t="shared" si="72"/>
        <v>Office Supplies</v>
      </c>
      <c r="V243" t="s">
        <v>155</v>
      </c>
      <c r="W243" t="s">
        <v>1273</v>
      </c>
      <c r="X243" t="s">
        <v>66</v>
      </c>
      <c r="Y243" s="3" t="str">
        <f t="shared" si="73"/>
        <v>Standard Class</v>
      </c>
      <c r="Z243">
        <v>1</v>
      </c>
      <c r="AA243">
        <v>1617.2</v>
      </c>
      <c r="AB243">
        <v>0.25</v>
      </c>
      <c r="AC243">
        <f t="shared" si="74"/>
        <v>0.25</v>
      </c>
      <c r="AD243" t="str">
        <f t="shared" si="77"/>
        <v>Valid</v>
      </c>
      <c r="AE243">
        <v>1212.9000000000001</v>
      </c>
      <c r="AF243">
        <v>690.52</v>
      </c>
      <c r="AG243">
        <v>522.38</v>
      </c>
      <c r="AH243" t="s">
        <v>136</v>
      </c>
      <c r="AI243" t="str">
        <f t="shared" si="78"/>
        <v>Include</v>
      </c>
      <c r="AJ243" t="str">
        <f t="shared" si="79"/>
        <v/>
      </c>
      <c r="AK243" t="s">
        <v>124</v>
      </c>
      <c r="AL243" t="str">
        <f t="shared" si="75"/>
        <v>Returned</v>
      </c>
      <c r="AM243" t="str">
        <f t="shared" si="80"/>
        <v>Include</v>
      </c>
      <c r="AN243">
        <f t="shared" si="81"/>
        <v>1212.9000000000001</v>
      </c>
      <c r="AO243">
        <f t="shared" si="82"/>
        <v>522.38000000000011</v>
      </c>
      <c r="AP243">
        <f>IF(AN243=0,0,AO243/AN243)</f>
        <v>0.4306867837414462</v>
      </c>
      <c r="AQ243" t="str">
        <f t="shared" si="83"/>
        <v>July</v>
      </c>
      <c r="AR243">
        <f t="shared" si="84"/>
        <v>2025</v>
      </c>
      <c r="AS243" t="str">
        <f t="shared" si="85"/>
        <v>Clean</v>
      </c>
      <c r="AT243" t="str">
        <f>IF(OR(AC243&lt;0,AC243&gt;0.5),"Invalid Discount","Valid")</f>
        <v>Valid</v>
      </c>
      <c r="AU243" t="str">
        <f>IF(G243&lt;E243,"Invalid Shipping Record","Valid")</f>
        <v>Valid</v>
      </c>
      <c r="AV243" t="str">
        <f>IF(OR(AL243="Cancelled",AH243="Failed"),"Exclude","Include")</f>
        <v>Include</v>
      </c>
      <c r="AW243" t="str">
        <f t="shared" si="86"/>
        <v>Match</v>
      </c>
      <c r="AX243" t="str">
        <f t="shared" si="87"/>
        <v>Match</v>
      </c>
    </row>
    <row r="244" spans="1:50">
      <c r="A244" t="s">
        <v>1274</v>
      </c>
      <c r="B244">
        <f t="shared" si="88"/>
        <v>1</v>
      </c>
      <c r="C244" t="str">
        <f t="shared" si="76"/>
        <v/>
      </c>
      <c r="D244" s="3" t="s">
        <v>1275</v>
      </c>
      <c r="E244" s="7">
        <v>45695</v>
      </c>
      <c r="F244" s="3" t="s">
        <v>1276</v>
      </c>
      <c r="G244" s="7">
        <v>45695</v>
      </c>
      <c r="H244" s="7" t="str">
        <f t="shared" si="67"/>
        <v>Valid</v>
      </c>
      <c r="I244" s="9">
        <f t="shared" si="68"/>
        <v>0</v>
      </c>
      <c r="J244" s="9" t="str">
        <f t="shared" si="69"/>
        <v>Valid</v>
      </c>
      <c r="K244" t="s">
        <v>1277</v>
      </c>
      <c r="L244" t="s">
        <v>60</v>
      </c>
      <c r="M244" t="s">
        <v>60</v>
      </c>
      <c r="N244" t="s">
        <v>25</v>
      </c>
      <c r="O244" s="3" t="str">
        <f t="shared" si="70"/>
        <v>Consumer</v>
      </c>
      <c r="P244" t="s">
        <v>26</v>
      </c>
      <c r="Q244" s="3" t="str">
        <f t="shared" si="71"/>
        <v>North</v>
      </c>
      <c r="R244" t="s">
        <v>173</v>
      </c>
      <c r="S244" t="s">
        <v>174</v>
      </c>
      <c r="T244" t="s">
        <v>29</v>
      </c>
      <c r="U244" s="3" t="str">
        <f t="shared" si="72"/>
        <v>Office Supplies</v>
      </c>
      <c r="V244" t="s">
        <v>53</v>
      </c>
      <c r="W244" t="s">
        <v>1278</v>
      </c>
      <c r="X244" t="s">
        <v>32</v>
      </c>
      <c r="Y244" s="3" t="str">
        <f t="shared" si="73"/>
        <v>Second Class</v>
      </c>
      <c r="Z244">
        <v>3</v>
      </c>
      <c r="AA244">
        <v>1999.24</v>
      </c>
      <c r="AB244">
        <v>0.05</v>
      </c>
      <c r="AC244">
        <f t="shared" si="74"/>
        <v>0.05</v>
      </c>
      <c r="AD244" t="str">
        <f t="shared" si="77"/>
        <v>Valid</v>
      </c>
      <c r="AE244">
        <v>5697.83</v>
      </c>
      <c r="AF244">
        <v>4251.5</v>
      </c>
      <c r="AG244">
        <v>1446.33</v>
      </c>
      <c r="AH244" t="s">
        <v>33</v>
      </c>
      <c r="AI244" t="str">
        <f t="shared" si="78"/>
        <v>Include</v>
      </c>
      <c r="AJ244" t="str">
        <f t="shared" si="79"/>
        <v/>
      </c>
      <c r="AK244" t="s">
        <v>34</v>
      </c>
      <c r="AL244" t="str">
        <f t="shared" si="75"/>
        <v>Completed</v>
      </c>
      <c r="AM244" t="str">
        <f t="shared" si="80"/>
        <v>Include</v>
      </c>
      <c r="AN244">
        <f t="shared" si="81"/>
        <v>5697.8339999999998</v>
      </c>
      <c r="AO244">
        <f t="shared" si="82"/>
        <v>1446.3339999999998</v>
      </c>
      <c r="AP244">
        <f>IF(AN244=0,0,AO244/AN244)</f>
        <v>0.25383926593860051</v>
      </c>
      <c r="AQ244" t="str">
        <f t="shared" si="83"/>
        <v>February</v>
      </c>
      <c r="AR244">
        <f t="shared" si="84"/>
        <v>2025</v>
      </c>
      <c r="AS244" t="str">
        <f t="shared" si="85"/>
        <v>Clean</v>
      </c>
      <c r="AT244" t="str">
        <f>IF(OR(AC244&lt;0,AC244&gt;0.5),"Invalid Discount","Valid")</f>
        <v>Valid</v>
      </c>
      <c r="AU244" t="str">
        <f>IF(G244&lt;E244,"Invalid Shipping Record","Valid")</f>
        <v>Valid</v>
      </c>
      <c r="AV244" t="str">
        <f>IF(OR(AL244="Cancelled",AH244="Failed"),"Exclude","Include")</f>
        <v>Include</v>
      </c>
      <c r="AW244" t="str">
        <f t="shared" si="86"/>
        <v>Match</v>
      </c>
      <c r="AX244" t="str">
        <f t="shared" si="87"/>
        <v>Match</v>
      </c>
    </row>
    <row r="245" spans="1:50">
      <c r="A245" t="s">
        <v>1279</v>
      </c>
      <c r="B245">
        <f t="shared" si="88"/>
        <v>1</v>
      </c>
      <c r="C245" t="str">
        <f t="shared" si="76"/>
        <v/>
      </c>
      <c r="D245" s="3" t="s">
        <v>282</v>
      </c>
      <c r="E245" s="7">
        <v>45867</v>
      </c>
      <c r="F245" s="3" t="s">
        <v>1280</v>
      </c>
      <c r="G245" s="7">
        <v>45871</v>
      </c>
      <c r="H245" s="7" t="str">
        <f t="shared" si="67"/>
        <v>Valid</v>
      </c>
      <c r="I245" s="9">
        <f t="shared" si="68"/>
        <v>4</v>
      </c>
      <c r="J245" s="9" t="str">
        <f t="shared" si="69"/>
        <v>Valid</v>
      </c>
      <c r="K245" t="s">
        <v>1281</v>
      </c>
      <c r="L245" t="s">
        <v>167</v>
      </c>
      <c r="M245" t="s">
        <v>167</v>
      </c>
      <c r="N245" t="s">
        <v>40</v>
      </c>
      <c r="O245" s="3" t="str">
        <f t="shared" si="70"/>
        <v>Small Business</v>
      </c>
      <c r="Q245" s="3" t="str">
        <f t="shared" si="71"/>
        <v>Unknown</v>
      </c>
      <c r="R245" t="s">
        <v>83</v>
      </c>
      <c r="S245" t="s">
        <v>84</v>
      </c>
      <c r="T245" t="s">
        <v>85</v>
      </c>
      <c r="U245" s="3" t="str">
        <f t="shared" si="72"/>
        <v>Technology</v>
      </c>
      <c r="V245" t="s">
        <v>86</v>
      </c>
      <c r="W245" t="s">
        <v>1282</v>
      </c>
      <c r="X245" t="s">
        <v>55</v>
      </c>
      <c r="Y245" s="3" t="str">
        <f t="shared" si="73"/>
        <v>First Class</v>
      </c>
      <c r="Z245">
        <v>1</v>
      </c>
      <c r="AA245">
        <v>4499.46</v>
      </c>
      <c r="AB245">
        <v>0.1</v>
      </c>
      <c r="AC245">
        <f t="shared" si="74"/>
        <v>0.1</v>
      </c>
      <c r="AD245" t="str">
        <f t="shared" si="77"/>
        <v>Valid</v>
      </c>
      <c r="AE245">
        <v>4049.51</v>
      </c>
      <c r="AF245">
        <v>2509.1999999999998</v>
      </c>
      <c r="AG245">
        <v>1540.31</v>
      </c>
      <c r="AH245" t="s">
        <v>33</v>
      </c>
      <c r="AI245" t="str">
        <f t="shared" si="78"/>
        <v>Include</v>
      </c>
      <c r="AJ245" t="str">
        <f t="shared" si="79"/>
        <v/>
      </c>
      <c r="AK245" t="s">
        <v>1025</v>
      </c>
      <c r="AL245" t="str">
        <f t="shared" si="75"/>
        <v>Completed</v>
      </c>
      <c r="AM245" t="str">
        <f t="shared" si="80"/>
        <v>Include</v>
      </c>
      <c r="AN245">
        <f t="shared" si="81"/>
        <v>4049.5140000000001</v>
      </c>
      <c r="AO245">
        <f t="shared" si="82"/>
        <v>1540.3140000000003</v>
      </c>
      <c r="AP245">
        <f>IF(AN245=0,0,AO245/AN245)</f>
        <v>0.38037008885510715</v>
      </c>
      <c r="AQ245" t="str">
        <f t="shared" si="83"/>
        <v>July</v>
      </c>
      <c r="AR245">
        <f t="shared" si="84"/>
        <v>2025</v>
      </c>
      <c r="AS245" t="str">
        <f t="shared" si="85"/>
        <v>Warning</v>
      </c>
      <c r="AT245" t="str">
        <f>IF(OR(AC245&lt;0,AC245&gt;0.5),"Invalid Discount","Valid")</f>
        <v>Valid</v>
      </c>
      <c r="AU245" t="str">
        <f>IF(G245&lt;E245,"Invalid Shipping Record","Valid")</f>
        <v>Valid</v>
      </c>
      <c r="AV245" t="str">
        <f>IF(OR(AL245="Cancelled",AH245="Failed"),"Exclude","Include")</f>
        <v>Include</v>
      </c>
      <c r="AW245" t="str">
        <f t="shared" si="86"/>
        <v>Match</v>
      </c>
      <c r="AX245" t="str">
        <f t="shared" si="87"/>
        <v>Match</v>
      </c>
    </row>
    <row r="246" spans="1:50">
      <c r="A246" t="s">
        <v>1283</v>
      </c>
      <c r="B246">
        <f t="shared" si="88"/>
        <v>1</v>
      </c>
      <c r="C246" t="str">
        <f t="shared" si="76"/>
        <v/>
      </c>
      <c r="D246" s="3" t="s">
        <v>635</v>
      </c>
      <c r="E246" s="7">
        <v>45527</v>
      </c>
      <c r="F246" s="3" t="s">
        <v>1284</v>
      </c>
      <c r="G246" s="7">
        <v>45528</v>
      </c>
      <c r="H246" s="7" t="str">
        <f t="shared" si="67"/>
        <v>Valid</v>
      </c>
      <c r="I246" s="9">
        <f t="shared" si="68"/>
        <v>1</v>
      </c>
      <c r="J246" s="9" t="str">
        <f t="shared" si="69"/>
        <v>Valid</v>
      </c>
      <c r="K246" t="s">
        <v>1285</v>
      </c>
      <c r="L246" t="s">
        <v>92</v>
      </c>
      <c r="M246" t="s">
        <v>92</v>
      </c>
      <c r="N246" t="s">
        <v>25</v>
      </c>
      <c r="O246" s="3" t="str">
        <f t="shared" si="70"/>
        <v>Consumer</v>
      </c>
      <c r="P246" t="s">
        <v>61</v>
      </c>
      <c r="Q246" s="3" t="str">
        <f t="shared" si="71"/>
        <v>South</v>
      </c>
      <c r="R246" t="s">
        <v>62</v>
      </c>
      <c r="S246" t="s">
        <v>63</v>
      </c>
      <c r="T246" t="s">
        <v>44</v>
      </c>
      <c r="U246" s="3" t="str">
        <f t="shared" si="72"/>
        <v>Furniture</v>
      </c>
      <c r="V246" t="s">
        <v>203</v>
      </c>
      <c r="W246" t="s">
        <v>1286</v>
      </c>
      <c r="X246" t="s">
        <v>47</v>
      </c>
      <c r="Y246" s="3" t="str">
        <f t="shared" si="73"/>
        <v>Same Day</v>
      </c>
      <c r="Z246">
        <v>6</v>
      </c>
      <c r="AA246">
        <v>1021.89</v>
      </c>
      <c r="AB246">
        <v>0</v>
      </c>
      <c r="AC246">
        <f t="shared" si="74"/>
        <v>0</v>
      </c>
      <c r="AD246" t="str">
        <f t="shared" si="77"/>
        <v>Valid</v>
      </c>
      <c r="AE246">
        <v>6131.34</v>
      </c>
      <c r="AF246">
        <v>4060.88</v>
      </c>
      <c r="AG246">
        <v>2070.46</v>
      </c>
      <c r="AH246" t="s">
        <v>33</v>
      </c>
      <c r="AI246" t="str">
        <f t="shared" si="78"/>
        <v>Include</v>
      </c>
      <c r="AJ246" t="str">
        <f t="shared" si="79"/>
        <v/>
      </c>
      <c r="AK246" t="s">
        <v>34</v>
      </c>
      <c r="AL246" t="str">
        <f t="shared" si="75"/>
        <v>Completed</v>
      </c>
      <c r="AM246" t="str">
        <f t="shared" si="80"/>
        <v>Include</v>
      </c>
      <c r="AN246">
        <f t="shared" si="81"/>
        <v>6131.34</v>
      </c>
      <c r="AO246">
        <f t="shared" si="82"/>
        <v>2070.46</v>
      </c>
      <c r="AP246">
        <f>IF(AN246=0,0,AO246/AN246)</f>
        <v>0.33768474754295147</v>
      </c>
      <c r="AQ246" t="str">
        <f t="shared" si="83"/>
        <v>August</v>
      </c>
      <c r="AR246">
        <f t="shared" si="84"/>
        <v>2024</v>
      </c>
      <c r="AS246" t="str">
        <f t="shared" si="85"/>
        <v>Clean</v>
      </c>
      <c r="AT246" t="str">
        <f>IF(OR(AC246&lt;0,AC246&gt;0.5),"Invalid Discount","Valid")</f>
        <v>Valid</v>
      </c>
      <c r="AU246" t="str">
        <f>IF(G246&lt;E246,"Invalid Shipping Record","Valid")</f>
        <v>Valid</v>
      </c>
      <c r="AV246" t="str">
        <f>IF(OR(AL246="Cancelled",AH246="Failed"),"Exclude","Include")</f>
        <v>Include</v>
      </c>
      <c r="AW246" t="str">
        <f t="shared" si="86"/>
        <v>Match</v>
      </c>
      <c r="AX246" t="str">
        <f t="shared" si="87"/>
        <v>Match</v>
      </c>
    </row>
    <row r="247" spans="1:50">
      <c r="A247" t="s">
        <v>1287</v>
      </c>
      <c r="B247">
        <f t="shared" si="88"/>
        <v>1</v>
      </c>
      <c r="C247" t="str">
        <f t="shared" si="76"/>
        <v/>
      </c>
      <c r="D247" s="3" t="s">
        <v>643</v>
      </c>
      <c r="E247" s="7">
        <v>45583</v>
      </c>
      <c r="F247" s="3" t="s">
        <v>871</v>
      </c>
      <c r="G247" s="7">
        <v>45589</v>
      </c>
      <c r="H247" s="7" t="str">
        <f t="shared" si="67"/>
        <v>Valid</v>
      </c>
      <c r="I247" s="9">
        <f t="shared" si="68"/>
        <v>6</v>
      </c>
      <c r="J247" s="9" t="str">
        <f t="shared" si="69"/>
        <v>Valid</v>
      </c>
      <c r="K247" t="s">
        <v>1288</v>
      </c>
      <c r="L247" t="s">
        <v>92</v>
      </c>
      <c r="M247" t="s">
        <v>92</v>
      </c>
      <c r="N247" t="s">
        <v>114</v>
      </c>
      <c r="O247" s="3" t="str">
        <f t="shared" si="70"/>
        <v>Home Office</v>
      </c>
      <c r="P247" t="s">
        <v>61</v>
      </c>
      <c r="Q247" s="3" t="str">
        <f t="shared" si="71"/>
        <v>South</v>
      </c>
      <c r="R247" t="s">
        <v>241</v>
      </c>
      <c r="S247" t="s">
        <v>242</v>
      </c>
      <c r="T247" t="s">
        <v>1289</v>
      </c>
      <c r="U247" s="3" t="str">
        <f t="shared" si="72"/>
        <v>Furniture</v>
      </c>
      <c r="V247" t="s">
        <v>75</v>
      </c>
      <c r="W247" t="s">
        <v>1290</v>
      </c>
      <c r="X247" t="s">
        <v>32</v>
      </c>
      <c r="Y247" s="3" t="str">
        <f t="shared" si="73"/>
        <v>Second Class</v>
      </c>
      <c r="Z247">
        <v>3</v>
      </c>
      <c r="AA247">
        <v>3275.93</v>
      </c>
      <c r="AB247">
        <v>0</v>
      </c>
      <c r="AC247">
        <f t="shared" si="74"/>
        <v>0</v>
      </c>
      <c r="AD247" t="str">
        <f t="shared" si="77"/>
        <v>Valid</v>
      </c>
      <c r="AE247">
        <v>9827.7900000000009</v>
      </c>
      <c r="AF247">
        <v>5478.28</v>
      </c>
      <c r="AG247">
        <v>4349.51</v>
      </c>
      <c r="AH247" t="s">
        <v>33</v>
      </c>
      <c r="AI247" t="str">
        <f t="shared" si="78"/>
        <v>Include</v>
      </c>
      <c r="AJ247" t="str">
        <f t="shared" si="79"/>
        <v/>
      </c>
      <c r="AK247" t="s">
        <v>34</v>
      </c>
      <c r="AL247" t="str">
        <f t="shared" si="75"/>
        <v>Completed</v>
      </c>
      <c r="AM247" t="str">
        <f t="shared" si="80"/>
        <v>Include</v>
      </c>
      <c r="AN247">
        <f t="shared" si="81"/>
        <v>9827.7899999999991</v>
      </c>
      <c r="AO247">
        <f t="shared" si="82"/>
        <v>4349.5099999999993</v>
      </c>
      <c r="AP247">
        <f>IF(AN247=0,0,AO247/AN247)</f>
        <v>0.44257254174132737</v>
      </c>
      <c r="AQ247" t="str">
        <f t="shared" si="83"/>
        <v>October</v>
      </c>
      <c r="AR247">
        <f t="shared" si="84"/>
        <v>2024</v>
      </c>
      <c r="AS247" t="str">
        <f t="shared" si="85"/>
        <v>Clean</v>
      </c>
      <c r="AT247" t="str">
        <f>IF(OR(AC247&lt;0,AC247&gt;0.5),"Invalid Discount","Valid")</f>
        <v>Valid</v>
      </c>
      <c r="AU247" t="str">
        <f>IF(G247&lt;E247,"Invalid Shipping Record","Valid")</f>
        <v>Valid</v>
      </c>
      <c r="AV247" t="str">
        <f>IF(OR(AL247="Cancelled",AH247="Failed"),"Exclude","Include")</f>
        <v>Include</v>
      </c>
      <c r="AW247" t="str">
        <f t="shared" si="86"/>
        <v>Match</v>
      </c>
      <c r="AX247" t="str">
        <f t="shared" si="87"/>
        <v>Match</v>
      </c>
    </row>
    <row r="248" spans="1:50">
      <c r="A248" t="s">
        <v>1291</v>
      </c>
      <c r="B248">
        <f t="shared" si="88"/>
        <v>1</v>
      </c>
      <c r="C248" t="str">
        <f t="shared" si="76"/>
        <v/>
      </c>
      <c r="D248" s="3" t="s">
        <v>1292</v>
      </c>
      <c r="E248" s="7">
        <v>45416</v>
      </c>
      <c r="F248" s="3" t="s">
        <v>1293</v>
      </c>
      <c r="G248" s="7">
        <v>45421</v>
      </c>
      <c r="H248" s="7" t="str">
        <f t="shared" si="67"/>
        <v>Valid</v>
      </c>
      <c r="I248" s="9">
        <f t="shared" si="68"/>
        <v>5</v>
      </c>
      <c r="J248" s="9" t="str">
        <f t="shared" si="69"/>
        <v>Valid</v>
      </c>
      <c r="K248" t="s">
        <v>1294</v>
      </c>
      <c r="L248" t="s">
        <v>71</v>
      </c>
      <c r="M248" t="s">
        <v>71</v>
      </c>
      <c r="N248" t="s">
        <v>107</v>
      </c>
      <c r="O248" s="3" t="str">
        <f t="shared" si="70"/>
        <v>Corporate</v>
      </c>
      <c r="P248" t="s">
        <v>26</v>
      </c>
      <c r="Q248" s="3" t="str">
        <f t="shared" si="71"/>
        <v>North</v>
      </c>
      <c r="R248" t="s">
        <v>153</v>
      </c>
      <c r="S248" t="s">
        <v>154</v>
      </c>
      <c r="T248" t="s">
        <v>85</v>
      </c>
      <c r="U248" s="3" t="str">
        <f t="shared" si="72"/>
        <v>Technology</v>
      </c>
      <c r="V248" t="s">
        <v>381</v>
      </c>
      <c r="W248" t="s">
        <v>1295</v>
      </c>
      <c r="X248" t="s">
        <v>47</v>
      </c>
      <c r="Y248" s="3" t="str">
        <f t="shared" si="73"/>
        <v>Same Day</v>
      </c>
      <c r="Z248">
        <v>3</v>
      </c>
      <c r="AA248">
        <v>231.95</v>
      </c>
      <c r="AB248">
        <v>0.25</v>
      </c>
      <c r="AC248">
        <f t="shared" si="74"/>
        <v>0.25</v>
      </c>
      <c r="AD248" t="str">
        <f t="shared" si="77"/>
        <v>Valid</v>
      </c>
      <c r="AE248">
        <v>521.89</v>
      </c>
      <c r="AF248">
        <v>444.52</v>
      </c>
      <c r="AG248">
        <v>77.37</v>
      </c>
      <c r="AH248" t="s">
        <v>123</v>
      </c>
      <c r="AI248" t="str">
        <f t="shared" si="78"/>
        <v>Exclude</v>
      </c>
      <c r="AJ248" t="str">
        <f t="shared" si="79"/>
        <v>Refunded Order</v>
      </c>
      <c r="AK248" t="s">
        <v>77</v>
      </c>
      <c r="AL248" t="str">
        <f t="shared" si="75"/>
        <v>Cancelled</v>
      </c>
      <c r="AM248" t="str">
        <f t="shared" si="80"/>
        <v>Exclude</v>
      </c>
      <c r="AN248">
        <f t="shared" si="81"/>
        <v>521.88749999999993</v>
      </c>
      <c r="AO248">
        <f t="shared" si="82"/>
        <v>77.36749999999995</v>
      </c>
      <c r="AP248">
        <f>IF(AN248=0,0,AO248/AN248)</f>
        <v>0.14824555100476627</v>
      </c>
      <c r="AQ248" t="str">
        <f t="shared" si="83"/>
        <v>May</v>
      </c>
      <c r="AR248">
        <f t="shared" si="84"/>
        <v>2024</v>
      </c>
      <c r="AS248" t="str">
        <f t="shared" si="85"/>
        <v>Clean</v>
      </c>
      <c r="AT248" t="str">
        <f>IF(OR(AC248&lt;0,AC248&gt;0.5),"Invalid Discount","Valid")</f>
        <v>Valid</v>
      </c>
      <c r="AU248" t="str">
        <f>IF(G248&lt;E248,"Invalid Shipping Record","Valid")</f>
        <v>Valid</v>
      </c>
      <c r="AV248" t="str">
        <f>IF(OR(AL248="Cancelled",AH248="Failed"),"Exclude","Include")</f>
        <v>Exclude</v>
      </c>
      <c r="AW248" t="str">
        <f t="shared" si="86"/>
        <v>Match</v>
      </c>
      <c r="AX248" t="str">
        <f t="shared" si="87"/>
        <v>Match</v>
      </c>
    </row>
    <row r="249" spans="1:50">
      <c r="A249" t="s">
        <v>1296</v>
      </c>
      <c r="B249">
        <f t="shared" si="88"/>
        <v>1</v>
      </c>
      <c r="C249" t="str">
        <f t="shared" si="76"/>
        <v/>
      </c>
      <c r="D249" s="3" t="s">
        <v>1297</v>
      </c>
      <c r="E249" s="7">
        <v>45498</v>
      </c>
      <c r="F249" s="3" t="s">
        <v>1298</v>
      </c>
      <c r="G249" s="7">
        <v>45505</v>
      </c>
      <c r="H249" s="7" t="str">
        <f t="shared" si="67"/>
        <v>Valid</v>
      </c>
      <c r="I249" s="9">
        <f t="shared" si="68"/>
        <v>7</v>
      </c>
      <c r="J249" s="9" t="str">
        <f t="shared" si="69"/>
        <v>Valid</v>
      </c>
      <c r="K249" t="s">
        <v>1299</v>
      </c>
      <c r="L249" t="s">
        <v>147</v>
      </c>
      <c r="M249" t="s">
        <v>147</v>
      </c>
      <c r="N249" t="s">
        <v>107</v>
      </c>
      <c r="O249" s="3" t="str">
        <f t="shared" si="70"/>
        <v>Corporate</v>
      </c>
      <c r="P249" t="s">
        <v>26</v>
      </c>
      <c r="Q249" s="3" t="str">
        <f t="shared" si="71"/>
        <v>North</v>
      </c>
      <c r="R249" t="s">
        <v>27</v>
      </c>
      <c r="S249" t="s">
        <v>28</v>
      </c>
      <c r="T249" t="s">
        <v>85</v>
      </c>
      <c r="U249" s="3" t="str">
        <f t="shared" si="72"/>
        <v>Technology</v>
      </c>
      <c r="V249" t="s">
        <v>86</v>
      </c>
      <c r="W249" t="s">
        <v>1300</v>
      </c>
      <c r="X249" t="s">
        <v>32</v>
      </c>
      <c r="Y249" s="3" t="str">
        <f t="shared" si="73"/>
        <v>Second Class</v>
      </c>
      <c r="Z249">
        <v>8</v>
      </c>
      <c r="AA249">
        <v>2493.4</v>
      </c>
      <c r="AB249">
        <v>0.25</v>
      </c>
      <c r="AC249">
        <f t="shared" si="74"/>
        <v>0.25</v>
      </c>
      <c r="AD249" t="str">
        <f t="shared" si="77"/>
        <v>Valid</v>
      </c>
      <c r="AE249">
        <v>14960.4</v>
      </c>
      <c r="AF249">
        <v>12500.84</v>
      </c>
      <c r="AG249">
        <v>2459.56</v>
      </c>
      <c r="AH249" t="s">
        <v>33</v>
      </c>
      <c r="AI249" t="str">
        <f t="shared" si="78"/>
        <v>Include</v>
      </c>
      <c r="AJ249" t="str">
        <f t="shared" si="79"/>
        <v/>
      </c>
      <c r="AK249" t="s">
        <v>34</v>
      </c>
      <c r="AL249" t="str">
        <f t="shared" si="75"/>
        <v>Completed</v>
      </c>
      <c r="AM249" t="str">
        <f t="shared" si="80"/>
        <v>Include</v>
      </c>
      <c r="AN249">
        <f t="shared" si="81"/>
        <v>14960.400000000001</v>
      </c>
      <c r="AO249">
        <f t="shared" si="82"/>
        <v>2459.5600000000013</v>
      </c>
      <c r="AP249">
        <f>IF(AN249=0,0,AO249/AN249)</f>
        <v>0.16440469506162944</v>
      </c>
      <c r="AQ249" t="str">
        <f t="shared" si="83"/>
        <v>July</v>
      </c>
      <c r="AR249">
        <f t="shared" si="84"/>
        <v>2024</v>
      </c>
      <c r="AS249" t="str">
        <f t="shared" si="85"/>
        <v>Clean</v>
      </c>
      <c r="AT249" t="str">
        <f>IF(OR(AC249&lt;0,AC249&gt;0.5),"Invalid Discount","Valid")</f>
        <v>Valid</v>
      </c>
      <c r="AU249" t="str">
        <f>IF(G249&lt;E249,"Invalid Shipping Record","Valid")</f>
        <v>Valid</v>
      </c>
      <c r="AV249" t="str">
        <f>IF(OR(AL249="Cancelled",AH249="Failed"),"Exclude","Include")</f>
        <v>Include</v>
      </c>
      <c r="AW249" t="str">
        <f t="shared" si="86"/>
        <v>Match</v>
      </c>
      <c r="AX249" t="str">
        <f t="shared" si="87"/>
        <v>Match</v>
      </c>
    </row>
    <row r="250" spans="1:50">
      <c r="A250" t="s">
        <v>1301</v>
      </c>
      <c r="B250">
        <f t="shared" si="88"/>
        <v>1</v>
      </c>
      <c r="C250" t="str">
        <f t="shared" si="76"/>
        <v/>
      </c>
      <c r="D250" s="3" t="s">
        <v>1302</v>
      </c>
      <c r="E250" s="7">
        <v>45445</v>
      </c>
      <c r="F250" s="3" t="s">
        <v>577</v>
      </c>
      <c r="G250" s="7">
        <v>45450</v>
      </c>
      <c r="H250" s="7" t="str">
        <f t="shared" si="67"/>
        <v>Valid</v>
      </c>
      <c r="I250" s="9">
        <f t="shared" si="68"/>
        <v>5</v>
      </c>
      <c r="J250" s="9" t="str">
        <f t="shared" si="69"/>
        <v>Valid</v>
      </c>
      <c r="K250" t="s">
        <v>1303</v>
      </c>
      <c r="L250" t="s">
        <v>179</v>
      </c>
      <c r="M250" t="s">
        <v>179</v>
      </c>
      <c r="N250" t="s">
        <v>114</v>
      </c>
      <c r="O250" s="3" t="str">
        <f t="shared" si="70"/>
        <v>Home Office</v>
      </c>
      <c r="P250" t="s">
        <v>41</v>
      </c>
      <c r="Q250" s="3" t="str">
        <f t="shared" si="71"/>
        <v>East</v>
      </c>
      <c r="R250" t="s">
        <v>42</v>
      </c>
      <c r="S250" t="s">
        <v>43</v>
      </c>
      <c r="T250" t="s">
        <v>29</v>
      </c>
      <c r="U250" s="3" t="str">
        <f t="shared" si="72"/>
        <v>Office Supplies</v>
      </c>
      <c r="V250" t="s">
        <v>108</v>
      </c>
      <c r="W250" t="s">
        <v>1304</v>
      </c>
      <c r="X250" t="s">
        <v>32</v>
      </c>
      <c r="Y250" s="3" t="str">
        <f t="shared" si="73"/>
        <v>Second Class</v>
      </c>
      <c r="Z250">
        <v>9</v>
      </c>
      <c r="AA250">
        <v>787.91</v>
      </c>
      <c r="AB250">
        <v>0.15</v>
      </c>
      <c r="AC250">
        <f t="shared" si="74"/>
        <v>0.15</v>
      </c>
      <c r="AD250" t="str">
        <f t="shared" si="77"/>
        <v>Valid</v>
      </c>
      <c r="AE250">
        <v>6027.51</v>
      </c>
      <c r="AF250">
        <v>4883.82</v>
      </c>
      <c r="AG250">
        <v>1143.69</v>
      </c>
      <c r="AH250" t="s">
        <v>33</v>
      </c>
      <c r="AI250" t="str">
        <f t="shared" si="78"/>
        <v>Include</v>
      </c>
      <c r="AJ250" t="str">
        <f t="shared" si="79"/>
        <v/>
      </c>
      <c r="AK250" t="s">
        <v>34</v>
      </c>
      <c r="AL250" t="str">
        <f t="shared" si="75"/>
        <v>Completed</v>
      </c>
      <c r="AM250" t="str">
        <f t="shared" si="80"/>
        <v>Include</v>
      </c>
      <c r="AN250">
        <f t="shared" si="81"/>
        <v>6027.5114999999996</v>
      </c>
      <c r="AO250">
        <f t="shared" si="82"/>
        <v>1143.6914999999999</v>
      </c>
      <c r="AP250">
        <f>IF(AN250=0,0,AO250/AN250)</f>
        <v>0.18974522072666306</v>
      </c>
      <c r="AQ250" t="str">
        <f t="shared" si="83"/>
        <v>June</v>
      </c>
      <c r="AR250">
        <f t="shared" si="84"/>
        <v>2024</v>
      </c>
      <c r="AS250" t="str">
        <f t="shared" si="85"/>
        <v>Clean</v>
      </c>
      <c r="AT250" t="str">
        <f>IF(OR(AC250&lt;0,AC250&gt;0.5),"Invalid Discount","Valid")</f>
        <v>Valid</v>
      </c>
      <c r="AU250" t="str">
        <f>IF(G250&lt;E250,"Invalid Shipping Record","Valid")</f>
        <v>Valid</v>
      </c>
      <c r="AV250" t="str">
        <f>IF(OR(AL250="Cancelled",AH250="Failed"),"Exclude","Include")</f>
        <v>Include</v>
      </c>
      <c r="AW250" t="str">
        <f t="shared" si="86"/>
        <v>Match</v>
      </c>
      <c r="AX250" t="str">
        <f t="shared" si="87"/>
        <v>Match</v>
      </c>
    </row>
    <row r="251" spans="1:50">
      <c r="A251" t="s">
        <v>1305</v>
      </c>
      <c r="B251">
        <f t="shared" si="88"/>
        <v>1</v>
      </c>
      <c r="C251" t="str">
        <f t="shared" si="76"/>
        <v/>
      </c>
      <c r="D251" s="3" t="s">
        <v>819</v>
      </c>
      <c r="E251" s="7">
        <v>45870</v>
      </c>
      <c r="F251" s="3" t="s">
        <v>1306</v>
      </c>
      <c r="G251" s="7">
        <v>45871</v>
      </c>
      <c r="H251" s="7" t="str">
        <f t="shared" si="67"/>
        <v>Valid</v>
      </c>
      <c r="I251" s="9">
        <f t="shared" si="68"/>
        <v>1</v>
      </c>
      <c r="J251" s="9" t="str">
        <f t="shared" si="69"/>
        <v>Valid</v>
      </c>
      <c r="K251" t="s">
        <v>1307</v>
      </c>
      <c r="L251" t="s">
        <v>39</v>
      </c>
      <c r="M251" t="s">
        <v>39</v>
      </c>
      <c r="N251" t="s">
        <v>107</v>
      </c>
      <c r="O251" s="3" t="str">
        <f t="shared" si="70"/>
        <v>Corporate</v>
      </c>
      <c r="P251" t="s">
        <v>26</v>
      </c>
      <c r="Q251" s="3" t="str">
        <f t="shared" si="71"/>
        <v>North</v>
      </c>
      <c r="R251" t="s">
        <v>27</v>
      </c>
      <c r="S251" t="s">
        <v>28</v>
      </c>
      <c r="T251" t="s">
        <v>44</v>
      </c>
      <c r="U251" s="3" t="str">
        <f t="shared" si="72"/>
        <v>Furniture</v>
      </c>
      <c r="V251" t="s">
        <v>64</v>
      </c>
      <c r="W251" t="s">
        <v>1308</v>
      </c>
      <c r="X251" t="s">
        <v>55</v>
      </c>
      <c r="Y251" s="3" t="str">
        <f t="shared" si="73"/>
        <v>First Class</v>
      </c>
      <c r="Z251">
        <v>4</v>
      </c>
      <c r="AA251">
        <v>2790.29</v>
      </c>
      <c r="AB251">
        <v>0.2</v>
      </c>
      <c r="AC251">
        <f t="shared" si="74"/>
        <v>0.2</v>
      </c>
      <c r="AD251" t="str">
        <f t="shared" si="77"/>
        <v>Valid</v>
      </c>
      <c r="AE251">
        <v>8928.93</v>
      </c>
      <c r="AF251">
        <v>5634.38</v>
      </c>
      <c r="AG251">
        <v>3294.55</v>
      </c>
      <c r="AH251" t="s">
        <v>33</v>
      </c>
      <c r="AI251" t="str">
        <f t="shared" si="78"/>
        <v>Include</v>
      </c>
      <c r="AJ251" t="str">
        <f t="shared" si="79"/>
        <v/>
      </c>
      <c r="AK251" t="s">
        <v>34</v>
      </c>
      <c r="AL251" t="str">
        <f t="shared" si="75"/>
        <v>Completed</v>
      </c>
      <c r="AM251" t="str">
        <f t="shared" si="80"/>
        <v>Include</v>
      </c>
      <c r="AN251">
        <f t="shared" si="81"/>
        <v>8928.9279999999999</v>
      </c>
      <c r="AO251">
        <f t="shared" si="82"/>
        <v>3294.5479999999998</v>
      </c>
      <c r="AP251">
        <f>IF(AN251=0,0,AO251/AN251)</f>
        <v>0.36897464062875185</v>
      </c>
      <c r="AQ251" t="str">
        <f t="shared" si="83"/>
        <v>August</v>
      </c>
      <c r="AR251">
        <f t="shared" si="84"/>
        <v>2025</v>
      </c>
      <c r="AS251" t="str">
        <f t="shared" si="85"/>
        <v>Clean</v>
      </c>
      <c r="AT251" t="str">
        <f>IF(OR(AC251&lt;0,AC251&gt;0.5),"Invalid Discount","Valid")</f>
        <v>Valid</v>
      </c>
      <c r="AU251" t="str">
        <f>IF(G251&lt;E251,"Invalid Shipping Record","Valid")</f>
        <v>Valid</v>
      </c>
      <c r="AV251" t="str">
        <f>IF(OR(AL251="Cancelled",AH251="Failed"),"Exclude","Include")</f>
        <v>Include</v>
      </c>
      <c r="AW251" t="str">
        <f t="shared" si="86"/>
        <v>Match</v>
      </c>
      <c r="AX251" t="str">
        <f t="shared" si="87"/>
        <v>Match</v>
      </c>
    </row>
    <row r="252" spans="1:50">
      <c r="A252" t="s">
        <v>1309</v>
      </c>
      <c r="B252">
        <f t="shared" si="88"/>
        <v>1</v>
      </c>
      <c r="C252" t="str">
        <f t="shared" si="76"/>
        <v/>
      </c>
      <c r="D252" s="3" t="s">
        <v>1310</v>
      </c>
      <c r="E252" s="7">
        <v>45343</v>
      </c>
      <c r="F252" s="3" t="s">
        <v>1311</v>
      </c>
      <c r="G252" s="7">
        <v>45349</v>
      </c>
      <c r="H252" s="7" t="str">
        <f t="shared" si="67"/>
        <v>Valid</v>
      </c>
      <c r="I252" s="9">
        <f t="shared" si="68"/>
        <v>6</v>
      </c>
      <c r="J252" s="9" t="str">
        <f t="shared" si="69"/>
        <v>Valid</v>
      </c>
      <c r="K252" t="s">
        <v>1312</v>
      </c>
      <c r="L252" t="s">
        <v>60</v>
      </c>
      <c r="M252" t="s">
        <v>60</v>
      </c>
      <c r="N252" t="s">
        <v>40</v>
      </c>
      <c r="O252" s="3" t="str">
        <f t="shared" si="70"/>
        <v>Small Business</v>
      </c>
      <c r="P252" t="s">
        <v>41</v>
      </c>
      <c r="Q252" s="3" t="str">
        <f t="shared" si="71"/>
        <v>East</v>
      </c>
      <c r="R252" t="s">
        <v>120</v>
      </c>
      <c r="S252" t="s">
        <v>121</v>
      </c>
      <c r="T252" t="s">
        <v>44</v>
      </c>
      <c r="U252" s="3" t="str">
        <f t="shared" si="72"/>
        <v>Furniture</v>
      </c>
      <c r="V252" t="s">
        <v>64</v>
      </c>
      <c r="W252" t="s">
        <v>1313</v>
      </c>
      <c r="X252" t="s">
        <v>66</v>
      </c>
      <c r="Y252" s="3" t="str">
        <f t="shared" si="73"/>
        <v>Standard Class</v>
      </c>
      <c r="Z252">
        <v>5</v>
      </c>
      <c r="AA252">
        <v>3373.86</v>
      </c>
      <c r="AB252">
        <v>0.15</v>
      </c>
      <c r="AC252">
        <f t="shared" si="74"/>
        <v>0.15</v>
      </c>
      <c r="AD252" t="str">
        <f t="shared" si="77"/>
        <v>Valid</v>
      </c>
      <c r="AE252">
        <v>14338.9</v>
      </c>
      <c r="AF252">
        <v>11897.65</v>
      </c>
      <c r="AG252">
        <v>2441.25</v>
      </c>
      <c r="AH252" t="s">
        <v>136</v>
      </c>
      <c r="AI252" t="str">
        <f t="shared" si="78"/>
        <v>Include</v>
      </c>
      <c r="AJ252" t="str">
        <f t="shared" si="79"/>
        <v/>
      </c>
      <c r="AK252" t="s">
        <v>124</v>
      </c>
      <c r="AL252" t="str">
        <f t="shared" si="75"/>
        <v>Returned</v>
      </c>
      <c r="AM252" t="str">
        <f t="shared" si="80"/>
        <v>Include</v>
      </c>
      <c r="AN252">
        <f t="shared" si="81"/>
        <v>14338.904999999999</v>
      </c>
      <c r="AO252">
        <f t="shared" si="82"/>
        <v>2441.2549999999992</v>
      </c>
      <c r="AP252">
        <f>IF(AN252=0,0,AO252/AN252)</f>
        <v>0.17025393501107647</v>
      </c>
      <c r="AQ252" t="str">
        <f t="shared" si="83"/>
        <v>February</v>
      </c>
      <c r="AR252">
        <f t="shared" si="84"/>
        <v>2024</v>
      </c>
      <c r="AS252" t="str">
        <f t="shared" si="85"/>
        <v>Clean</v>
      </c>
      <c r="AT252" t="str">
        <f>IF(OR(AC252&lt;0,AC252&gt;0.5),"Invalid Discount","Valid")</f>
        <v>Valid</v>
      </c>
      <c r="AU252" t="str">
        <f>IF(G252&lt;E252,"Invalid Shipping Record","Valid")</f>
        <v>Valid</v>
      </c>
      <c r="AV252" t="str">
        <f>IF(OR(AL252="Cancelled",AH252="Failed"),"Exclude","Include")</f>
        <v>Include</v>
      </c>
      <c r="AW252" t="str">
        <f t="shared" si="86"/>
        <v>Mismatch</v>
      </c>
      <c r="AX252" t="str">
        <f t="shared" si="87"/>
        <v>Mismatch</v>
      </c>
    </row>
    <row r="253" spans="1:50">
      <c r="A253" t="s">
        <v>1314</v>
      </c>
      <c r="B253">
        <f t="shared" si="88"/>
        <v>1</v>
      </c>
      <c r="C253" t="str">
        <f t="shared" si="76"/>
        <v/>
      </c>
      <c r="D253" s="3" t="s">
        <v>1315</v>
      </c>
      <c r="E253" s="7">
        <v>45753</v>
      </c>
      <c r="F253" s="3" t="s">
        <v>89</v>
      </c>
      <c r="G253" s="7">
        <v>45757</v>
      </c>
      <c r="H253" s="7" t="str">
        <f t="shared" si="67"/>
        <v>Valid</v>
      </c>
      <c r="I253" s="9">
        <f t="shared" si="68"/>
        <v>4</v>
      </c>
      <c r="J253" s="9" t="str">
        <f t="shared" si="69"/>
        <v>Valid</v>
      </c>
      <c r="K253" t="s">
        <v>1316</v>
      </c>
      <c r="L253" t="s">
        <v>71</v>
      </c>
      <c r="M253" t="s">
        <v>71</v>
      </c>
      <c r="N253" t="s">
        <v>107</v>
      </c>
      <c r="O253" s="3" t="str">
        <f t="shared" si="70"/>
        <v>Corporate</v>
      </c>
      <c r="P253" t="s">
        <v>72</v>
      </c>
      <c r="Q253" s="3" t="str">
        <f t="shared" si="71"/>
        <v>West</v>
      </c>
      <c r="R253" t="s">
        <v>234</v>
      </c>
      <c r="S253" t="s">
        <v>235</v>
      </c>
      <c r="T253" t="s">
        <v>44</v>
      </c>
      <c r="U253" s="3" t="str">
        <f t="shared" si="72"/>
        <v>Furniture</v>
      </c>
      <c r="V253" t="s">
        <v>45</v>
      </c>
      <c r="W253" t="s">
        <v>1317</v>
      </c>
      <c r="X253" t="s">
        <v>32</v>
      </c>
      <c r="Y253" s="3" t="str">
        <f t="shared" si="73"/>
        <v>Second Class</v>
      </c>
      <c r="Z253">
        <v>6</v>
      </c>
      <c r="AA253">
        <v>1022.16</v>
      </c>
      <c r="AB253">
        <v>0</v>
      </c>
      <c r="AC253">
        <f t="shared" si="74"/>
        <v>0</v>
      </c>
      <c r="AD253" t="str">
        <f t="shared" si="77"/>
        <v>Valid</v>
      </c>
      <c r="AE253">
        <v>6132.96</v>
      </c>
      <c r="AF253">
        <v>4881.1000000000004</v>
      </c>
      <c r="AG253">
        <v>1251.8599999999999</v>
      </c>
      <c r="AH253" t="s">
        <v>33</v>
      </c>
      <c r="AI253" t="str">
        <f t="shared" si="78"/>
        <v>Include</v>
      </c>
      <c r="AJ253" t="str">
        <f t="shared" si="79"/>
        <v/>
      </c>
      <c r="AK253" t="s">
        <v>34</v>
      </c>
      <c r="AL253" t="str">
        <f t="shared" si="75"/>
        <v>Completed</v>
      </c>
      <c r="AM253" t="str">
        <f t="shared" si="80"/>
        <v>Include</v>
      </c>
      <c r="AN253">
        <f t="shared" si="81"/>
        <v>6132.96</v>
      </c>
      <c r="AO253">
        <f t="shared" si="82"/>
        <v>1251.8599999999997</v>
      </c>
      <c r="AP253">
        <f>IF(AN253=0,0,AO253/AN253)</f>
        <v>0.20412003339333692</v>
      </c>
      <c r="AQ253" t="str">
        <f t="shared" si="83"/>
        <v>April</v>
      </c>
      <c r="AR253">
        <f t="shared" si="84"/>
        <v>2025</v>
      </c>
      <c r="AS253" t="str">
        <f t="shared" si="85"/>
        <v>Clean</v>
      </c>
      <c r="AT253" t="str">
        <f>IF(OR(AC253&lt;0,AC253&gt;0.5),"Invalid Discount","Valid")</f>
        <v>Valid</v>
      </c>
      <c r="AU253" t="str">
        <f>IF(G253&lt;E253,"Invalid Shipping Record","Valid")</f>
        <v>Valid</v>
      </c>
      <c r="AV253" t="str">
        <f>IF(OR(AL253="Cancelled",AH253="Failed"),"Exclude","Include")</f>
        <v>Include</v>
      </c>
      <c r="AW253" t="str">
        <f t="shared" si="86"/>
        <v>Match</v>
      </c>
      <c r="AX253" t="str">
        <f t="shared" si="87"/>
        <v>Match</v>
      </c>
    </row>
    <row r="254" spans="1:50">
      <c r="A254" t="s">
        <v>1318</v>
      </c>
      <c r="B254">
        <f t="shared" si="88"/>
        <v>1</v>
      </c>
      <c r="C254" t="str">
        <f t="shared" si="76"/>
        <v/>
      </c>
      <c r="D254" s="3" t="s">
        <v>1319</v>
      </c>
      <c r="E254" s="7">
        <v>45833</v>
      </c>
      <c r="F254" s="3" t="s">
        <v>1214</v>
      </c>
      <c r="G254" s="7">
        <v>45836</v>
      </c>
      <c r="H254" s="7" t="str">
        <f t="shared" si="67"/>
        <v>Valid</v>
      </c>
      <c r="I254" s="9">
        <f t="shared" si="68"/>
        <v>3</v>
      </c>
      <c r="J254" s="9" t="str">
        <f t="shared" si="69"/>
        <v>Valid</v>
      </c>
      <c r="K254" t="s">
        <v>1320</v>
      </c>
      <c r="L254" t="s">
        <v>60</v>
      </c>
      <c r="M254" t="s">
        <v>60</v>
      </c>
      <c r="N254" t="s">
        <v>107</v>
      </c>
      <c r="O254" s="3" t="str">
        <f t="shared" si="70"/>
        <v>Corporate</v>
      </c>
      <c r="P254" t="s">
        <v>26</v>
      </c>
      <c r="Q254" s="3" t="str">
        <f t="shared" si="71"/>
        <v>North</v>
      </c>
      <c r="R254" t="s">
        <v>322</v>
      </c>
      <c r="S254" t="s">
        <v>323</v>
      </c>
      <c r="T254" t="s">
        <v>29</v>
      </c>
      <c r="U254" s="3" t="str">
        <f t="shared" si="72"/>
        <v>Office Supplies</v>
      </c>
      <c r="V254" t="s">
        <v>155</v>
      </c>
      <c r="W254" t="s">
        <v>1321</v>
      </c>
      <c r="X254" t="s">
        <v>55</v>
      </c>
      <c r="Y254" s="3" t="str">
        <f t="shared" si="73"/>
        <v>First Class</v>
      </c>
      <c r="Z254">
        <v>2</v>
      </c>
      <c r="AA254">
        <v>1455.92</v>
      </c>
      <c r="AB254">
        <v>0.2</v>
      </c>
      <c r="AC254">
        <f t="shared" si="74"/>
        <v>0.2</v>
      </c>
      <c r="AD254" t="str">
        <f t="shared" si="77"/>
        <v>Valid</v>
      </c>
      <c r="AE254">
        <v>2329.4699999999998</v>
      </c>
      <c r="AF254">
        <v>1603.62</v>
      </c>
      <c r="AG254">
        <v>725.85</v>
      </c>
      <c r="AH254" t="s">
        <v>136</v>
      </c>
      <c r="AI254" t="str">
        <f t="shared" si="78"/>
        <v>Include</v>
      </c>
      <c r="AJ254" t="str">
        <f t="shared" si="79"/>
        <v/>
      </c>
      <c r="AK254" t="s">
        <v>124</v>
      </c>
      <c r="AL254" t="str">
        <f t="shared" si="75"/>
        <v>Returned</v>
      </c>
      <c r="AM254" t="str">
        <f t="shared" si="80"/>
        <v>Include</v>
      </c>
      <c r="AN254">
        <f t="shared" si="81"/>
        <v>2329.4720000000002</v>
      </c>
      <c r="AO254">
        <f t="shared" si="82"/>
        <v>725.85200000000032</v>
      </c>
      <c r="AP254">
        <f>IF(AN254=0,0,AO254/AN254)</f>
        <v>0.31159507390515973</v>
      </c>
      <c r="AQ254" t="str">
        <f t="shared" si="83"/>
        <v>June</v>
      </c>
      <c r="AR254">
        <f t="shared" si="84"/>
        <v>2025</v>
      </c>
      <c r="AS254" t="str">
        <f t="shared" si="85"/>
        <v>Clean</v>
      </c>
      <c r="AT254" t="str">
        <f>IF(OR(AC254&lt;0,AC254&gt;0.5),"Invalid Discount","Valid")</f>
        <v>Valid</v>
      </c>
      <c r="AU254" t="str">
        <f>IF(G254&lt;E254,"Invalid Shipping Record","Valid")</f>
        <v>Valid</v>
      </c>
      <c r="AV254" t="str">
        <f>IF(OR(AL254="Cancelled",AH254="Failed"),"Exclude","Include")</f>
        <v>Include</v>
      </c>
      <c r="AW254" t="str">
        <f t="shared" si="86"/>
        <v>Match</v>
      </c>
      <c r="AX254" t="str">
        <f t="shared" si="87"/>
        <v>Match</v>
      </c>
    </row>
    <row r="255" spans="1:50">
      <c r="A255" t="s">
        <v>1322</v>
      </c>
      <c r="B255">
        <f t="shared" si="88"/>
        <v>1</v>
      </c>
      <c r="C255" t="str">
        <f t="shared" si="76"/>
        <v/>
      </c>
      <c r="D255" s="3" t="s">
        <v>1323</v>
      </c>
      <c r="E255" s="7">
        <v>45547</v>
      </c>
      <c r="F255" s="3" t="s">
        <v>1324</v>
      </c>
      <c r="G255" s="7">
        <v>45548</v>
      </c>
      <c r="H255" s="7" t="str">
        <f t="shared" si="67"/>
        <v>Valid</v>
      </c>
      <c r="I255" s="9">
        <f t="shared" si="68"/>
        <v>1</v>
      </c>
      <c r="J255" s="9" t="str">
        <f t="shared" si="69"/>
        <v>Valid</v>
      </c>
      <c r="K255" t="s">
        <v>1325</v>
      </c>
      <c r="L255" t="s">
        <v>141</v>
      </c>
      <c r="M255" t="s">
        <v>141</v>
      </c>
      <c r="N255" t="s">
        <v>40</v>
      </c>
      <c r="O255" s="3" t="str">
        <f t="shared" si="70"/>
        <v>Small Business</v>
      </c>
      <c r="P255" t="s">
        <v>26</v>
      </c>
      <c r="Q255" s="3" t="str">
        <f t="shared" si="71"/>
        <v>North</v>
      </c>
      <c r="R255" t="s">
        <v>27</v>
      </c>
      <c r="S255" t="s">
        <v>28</v>
      </c>
      <c r="T255" t="s">
        <v>85</v>
      </c>
      <c r="U255" s="3" t="str">
        <f t="shared" si="72"/>
        <v>Technology</v>
      </c>
      <c r="V255" t="s">
        <v>222</v>
      </c>
      <c r="W255" t="s">
        <v>1326</v>
      </c>
      <c r="X255" t="s">
        <v>47</v>
      </c>
      <c r="Y255" s="3" t="str">
        <f t="shared" si="73"/>
        <v>Same Day</v>
      </c>
      <c r="Z255">
        <v>6</v>
      </c>
      <c r="AA255">
        <v>832.79</v>
      </c>
      <c r="AB255">
        <v>0.05</v>
      </c>
      <c r="AC255">
        <f t="shared" si="74"/>
        <v>0.05</v>
      </c>
      <c r="AD255" t="str">
        <f t="shared" si="77"/>
        <v>Valid</v>
      </c>
      <c r="AE255">
        <v>4746.8999999999996</v>
      </c>
      <c r="AF255">
        <v>2825.38</v>
      </c>
      <c r="AG255">
        <v>1472.89</v>
      </c>
      <c r="AH255" t="s">
        <v>123</v>
      </c>
      <c r="AI255" t="str">
        <f t="shared" si="78"/>
        <v>Exclude</v>
      </c>
      <c r="AJ255" t="str">
        <f t="shared" si="79"/>
        <v>Refunded Order</v>
      </c>
      <c r="AK255" t="s">
        <v>77</v>
      </c>
      <c r="AL255" t="str">
        <f t="shared" si="75"/>
        <v>Cancelled</v>
      </c>
      <c r="AM255" t="str">
        <f t="shared" si="80"/>
        <v>Exclude</v>
      </c>
      <c r="AN255">
        <f t="shared" si="81"/>
        <v>4746.9029999999993</v>
      </c>
      <c r="AO255">
        <f t="shared" si="82"/>
        <v>1921.5229999999992</v>
      </c>
      <c r="AP255">
        <f>IF(AN255=0,0,AO255/AN255)</f>
        <v>0.40479508428969363</v>
      </c>
      <c r="AQ255" t="str">
        <f t="shared" si="83"/>
        <v>September</v>
      </c>
      <c r="AR255">
        <f t="shared" si="84"/>
        <v>2024</v>
      </c>
      <c r="AS255" t="str">
        <f t="shared" si="85"/>
        <v>Clean</v>
      </c>
      <c r="AT255" t="str">
        <f>IF(OR(AC255&lt;0,AC255&gt;0.5),"Invalid Discount","Valid")</f>
        <v>Valid</v>
      </c>
      <c r="AU255" t="str">
        <f>IF(G255&lt;E255,"Invalid Shipping Record","Valid")</f>
        <v>Valid</v>
      </c>
      <c r="AV255" t="str">
        <f>IF(OR(AL255="Cancelled",AH255="Failed"),"Exclude","Include")</f>
        <v>Exclude</v>
      </c>
      <c r="AW255" t="str">
        <f t="shared" si="86"/>
        <v>Match</v>
      </c>
      <c r="AX255" t="str">
        <f t="shared" si="87"/>
        <v>Mismatch</v>
      </c>
    </row>
    <row r="256" spans="1:50">
      <c r="A256" t="s">
        <v>1327</v>
      </c>
      <c r="B256">
        <f t="shared" si="88"/>
        <v>1</v>
      </c>
      <c r="C256" t="str">
        <f t="shared" si="76"/>
        <v/>
      </c>
      <c r="D256" s="3" t="s">
        <v>1328</v>
      </c>
      <c r="E256" s="7">
        <v>45658</v>
      </c>
      <c r="F256" s="3" t="s">
        <v>1329</v>
      </c>
      <c r="G256" s="7">
        <v>45660</v>
      </c>
      <c r="H256" s="7" t="str">
        <f t="shared" si="67"/>
        <v>Valid</v>
      </c>
      <c r="I256" s="9">
        <f t="shared" si="68"/>
        <v>2</v>
      </c>
      <c r="J256" s="9" t="str">
        <f t="shared" si="69"/>
        <v>Valid</v>
      </c>
      <c r="K256" t="s">
        <v>1330</v>
      </c>
      <c r="L256" t="s">
        <v>71</v>
      </c>
      <c r="M256" t="s">
        <v>71</v>
      </c>
      <c r="N256" t="s">
        <v>25</v>
      </c>
      <c r="O256" s="3" t="str">
        <f t="shared" si="70"/>
        <v>Consumer</v>
      </c>
      <c r="P256" t="s">
        <v>72</v>
      </c>
      <c r="Q256" s="3" t="str">
        <f t="shared" si="71"/>
        <v>West</v>
      </c>
      <c r="R256" t="s">
        <v>83</v>
      </c>
      <c r="S256" t="s">
        <v>84</v>
      </c>
      <c r="T256" t="s">
        <v>85</v>
      </c>
      <c r="U256" s="3" t="str">
        <f t="shared" si="72"/>
        <v>Technology</v>
      </c>
      <c r="V256" t="s">
        <v>86</v>
      </c>
      <c r="W256" t="s">
        <v>1331</v>
      </c>
      <c r="X256" t="s">
        <v>47</v>
      </c>
      <c r="Y256" s="3" t="str">
        <f t="shared" si="73"/>
        <v>Same Day</v>
      </c>
      <c r="Z256">
        <v>7</v>
      </c>
      <c r="AA256">
        <v>1000.55</v>
      </c>
      <c r="AB256">
        <v>0.2</v>
      </c>
      <c r="AC256">
        <f t="shared" si="74"/>
        <v>0.2</v>
      </c>
      <c r="AD256" t="str">
        <f t="shared" si="77"/>
        <v>Valid</v>
      </c>
      <c r="AE256">
        <v>5603.08</v>
      </c>
      <c r="AF256">
        <v>3132.52</v>
      </c>
      <c r="AG256">
        <v>2470.56</v>
      </c>
      <c r="AH256" t="s">
        <v>33</v>
      </c>
      <c r="AI256" t="str">
        <f t="shared" si="78"/>
        <v>Include</v>
      </c>
      <c r="AJ256" t="str">
        <f t="shared" si="79"/>
        <v/>
      </c>
      <c r="AK256" t="s">
        <v>124</v>
      </c>
      <c r="AL256" t="str">
        <f t="shared" si="75"/>
        <v>Returned</v>
      </c>
      <c r="AM256" t="str">
        <f t="shared" si="80"/>
        <v>Include</v>
      </c>
      <c r="AN256">
        <f t="shared" si="81"/>
        <v>5603.08</v>
      </c>
      <c r="AO256">
        <f t="shared" si="82"/>
        <v>2470.56</v>
      </c>
      <c r="AP256">
        <f>IF(AN256=0,0,AO256/AN256)</f>
        <v>0.44092891766671188</v>
      </c>
      <c r="AQ256" t="str">
        <f t="shared" si="83"/>
        <v>January</v>
      </c>
      <c r="AR256">
        <f t="shared" si="84"/>
        <v>2025</v>
      </c>
      <c r="AS256" t="str">
        <f t="shared" si="85"/>
        <v>Clean</v>
      </c>
      <c r="AT256" t="str">
        <f>IF(OR(AC256&lt;0,AC256&gt;0.5),"Invalid Discount","Valid")</f>
        <v>Valid</v>
      </c>
      <c r="AU256" t="str">
        <f>IF(G256&lt;E256,"Invalid Shipping Record","Valid")</f>
        <v>Valid</v>
      </c>
      <c r="AV256" t="str">
        <f>IF(OR(AL256="Cancelled",AH256="Failed"),"Exclude","Include")</f>
        <v>Include</v>
      </c>
      <c r="AW256" t="str">
        <f t="shared" si="86"/>
        <v>Match</v>
      </c>
      <c r="AX256" t="str">
        <f t="shared" si="87"/>
        <v>Match</v>
      </c>
    </row>
    <row r="257" spans="1:50">
      <c r="A257" t="s">
        <v>1332</v>
      </c>
      <c r="B257">
        <f t="shared" si="88"/>
        <v>1</v>
      </c>
      <c r="C257" t="str">
        <f t="shared" si="76"/>
        <v/>
      </c>
      <c r="D257" s="3" t="s">
        <v>1333</v>
      </c>
      <c r="E257" s="7">
        <v>45692</v>
      </c>
      <c r="F257" s="3" t="s">
        <v>1334</v>
      </c>
      <c r="G257" s="7">
        <v>45698</v>
      </c>
      <c r="H257" s="7" t="str">
        <f t="shared" si="67"/>
        <v>Valid</v>
      </c>
      <c r="I257" s="9">
        <f t="shared" si="68"/>
        <v>6</v>
      </c>
      <c r="J257" s="9" t="str">
        <f t="shared" si="69"/>
        <v>Valid</v>
      </c>
      <c r="K257" t="s">
        <v>1335</v>
      </c>
      <c r="L257" t="s">
        <v>52</v>
      </c>
      <c r="M257" t="s">
        <v>52</v>
      </c>
      <c r="N257" t="s">
        <v>107</v>
      </c>
      <c r="O257" s="3" t="str">
        <f t="shared" si="70"/>
        <v>Corporate</v>
      </c>
      <c r="P257" t="s">
        <v>72</v>
      </c>
      <c r="Q257" s="3" t="str">
        <f t="shared" si="71"/>
        <v>West</v>
      </c>
      <c r="R257" t="s">
        <v>73</v>
      </c>
      <c r="S257" t="s">
        <v>74</v>
      </c>
      <c r="T257" t="s">
        <v>85</v>
      </c>
      <c r="U257" s="3" t="str">
        <f t="shared" si="72"/>
        <v>Technology</v>
      </c>
      <c r="V257" t="s">
        <v>222</v>
      </c>
      <c r="W257" t="s">
        <v>1336</v>
      </c>
      <c r="X257" t="s">
        <v>55</v>
      </c>
      <c r="Y257" s="3" t="str">
        <f t="shared" si="73"/>
        <v>First Class</v>
      </c>
      <c r="Z257">
        <v>7</v>
      </c>
      <c r="AA257">
        <v>1830</v>
      </c>
      <c r="AB257">
        <v>0</v>
      </c>
      <c r="AC257">
        <f t="shared" si="74"/>
        <v>0</v>
      </c>
      <c r="AD257" t="str">
        <f t="shared" si="77"/>
        <v>Valid</v>
      </c>
      <c r="AE257">
        <v>12810</v>
      </c>
      <c r="AF257">
        <v>9334.1200000000008</v>
      </c>
      <c r="AG257">
        <v>3475.88</v>
      </c>
      <c r="AH257" t="s">
        <v>33</v>
      </c>
      <c r="AI257" t="str">
        <f t="shared" si="78"/>
        <v>Include</v>
      </c>
      <c r="AJ257" t="str">
        <f t="shared" si="79"/>
        <v/>
      </c>
      <c r="AK257" t="s">
        <v>34</v>
      </c>
      <c r="AL257" t="str">
        <f t="shared" si="75"/>
        <v>Completed</v>
      </c>
      <c r="AM257" t="str">
        <f t="shared" si="80"/>
        <v>Include</v>
      </c>
      <c r="AN257">
        <f t="shared" si="81"/>
        <v>12810</v>
      </c>
      <c r="AO257">
        <f t="shared" si="82"/>
        <v>3475.8799999999992</v>
      </c>
      <c r="AP257">
        <f>IF(AN257=0,0,AO257/AN257)</f>
        <v>0.27134113973458229</v>
      </c>
      <c r="AQ257" t="str">
        <f t="shared" si="83"/>
        <v>February</v>
      </c>
      <c r="AR257">
        <f t="shared" si="84"/>
        <v>2025</v>
      </c>
      <c r="AS257" t="str">
        <f t="shared" si="85"/>
        <v>Clean</v>
      </c>
      <c r="AT257" t="str">
        <f>IF(OR(AC257&lt;0,AC257&gt;0.5),"Invalid Discount","Valid")</f>
        <v>Valid</v>
      </c>
      <c r="AU257" t="str">
        <f>IF(G257&lt;E257,"Invalid Shipping Record","Valid")</f>
        <v>Valid</v>
      </c>
      <c r="AV257" t="str">
        <f>IF(OR(AL257="Cancelled",AH257="Failed"),"Exclude","Include")</f>
        <v>Include</v>
      </c>
      <c r="AW257" t="str">
        <f t="shared" si="86"/>
        <v>Match</v>
      </c>
      <c r="AX257" t="str">
        <f t="shared" si="87"/>
        <v>Match</v>
      </c>
    </row>
    <row r="258" spans="1:50">
      <c r="A258" t="s">
        <v>1337</v>
      </c>
      <c r="B258">
        <f t="shared" si="88"/>
        <v>1</v>
      </c>
      <c r="C258" t="str">
        <f t="shared" si="76"/>
        <v/>
      </c>
      <c r="D258" s="3" t="s">
        <v>1338</v>
      </c>
      <c r="E258" s="7">
        <v>45601</v>
      </c>
      <c r="F258" s="3" t="s">
        <v>482</v>
      </c>
      <c r="G258" s="7">
        <v>45599</v>
      </c>
      <c r="H258" s="7" t="str">
        <f t="shared" ref="H258:H321" si="89">IF(G258&lt;E258,"Invalid Shipping Record","Valid")</f>
        <v>Invalid Shipping Record</v>
      </c>
      <c r="I258" s="9">
        <f t="shared" ref="I258:I321" si="90">G258-E258</f>
        <v>-2</v>
      </c>
      <c r="J258" s="9" t="str">
        <f t="shared" ref="J258:J321" si="91">IF(OR(E258="",G258=""),"Missing Date",IF(OR(NOT(ISNUMBER(E258)),NOT(ISNUMBER(G258))),"Invalid Date",IF(G258&lt;E258,"Invalid Shipping Record","Valid")))</f>
        <v>Invalid Shipping Record</v>
      </c>
      <c r="K258" t="s">
        <v>1339</v>
      </c>
      <c r="L258" t="s">
        <v>71</v>
      </c>
      <c r="M258" t="s">
        <v>71</v>
      </c>
      <c r="N258" t="s">
        <v>25</v>
      </c>
      <c r="O258" s="3" t="str">
        <f t="shared" ref="O258:O321" si="92">PROPER(TRIM(N258))</f>
        <v>Consumer</v>
      </c>
      <c r="P258" t="s">
        <v>41</v>
      </c>
      <c r="Q258" s="3" t="str">
        <f t="shared" ref="Q258:Q321" si="93">IF(TRIM(P258)="","Unknown",PROPER(TRIM(P258)))</f>
        <v>East</v>
      </c>
      <c r="R258" t="s">
        <v>120</v>
      </c>
      <c r="S258" t="s">
        <v>121</v>
      </c>
      <c r="T258" t="s">
        <v>44</v>
      </c>
      <c r="U258" s="3" t="str">
        <f t="shared" ref="U258:U321" si="94">PROPER(TRIM(T258))</f>
        <v>Furniture</v>
      </c>
      <c r="V258" t="s">
        <v>45</v>
      </c>
      <c r="W258" t="s">
        <v>1340</v>
      </c>
      <c r="X258" t="s">
        <v>55</v>
      </c>
      <c r="Y258" s="3" t="str">
        <f t="shared" ref="Y258:Y321" si="95">IF(TRIM(X258)="","Unknown",PROPER(TRIM(X258)))</f>
        <v>First Class</v>
      </c>
      <c r="Z258">
        <v>9</v>
      </c>
      <c r="AA258">
        <v>2260.61</v>
      </c>
      <c r="AB258">
        <v>0.05</v>
      </c>
      <c r="AC258">
        <f t="shared" ref="AC258:AC321" si="96">IF(AND(AB258=" ",Z258=" ",AA258=" ",AF258=" "),0,AB258)</f>
        <v>0.05</v>
      </c>
      <c r="AD258" t="str">
        <f t="shared" si="77"/>
        <v>Valid</v>
      </c>
      <c r="AE258">
        <v>19328.22</v>
      </c>
      <c r="AF258">
        <v>12039.5</v>
      </c>
      <c r="AG258">
        <v>7288.72</v>
      </c>
      <c r="AH258" t="s">
        <v>33</v>
      </c>
      <c r="AI258" t="str">
        <f t="shared" si="78"/>
        <v>Include</v>
      </c>
      <c r="AJ258" t="str">
        <f t="shared" si="79"/>
        <v/>
      </c>
      <c r="AK258" t="s">
        <v>34</v>
      </c>
      <c r="AL258" t="str">
        <f t="shared" ref="AL258:AL321" si="97">PROPER(TRIM(AK258))</f>
        <v>Completed</v>
      </c>
      <c r="AM258" t="str">
        <f t="shared" si="80"/>
        <v>Include</v>
      </c>
      <c r="AN258">
        <f t="shared" si="81"/>
        <v>19328.215500000002</v>
      </c>
      <c r="AO258">
        <f t="shared" si="82"/>
        <v>7288.7155000000021</v>
      </c>
      <c r="AP258">
        <f>IF(AN258=0,0,AO258/AN258)</f>
        <v>0.3771023507058891</v>
      </c>
      <c r="AQ258" t="str">
        <f t="shared" si="83"/>
        <v>November</v>
      </c>
      <c r="AR258">
        <f t="shared" si="84"/>
        <v>2024</v>
      </c>
      <c r="AS258" t="str">
        <f t="shared" si="85"/>
        <v>Invalid</v>
      </c>
      <c r="AT258" t="str">
        <f>IF(OR(AC258&lt;0,AC258&gt;0.5),"Invalid Discount","Valid")</f>
        <v>Valid</v>
      </c>
      <c r="AU258" t="str">
        <f>IF(G258&lt;E258,"Invalid Shipping Record","Valid")</f>
        <v>Invalid Shipping Record</v>
      </c>
      <c r="AV258" t="str">
        <f>IF(OR(AL258="Cancelled",AH258="Failed"),"Exclude","Include")</f>
        <v>Include</v>
      </c>
      <c r="AW258" t="str">
        <f t="shared" si="86"/>
        <v>Match</v>
      </c>
      <c r="AX258" t="str">
        <f t="shared" si="87"/>
        <v>Match</v>
      </c>
    </row>
    <row r="259" spans="1:50">
      <c r="A259" t="s">
        <v>1341</v>
      </c>
      <c r="B259">
        <f t="shared" si="88"/>
        <v>1</v>
      </c>
      <c r="C259" t="str">
        <f t="shared" ref="C259:C322" si="98">IF(B259&gt;1,"Review Required","")</f>
        <v/>
      </c>
      <c r="D259" s="3" t="s">
        <v>1342</v>
      </c>
      <c r="E259" s="7">
        <v>45878</v>
      </c>
      <c r="F259" s="3" t="s">
        <v>1343</v>
      </c>
      <c r="G259" s="7">
        <v>45881</v>
      </c>
      <c r="H259" s="7" t="str">
        <f t="shared" si="89"/>
        <v>Valid</v>
      </c>
      <c r="I259" s="9">
        <f t="shared" si="90"/>
        <v>3</v>
      </c>
      <c r="J259" s="9" t="str">
        <f t="shared" si="91"/>
        <v>Valid</v>
      </c>
      <c r="K259" t="s">
        <v>1344</v>
      </c>
      <c r="L259" t="s">
        <v>209</v>
      </c>
      <c r="M259" t="s">
        <v>209</v>
      </c>
      <c r="N259" t="s">
        <v>107</v>
      </c>
      <c r="O259" s="3" t="str">
        <f t="shared" si="92"/>
        <v>Corporate</v>
      </c>
      <c r="P259" t="s">
        <v>61</v>
      </c>
      <c r="Q259" s="3" t="str">
        <f t="shared" si="93"/>
        <v>South</v>
      </c>
      <c r="R259" t="s">
        <v>228</v>
      </c>
      <c r="S259" t="s">
        <v>229</v>
      </c>
      <c r="T259" t="s">
        <v>85</v>
      </c>
      <c r="U259" s="3" t="str">
        <f t="shared" si="94"/>
        <v>Technology</v>
      </c>
      <c r="V259" t="s">
        <v>86</v>
      </c>
      <c r="W259" t="s">
        <v>1345</v>
      </c>
      <c r="X259" t="s">
        <v>32</v>
      </c>
      <c r="Y259" s="3" t="str">
        <f t="shared" si="95"/>
        <v>Second Class</v>
      </c>
      <c r="Z259">
        <v>2</v>
      </c>
      <c r="AA259">
        <v>3237.27</v>
      </c>
      <c r="AB259">
        <v>0</v>
      </c>
      <c r="AC259">
        <f t="shared" si="96"/>
        <v>0</v>
      </c>
      <c r="AD259" t="str">
        <f t="shared" ref="AD259:AD322" si="99">IF(AC259&lt;0,"Invalid Discount","Valid")</f>
        <v>Valid</v>
      </c>
      <c r="AE259">
        <v>6474.54</v>
      </c>
      <c r="AF259">
        <v>5095.91</v>
      </c>
      <c r="AG259">
        <v>1378.63</v>
      </c>
      <c r="AH259" t="s">
        <v>33</v>
      </c>
      <c r="AI259" t="str">
        <f t="shared" ref="AI259:AI322" si="100">IF(OR(AH259="Failed",AL259="Cancelled"),"Exclude","Include")</f>
        <v>Exclude</v>
      </c>
      <c r="AJ259" t="str">
        <f t="shared" ref="AJ259:AJ322" si="101">IF(AH259="Refunded","Refunded Order","")</f>
        <v/>
      </c>
      <c r="AK259" t="s">
        <v>77</v>
      </c>
      <c r="AL259" t="str">
        <f t="shared" si="97"/>
        <v>Cancelled</v>
      </c>
      <c r="AM259" t="str">
        <f t="shared" ref="AM259:AM322" si="102">IF(AL259="Cancelled","Exclude","Include")</f>
        <v>Exclude</v>
      </c>
      <c r="AN259">
        <f t="shared" ref="AN259:AN322" si="103">Z259*AA259*(1-AC259)</f>
        <v>6474.54</v>
      </c>
      <c r="AO259">
        <f t="shared" ref="AO259:AO322" si="104">AN259-AF259</f>
        <v>1378.63</v>
      </c>
      <c r="AP259">
        <f>IF(AN259=0,0,AO259/AN259)</f>
        <v>0.21293095725719513</v>
      </c>
      <c r="AQ259" t="str">
        <f t="shared" ref="AQ259:AQ322" si="105">TEXT(E259,"mmmm")</f>
        <v>August</v>
      </c>
      <c r="AR259">
        <f t="shared" ref="AR259:AR322" si="106">YEAR(E259)</f>
        <v>2025</v>
      </c>
      <c r="AS259" t="str">
        <f t="shared" ref="AS259:AS322" si="107">IF(OR(AC259&lt;0,AC259&gt;1,G259&lt;E259),"Invalid",IF(OR(Q259="Unknown",Y259="Unknown"),"Warning","Clean"))</f>
        <v>Clean</v>
      </c>
      <c r="AT259" t="str">
        <f>IF(OR(AC259&lt;0,AC259&gt;0.5),"Invalid Discount","Valid")</f>
        <v>Valid</v>
      </c>
      <c r="AU259" t="str">
        <f>IF(G259&lt;E259,"Invalid Shipping Record","Valid")</f>
        <v>Valid</v>
      </c>
      <c r="AV259" t="str">
        <f>IF(OR(AL259="Cancelled",AH259="Failed"),"Exclude","Include")</f>
        <v>Exclude</v>
      </c>
      <c r="AW259" t="str">
        <f t="shared" ref="AW259:AW322" si="108">IF(ROUND(AE259,2)=ROUND(AN259,2),"Match","Mismatch")</f>
        <v>Match</v>
      </c>
      <c r="AX259" t="str">
        <f t="shared" ref="AX259:AX322" si="109">IF(ROUND(AG259,2)=ROUND(AO259,2),"Match","Mismatch")</f>
        <v>Match</v>
      </c>
    </row>
    <row r="260" spans="1:50">
      <c r="A260" t="s">
        <v>1346</v>
      </c>
      <c r="B260">
        <f t="shared" si="88"/>
        <v>1</v>
      </c>
      <c r="C260" t="str">
        <f t="shared" si="98"/>
        <v/>
      </c>
      <c r="D260" s="3" t="s">
        <v>824</v>
      </c>
      <c r="E260" s="7">
        <v>45656</v>
      </c>
      <c r="F260" s="3" t="s">
        <v>1347</v>
      </c>
      <c r="G260" s="7">
        <v>45661</v>
      </c>
      <c r="H260" s="7" t="str">
        <f t="shared" si="89"/>
        <v>Valid</v>
      </c>
      <c r="I260" s="9">
        <f t="shared" si="90"/>
        <v>5</v>
      </c>
      <c r="J260" s="9" t="str">
        <f t="shared" si="91"/>
        <v>Valid</v>
      </c>
      <c r="K260" t="s">
        <v>1348</v>
      </c>
      <c r="L260" t="s">
        <v>167</v>
      </c>
      <c r="M260" t="s">
        <v>167</v>
      </c>
      <c r="N260" t="s">
        <v>107</v>
      </c>
      <c r="O260" s="3" t="str">
        <f t="shared" si="92"/>
        <v>Corporate</v>
      </c>
      <c r="P260" t="s">
        <v>61</v>
      </c>
      <c r="Q260" s="3" t="str">
        <f t="shared" si="93"/>
        <v>South</v>
      </c>
      <c r="R260" t="s">
        <v>338</v>
      </c>
      <c r="S260" t="s">
        <v>339</v>
      </c>
      <c r="T260" t="s">
        <v>44</v>
      </c>
      <c r="U260" s="3" t="str">
        <f t="shared" si="94"/>
        <v>Furniture</v>
      </c>
      <c r="V260" t="s">
        <v>45</v>
      </c>
      <c r="W260" t="s">
        <v>1349</v>
      </c>
      <c r="X260" t="s">
        <v>47</v>
      </c>
      <c r="Y260" s="3" t="str">
        <f t="shared" si="95"/>
        <v>Same Day</v>
      </c>
      <c r="Z260">
        <v>2</v>
      </c>
      <c r="AA260">
        <v>3720.07</v>
      </c>
      <c r="AB260">
        <v>0.25</v>
      </c>
      <c r="AC260">
        <f t="shared" si="96"/>
        <v>0.25</v>
      </c>
      <c r="AD260" t="str">
        <f t="shared" si="99"/>
        <v>Valid</v>
      </c>
      <c r="AE260">
        <v>5580.11</v>
      </c>
      <c r="AF260">
        <v>4307.01</v>
      </c>
      <c r="AG260">
        <v>1273.0999999999999</v>
      </c>
      <c r="AH260" t="s">
        <v>33</v>
      </c>
      <c r="AI260" t="str">
        <f t="shared" si="100"/>
        <v>Include</v>
      </c>
      <c r="AJ260" t="str">
        <f t="shared" si="101"/>
        <v/>
      </c>
      <c r="AK260" t="s">
        <v>34</v>
      </c>
      <c r="AL260" t="str">
        <f t="shared" si="97"/>
        <v>Completed</v>
      </c>
      <c r="AM260" t="str">
        <f t="shared" si="102"/>
        <v>Include</v>
      </c>
      <c r="AN260">
        <f t="shared" si="103"/>
        <v>5580.1050000000005</v>
      </c>
      <c r="AO260">
        <f t="shared" si="104"/>
        <v>1273.0950000000003</v>
      </c>
      <c r="AP260">
        <f>IF(AN260=0,0,AO260/AN260)</f>
        <v>0.22814893268137429</v>
      </c>
      <c r="AQ260" t="str">
        <f t="shared" si="105"/>
        <v>December</v>
      </c>
      <c r="AR260">
        <f t="shared" si="106"/>
        <v>2024</v>
      </c>
      <c r="AS260" t="str">
        <f t="shared" si="107"/>
        <v>Clean</v>
      </c>
      <c r="AT260" t="str">
        <f>IF(OR(AC260&lt;0,AC260&gt;0.5),"Invalid Discount","Valid")</f>
        <v>Valid</v>
      </c>
      <c r="AU260" t="str">
        <f>IF(G260&lt;E260,"Invalid Shipping Record","Valid")</f>
        <v>Valid</v>
      </c>
      <c r="AV260" t="str">
        <f>IF(OR(AL260="Cancelled",AH260="Failed"),"Exclude","Include")</f>
        <v>Include</v>
      </c>
      <c r="AW260" t="str">
        <f t="shared" si="108"/>
        <v>Match</v>
      </c>
      <c r="AX260" t="str">
        <f t="shared" si="109"/>
        <v>Match</v>
      </c>
    </row>
    <row r="261" spans="1:50">
      <c r="A261" t="s">
        <v>1350</v>
      </c>
      <c r="B261">
        <f t="shared" si="88"/>
        <v>1</v>
      </c>
      <c r="C261" t="str">
        <f t="shared" si="98"/>
        <v/>
      </c>
      <c r="D261" s="3" t="s">
        <v>1351</v>
      </c>
      <c r="E261" s="7">
        <v>45464</v>
      </c>
      <c r="F261" s="3" t="s">
        <v>1352</v>
      </c>
      <c r="G261" s="7">
        <v>45472</v>
      </c>
      <c r="H261" s="7" t="str">
        <f t="shared" si="89"/>
        <v>Valid</v>
      </c>
      <c r="I261" s="9">
        <f t="shared" si="90"/>
        <v>8</v>
      </c>
      <c r="J261" s="9" t="str">
        <f t="shared" si="91"/>
        <v>Valid</v>
      </c>
      <c r="K261" t="s">
        <v>1353</v>
      </c>
      <c r="L261" t="s">
        <v>92</v>
      </c>
      <c r="M261" t="s">
        <v>92</v>
      </c>
      <c r="N261" t="s">
        <v>25</v>
      </c>
      <c r="O261" s="3" t="str">
        <f t="shared" si="92"/>
        <v>Consumer</v>
      </c>
      <c r="P261" t="s">
        <v>61</v>
      </c>
      <c r="Q261" s="3" t="str">
        <f t="shared" si="93"/>
        <v>South</v>
      </c>
      <c r="R261" t="s">
        <v>338</v>
      </c>
      <c r="S261" t="s">
        <v>339</v>
      </c>
      <c r="T261" t="s">
        <v>85</v>
      </c>
      <c r="U261" s="3" t="str">
        <f t="shared" si="94"/>
        <v>Technology</v>
      </c>
      <c r="V261" t="s">
        <v>381</v>
      </c>
      <c r="W261" t="s">
        <v>1354</v>
      </c>
      <c r="X261" t="s">
        <v>66</v>
      </c>
      <c r="Y261" s="3" t="str">
        <f t="shared" si="95"/>
        <v>Standard Class</v>
      </c>
      <c r="Z261">
        <v>8</v>
      </c>
      <c r="AA261">
        <v>2853.92</v>
      </c>
      <c r="AB261">
        <v>0.2</v>
      </c>
      <c r="AC261">
        <f t="shared" si="96"/>
        <v>0.2</v>
      </c>
      <c r="AD261" t="str">
        <f t="shared" si="99"/>
        <v>Valid</v>
      </c>
      <c r="AE261">
        <v>18265.09</v>
      </c>
      <c r="AF261">
        <v>10437.14</v>
      </c>
      <c r="AG261">
        <v>7827.95</v>
      </c>
      <c r="AH261" t="s">
        <v>33</v>
      </c>
      <c r="AI261" t="str">
        <f t="shared" si="100"/>
        <v>Include</v>
      </c>
      <c r="AJ261" t="str">
        <f t="shared" si="101"/>
        <v/>
      </c>
      <c r="AK261" t="s">
        <v>34</v>
      </c>
      <c r="AL261" t="str">
        <f t="shared" si="97"/>
        <v>Completed</v>
      </c>
      <c r="AM261" t="str">
        <f t="shared" si="102"/>
        <v>Include</v>
      </c>
      <c r="AN261">
        <f t="shared" si="103"/>
        <v>18265.088</v>
      </c>
      <c r="AO261">
        <f t="shared" si="104"/>
        <v>7827.9480000000003</v>
      </c>
      <c r="AP261">
        <f>IF(AN261=0,0,AO261/AN261)</f>
        <v>0.42857433810338064</v>
      </c>
      <c r="AQ261" t="str">
        <f t="shared" si="105"/>
        <v>June</v>
      </c>
      <c r="AR261">
        <f t="shared" si="106"/>
        <v>2024</v>
      </c>
      <c r="AS261" t="str">
        <f t="shared" si="107"/>
        <v>Clean</v>
      </c>
      <c r="AT261" t="str">
        <f>IF(OR(AC261&lt;0,AC261&gt;0.5),"Invalid Discount","Valid")</f>
        <v>Valid</v>
      </c>
      <c r="AU261" t="str">
        <f>IF(G261&lt;E261,"Invalid Shipping Record","Valid")</f>
        <v>Valid</v>
      </c>
      <c r="AV261" t="str">
        <f>IF(OR(AL261="Cancelled",AH261="Failed"),"Exclude","Include")</f>
        <v>Include</v>
      </c>
      <c r="AW261" t="str">
        <f t="shared" si="108"/>
        <v>Match</v>
      </c>
      <c r="AX261" t="str">
        <f t="shared" si="109"/>
        <v>Match</v>
      </c>
    </row>
    <row r="262" spans="1:50">
      <c r="A262" t="s">
        <v>1355</v>
      </c>
      <c r="B262">
        <f t="shared" si="88"/>
        <v>1</v>
      </c>
      <c r="C262" t="str">
        <f t="shared" si="98"/>
        <v/>
      </c>
      <c r="D262" s="3" t="s">
        <v>1356</v>
      </c>
      <c r="E262" s="7">
        <v>45923</v>
      </c>
      <c r="F262" s="3" t="s">
        <v>1357</v>
      </c>
      <c r="G262" s="7">
        <v>45927</v>
      </c>
      <c r="H262" s="7" t="str">
        <f t="shared" si="89"/>
        <v>Valid</v>
      </c>
      <c r="I262" s="9">
        <f t="shared" si="90"/>
        <v>4</v>
      </c>
      <c r="J262" s="9" t="str">
        <f t="shared" si="91"/>
        <v>Valid</v>
      </c>
      <c r="K262" t="s">
        <v>1358</v>
      </c>
      <c r="L262" t="s">
        <v>106</v>
      </c>
      <c r="M262" t="s">
        <v>106</v>
      </c>
      <c r="N262" t="s">
        <v>107</v>
      </c>
      <c r="O262" s="3" t="str">
        <f t="shared" si="92"/>
        <v>Corporate</v>
      </c>
      <c r="P262" t="s">
        <v>41</v>
      </c>
      <c r="Q262" s="3" t="str">
        <f t="shared" si="93"/>
        <v>East</v>
      </c>
      <c r="R262" t="s">
        <v>120</v>
      </c>
      <c r="S262" t="s">
        <v>121</v>
      </c>
      <c r="T262" t="s">
        <v>29</v>
      </c>
      <c r="U262" s="3" t="str">
        <f t="shared" si="94"/>
        <v>Office Supplies</v>
      </c>
      <c r="V262" t="s">
        <v>197</v>
      </c>
      <c r="W262" t="s">
        <v>1359</v>
      </c>
      <c r="X262" t="s">
        <v>47</v>
      </c>
      <c r="Y262" s="3" t="str">
        <f t="shared" si="95"/>
        <v>Same Day</v>
      </c>
      <c r="Z262">
        <v>7</v>
      </c>
      <c r="AA262">
        <v>2897.12</v>
      </c>
      <c r="AB262">
        <v>0.25</v>
      </c>
      <c r="AC262">
        <f t="shared" si="96"/>
        <v>0.25</v>
      </c>
      <c r="AD262" t="str">
        <f t="shared" si="99"/>
        <v>Valid</v>
      </c>
      <c r="AE262">
        <v>15209.88</v>
      </c>
      <c r="AF262">
        <v>10891.15</v>
      </c>
      <c r="AG262">
        <v>4318.7299999999996</v>
      </c>
      <c r="AH262" t="s">
        <v>199</v>
      </c>
      <c r="AI262" t="str">
        <f t="shared" si="100"/>
        <v>Exclude</v>
      </c>
      <c r="AJ262" t="str">
        <f t="shared" si="101"/>
        <v/>
      </c>
      <c r="AK262" t="s">
        <v>124</v>
      </c>
      <c r="AL262" t="str">
        <f t="shared" si="97"/>
        <v>Returned</v>
      </c>
      <c r="AM262" t="str">
        <f t="shared" si="102"/>
        <v>Include</v>
      </c>
      <c r="AN262">
        <f t="shared" si="103"/>
        <v>15209.880000000001</v>
      </c>
      <c r="AO262">
        <f t="shared" si="104"/>
        <v>4318.7300000000014</v>
      </c>
      <c r="AP262">
        <f>IF(AN262=0,0,AO262/AN262)</f>
        <v>0.28394241111698454</v>
      </c>
      <c r="AQ262" t="str">
        <f t="shared" si="105"/>
        <v>September</v>
      </c>
      <c r="AR262">
        <f t="shared" si="106"/>
        <v>2025</v>
      </c>
      <c r="AS262" t="str">
        <f t="shared" si="107"/>
        <v>Clean</v>
      </c>
      <c r="AT262" t="str">
        <f>IF(OR(AC262&lt;0,AC262&gt;0.5),"Invalid Discount","Valid")</f>
        <v>Valid</v>
      </c>
      <c r="AU262" t="str">
        <f>IF(G262&lt;E262,"Invalid Shipping Record","Valid")</f>
        <v>Valid</v>
      </c>
      <c r="AV262" t="str">
        <f>IF(OR(AL262="Cancelled",AH262="Failed"),"Exclude","Include")</f>
        <v>Exclude</v>
      </c>
      <c r="AW262" t="str">
        <f t="shared" si="108"/>
        <v>Match</v>
      </c>
      <c r="AX262" t="str">
        <f t="shared" si="109"/>
        <v>Match</v>
      </c>
    </row>
    <row r="263" spans="1:50">
      <c r="A263" t="s">
        <v>1360</v>
      </c>
      <c r="B263">
        <f t="shared" si="88"/>
        <v>1</v>
      </c>
      <c r="C263" t="str">
        <f t="shared" si="98"/>
        <v/>
      </c>
      <c r="D263" s="3" t="s">
        <v>1361</v>
      </c>
      <c r="E263" s="7">
        <v>45826</v>
      </c>
      <c r="F263" s="3" t="s">
        <v>1362</v>
      </c>
      <c r="G263" s="7">
        <v>45832</v>
      </c>
      <c r="H263" s="7" t="str">
        <f t="shared" si="89"/>
        <v>Valid</v>
      </c>
      <c r="I263" s="9">
        <f t="shared" si="90"/>
        <v>6</v>
      </c>
      <c r="J263" s="9" t="str">
        <f t="shared" si="91"/>
        <v>Valid</v>
      </c>
      <c r="K263" t="s">
        <v>1363</v>
      </c>
      <c r="L263" t="s">
        <v>167</v>
      </c>
      <c r="M263" t="s">
        <v>167</v>
      </c>
      <c r="N263" t="s">
        <v>107</v>
      </c>
      <c r="O263" s="3" t="str">
        <f t="shared" si="92"/>
        <v>Corporate</v>
      </c>
      <c r="P263" t="s">
        <v>26</v>
      </c>
      <c r="Q263" s="3" t="str">
        <f t="shared" si="93"/>
        <v>North</v>
      </c>
      <c r="R263" t="s">
        <v>27</v>
      </c>
      <c r="S263" t="s">
        <v>28</v>
      </c>
      <c r="T263" t="s">
        <v>29</v>
      </c>
      <c r="U263" s="3" t="str">
        <f t="shared" si="94"/>
        <v>Office Supplies</v>
      </c>
      <c r="V263" t="s">
        <v>108</v>
      </c>
      <c r="W263" t="s">
        <v>1364</v>
      </c>
      <c r="X263" t="s">
        <v>66</v>
      </c>
      <c r="Y263" s="3" t="str">
        <f t="shared" si="95"/>
        <v>Standard Class</v>
      </c>
      <c r="Z263">
        <v>3</v>
      </c>
      <c r="AA263">
        <v>686.74</v>
      </c>
      <c r="AB263">
        <v>0.2</v>
      </c>
      <c r="AC263">
        <f t="shared" si="96"/>
        <v>0.2</v>
      </c>
      <c r="AD263" t="str">
        <f t="shared" si="99"/>
        <v>Valid</v>
      </c>
      <c r="AE263">
        <v>1648.18</v>
      </c>
      <c r="AF263">
        <v>987.91</v>
      </c>
      <c r="AG263">
        <v>660.27</v>
      </c>
      <c r="AH263" t="s">
        <v>199</v>
      </c>
      <c r="AI263" t="str">
        <f t="shared" si="100"/>
        <v>Exclude</v>
      </c>
      <c r="AJ263" t="str">
        <f t="shared" si="101"/>
        <v/>
      </c>
      <c r="AK263" t="s">
        <v>77</v>
      </c>
      <c r="AL263" t="str">
        <f t="shared" si="97"/>
        <v>Cancelled</v>
      </c>
      <c r="AM263" t="str">
        <f t="shared" si="102"/>
        <v>Exclude</v>
      </c>
      <c r="AN263">
        <f t="shared" si="103"/>
        <v>1648.1760000000004</v>
      </c>
      <c r="AO263">
        <f t="shared" si="104"/>
        <v>660.26600000000042</v>
      </c>
      <c r="AP263">
        <f>IF(AN263=0,0,AO263/AN263)</f>
        <v>0.40060406170214846</v>
      </c>
      <c r="AQ263" t="str">
        <f t="shared" si="105"/>
        <v>June</v>
      </c>
      <c r="AR263">
        <f t="shared" si="106"/>
        <v>2025</v>
      </c>
      <c r="AS263" t="str">
        <f t="shared" si="107"/>
        <v>Clean</v>
      </c>
      <c r="AT263" t="str">
        <f>IF(OR(AC263&lt;0,AC263&gt;0.5),"Invalid Discount","Valid")</f>
        <v>Valid</v>
      </c>
      <c r="AU263" t="str">
        <f>IF(G263&lt;E263,"Invalid Shipping Record","Valid")</f>
        <v>Valid</v>
      </c>
      <c r="AV263" t="str">
        <f>IF(OR(AL263="Cancelled",AH263="Failed"),"Exclude","Include")</f>
        <v>Exclude</v>
      </c>
      <c r="AW263" t="str">
        <f t="shared" si="108"/>
        <v>Match</v>
      </c>
      <c r="AX263" t="str">
        <f t="shared" si="109"/>
        <v>Match</v>
      </c>
    </row>
    <row r="264" spans="1:50">
      <c r="A264" t="s">
        <v>1365</v>
      </c>
      <c r="B264">
        <f t="shared" si="88"/>
        <v>1</v>
      </c>
      <c r="C264" t="str">
        <f t="shared" si="98"/>
        <v/>
      </c>
      <c r="D264" s="3" t="s">
        <v>1366</v>
      </c>
      <c r="E264" s="7">
        <v>45803</v>
      </c>
      <c r="F264" s="3" t="s">
        <v>1367</v>
      </c>
      <c r="G264" s="7">
        <v>45809</v>
      </c>
      <c r="H264" s="7" t="str">
        <f t="shared" si="89"/>
        <v>Valid</v>
      </c>
      <c r="I264" s="9">
        <f t="shared" si="90"/>
        <v>6</v>
      </c>
      <c r="J264" s="9" t="str">
        <f t="shared" si="91"/>
        <v>Valid</v>
      </c>
      <c r="K264" t="s">
        <v>949</v>
      </c>
      <c r="L264" t="s">
        <v>60</v>
      </c>
      <c r="M264" t="s">
        <v>60</v>
      </c>
      <c r="N264" t="s">
        <v>40</v>
      </c>
      <c r="O264" s="3" t="str">
        <f t="shared" si="92"/>
        <v>Small Business</v>
      </c>
      <c r="P264" t="s">
        <v>26</v>
      </c>
      <c r="Q264" s="3" t="str">
        <f t="shared" si="93"/>
        <v>North</v>
      </c>
      <c r="R264" t="s">
        <v>505</v>
      </c>
      <c r="S264" t="s">
        <v>506</v>
      </c>
      <c r="T264" t="s">
        <v>85</v>
      </c>
      <c r="U264" s="3" t="str">
        <f t="shared" si="94"/>
        <v>Technology</v>
      </c>
      <c r="V264" t="s">
        <v>222</v>
      </c>
      <c r="W264" t="s">
        <v>1368</v>
      </c>
      <c r="X264" t="s">
        <v>47</v>
      </c>
      <c r="Y264" s="3" t="str">
        <f t="shared" si="95"/>
        <v>Same Day</v>
      </c>
      <c r="Z264">
        <v>4</v>
      </c>
      <c r="AA264">
        <v>3349.86</v>
      </c>
      <c r="AB264">
        <v>0</v>
      </c>
      <c r="AC264">
        <f t="shared" si="96"/>
        <v>0</v>
      </c>
      <c r="AD264" t="str">
        <f t="shared" si="99"/>
        <v>Valid</v>
      </c>
      <c r="AE264">
        <v>13399.44</v>
      </c>
      <c r="AF264">
        <v>8581.35</v>
      </c>
      <c r="AG264">
        <v>4818.09</v>
      </c>
      <c r="AH264" t="s">
        <v>136</v>
      </c>
      <c r="AI264" t="str">
        <f t="shared" si="100"/>
        <v>Include</v>
      </c>
      <c r="AJ264" t="str">
        <f t="shared" si="101"/>
        <v/>
      </c>
      <c r="AK264" t="s">
        <v>124</v>
      </c>
      <c r="AL264" t="str">
        <f t="shared" si="97"/>
        <v>Returned</v>
      </c>
      <c r="AM264" t="str">
        <f t="shared" si="102"/>
        <v>Include</v>
      </c>
      <c r="AN264">
        <f t="shared" si="103"/>
        <v>13399.44</v>
      </c>
      <c r="AO264">
        <f t="shared" si="104"/>
        <v>4818.09</v>
      </c>
      <c r="AP264">
        <f>IF(AN264=0,0,AO264/AN264)</f>
        <v>0.3595739821962709</v>
      </c>
      <c r="AQ264" t="str">
        <f t="shared" si="105"/>
        <v>May</v>
      </c>
      <c r="AR264">
        <f t="shared" si="106"/>
        <v>2025</v>
      </c>
      <c r="AS264" t="str">
        <f t="shared" si="107"/>
        <v>Clean</v>
      </c>
      <c r="AT264" t="str">
        <f>IF(OR(AC264&lt;0,AC264&gt;0.5),"Invalid Discount","Valid")</f>
        <v>Valid</v>
      </c>
      <c r="AU264" t="str">
        <f>IF(G264&lt;E264,"Invalid Shipping Record","Valid")</f>
        <v>Valid</v>
      </c>
      <c r="AV264" t="str">
        <f>IF(OR(AL264="Cancelled",AH264="Failed"),"Exclude","Include")</f>
        <v>Include</v>
      </c>
      <c r="AW264" t="str">
        <f t="shared" si="108"/>
        <v>Match</v>
      </c>
      <c r="AX264" t="str">
        <f t="shared" si="109"/>
        <v>Match</v>
      </c>
    </row>
    <row r="265" spans="1:50">
      <c r="A265" t="s">
        <v>1369</v>
      </c>
      <c r="B265">
        <f t="shared" si="88"/>
        <v>1</v>
      </c>
      <c r="C265" t="str">
        <f t="shared" si="98"/>
        <v/>
      </c>
      <c r="D265" s="3" t="s">
        <v>1370</v>
      </c>
      <c r="E265" s="7">
        <v>45875</v>
      </c>
      <c r="F265" s="3" t="s">
        <v>943</v>
      </c>
      <c r="G265" s="7">
        <v>45879</v>
      </c>
      <c r="H265" s="7" t="str">
        <f t="shared" si="89"/>
        <v>Valid</v>
      </c>
      <c r="I265" s="9">
        <f t="shared" si="90"/>
        <v>4</v>
      </c>
      <c r="J265" s="9" t="str">
        <f t="shared" si="91"/>
        <v>Valid</v>
      </c>
      <c r="K265" t="s">
        <v>1371</v>
      </c>
      <c r="L265" t="s">
        <v>179</v>
      </c>
      <c r="M265" t="s">
        <v>179</v>
      </c>
      <c r="N265" t="s">
        <v>40</v>
      </c>
      <c r="O265" s="3" t="str">
        <f t="shared" si="92"/>
        <v>Small Business</v>
      </c>
      <c r="P265" t="s">
        <v>26</v>
      </c>
      <c r="Q265" s="3" t="str">
        <f t="shared" si="93"/>
        <v>North</v>
      </c>
      <c r="R265" t="s">
        <v>505</v>
      </c>
      <c r="S265" t="s">
        <v>506</v>
      </c>
      <c r="T265" t="s">
        <v>29</v>
      </c>
      <c r="U265" s="3" t="str">
        <f t="shared" si="94"/>
        <v>Office Supplies</v>
      </c>
      <c r="V265" t="s">
        <v>197</v>
      </c>
      <c r="W265" t="s">
        <v>1372</v>
      </c>
      <c r="X265" t="s">
        <v>32</v>
      </c>
      <c r="Y265" s="3" t="str">
        <f t="shared" si="95"/>
        <v>Second Class</v>
      </c>
      <c r="Z265">
        <v>9</v>
      </c>
      <c r="AA265">
        <v>4042.45</v>
      </c>
      <c r="AB265">
        <v>0.1</v>
      </c>
      <c r="AC265">
        <f t="shared" si="96"/>
        <v>0.1</v>
      </c>
      <c r="AD265" t="str">
        <f t="shared" si="99"/>
        <v>Valid</v>
      </c>
      <c r="AE265">
        <v>32743.84</v>
      </c>
      <c r="AF265">
        <v>22452.05</v>
      </c>
      <c r="AG265">
        <v>10291.790000000001</v>
      </c>
      <c r="AH265" t="s">
        <v>136</v>
      </c>
      <c r="AI265" t="str">
        <f t="shared" si="100"/>
        <v>Include</v>
      </c>
      <c r="AJ265" t="str">
        <f t="shared" si="101"/>
        <v/>
      </c>
      <c r="AK265" t="s">
        <v>124</v>
      </c>
      <c r="AL265" t="str">
        <f t="shared" si="97"/>
        <v>Returned</v>
      </c>
      <c r="AM265" t="str">
        <f t="shared" si="102"/>
        <v>Include</v>
      </c>
      <c r="AN265">
        <f t="shared" si="103"/>
        <v>32743.844999999998</v>
      </c>
      <c r="AO265">
        <f t="shared" si="104"/>
        <v>10291.794999999998</v>
      </c>
      <c r="AP265">
        <f>IF(AN265=0,0,AO265/AN265)</f>
        <v>0.314312353970647</v>
      </c>
      <c r="AQ265" t="str">
        <f t="shared" si="105"/>
        <v>August</v>
      </c>
      <c r="AR265">
        <f t="shared" si="106"/>
        <v>2025</v>
      </c>
      <c r="AS265" t="str">
        <f t="shared" si="107"/>
        <v>Clean</v>
      </c>
      <c r="AT265" t="str">
        <f>IF(OR(AC265&lt;0,AC265&gt;0.5),"Invalid Discount","Valid")</f>
        <v>Valid</v>
      </c>
      <c r="AU265" t="str">
        <f>IF(G265&lt;E265,"Invalid Shipping Record","Valid")</f>
        <v>Valid</v>
      </c>
      <c r="AV265" t="str">
        <f>IF(OR(AL265="Cancelled",AH265="Failed"),"Exclude","Include")</f>
        <v>Include</v>
      </c>
      <c r="AW265" t="str">
        <f t="shared" si="108"/>
        <v>Mismatch</v>
      </c>
      <c r="AX265" t="str">
        <f t="shared" si="109"/>
        <v>Mismatch</v>
      </c>
    </row>
    <row r="266" spans="1:50">
      <c r="A266" t="s">
        <v>1373</v>
      </c>
      <c r="B266">
        <f t="shared" si="88"/>
        <v>1</v>
      </c>
      <c r="C266" t="str">
        <f t="shared" si="98"/>
        <v/>
      </c>
      <c r="D266" s="3" t="s">
        <v>1374</v>
      </c>
      <c r="E266" s="7">
        <v>45428</v>
      </c>
      <c r="F266" s="3" t="s">
        <v>1375</v>
      </c>
      <c r="G266" s="7">
        <v>45433</v>
      </c>
      <c r="H266" s="7" t="str">
        <f t="shared" si="89"/>
        <v>Valid</v>
      </c>
      <c r="I266" s="9">
        <f t="shared" si="90"/>
        <v>5</v>
      </c>
      <c r="J266" s="9" t="str">
        <f t="shared" si="91"/>
        <v>Valid</v>
      </c>
      <c r="K266" t="s">
        <v>1376</v>
      </c>
      <c r="L266" t="s">
        <v>209</v>
      </c>
      <c r="M266" t="s">
        <v>209</v>
      </c>
      <c r="N266" t="s">
        <v>40</v>
      </c>
      <c r="O266" s="3" t="str">
        <f t="shared" si="92"/>
        <v>Small Business</v>
      </c>
      <c r="P266" t="s">
        <v>41</v>
      </c>
      <c r="Q266" s="3" t="str">
        <f t="shared" si="93"/>
        <v>East</v>
      </c>
      <c r="R266" t="s">
        <v>185</v>
      </c>
      <c r="S266" t="s">
        <v>186</v>
      </c>
      <c r="T266" t="s">
        <v>85</v>
      </c>
      <c r="U266" s="3" t="str">
        <f t="shared" si="94"/>
        <v>Technology</v>
      </c>
      <c r="V266" t="s">
        <v>93</v>
      </c>
      <c r="W266" t="s">
        <v>1377</v>
      </c>
      <c r="X266" t="s">
        <v>66</v>
      </c>
      <c r="Y266" s="3" t="str">
        <f t="shared" si="95"/>
        <v>Standard Class</v>
      </c>
      <c r="Z266">
        <v>4</v>
      </c>
      <c r="AA266">
        <v>1503.07</v>
      </c>
      <c r="AB266">
        <v>0</v>
      </c>
      <c r="AC266">
        <f t="shared" si="96"/>
        <v>0</v>
      </c>
      <c r="AD266" t="str">
        <f t="shared" si="99"/>
        <v>Valid</v>
      </c>
      <c r="AE266">
        <v>6012.28</v>
      </c>
      <c r="AF266">
        <v>3927.64</v>
      </c>
      <c r="AG266">
        <v>2084.64</v>
      </c>
      <c r="AH266" t="s">
        <v>33</v>
      </c>
      <c r="AI266" t="str">
        <f t="shared" si="100"/>
        <v>Include</v>
      </c>
      <c r="AJ266" t="str">
        <f t="shared" si="101"/>
        <v/>
      </c>
      <c r="AK266" t="s">
        <v>34</v>
      </c>
      <c r="AL266" t="str">
        <f t="shared" si="97"/>
        <v>Completed</v>
      </c>
      <c r="AM266" t="str">
        <f t="shared" si="102"/>
        <v>Include</v>
      </c>
      <c r="AN266">
        <f t="shared" si="103"/>
        <v>6012.28</v>
      </c>
      <c r="AO266">
        <f t="shared" si="104"/>
        <v>2084.64</v>
      </c>
      <c r="AP266">
        <f>IF(AN266=0,0,AO266/AN266)</f>
        <v>0.34673035853286938</v>
      </c>
      <c r="AQ266" t="str">
        <f t="shared" si="105"/>
        <v>May</v>
      </c>
      <c r="AR266">
        <f t="shared" si="106"/>
        <v>2024</v>
      </c>
      <c r="AS266" t="str">
        <f t="shared" si="107"/>
        <v>Clean</v>
      </c>
      <c r="AT266" t="str">
        <f>IF(OR(AC266&lt;0,AC266&gt;0.5),"Invalid Discount","Valid")</f>
        <v>Valid</v>
      </c>
      <c r="AU266" t="str">
        <f>IF(G266&lt;E266,"Invalid Shipping Record","Valid")</f>
        <v>Valid</v>
      </c>
      <c r="AV266" t="str">
        <f>IF(OR(AL266="Cancelled",AH266="Failed"),"Exclude","Include")</f>
        <v>Include</v>
      </c>
      <c r="AW266" t="str">
        <f t="shared" si="108"/>
        <v>Match</v>
      </c>
      <c r="AX266" t="str">
        <f t="shared" si="109"/>
        <v>Match</v>
      </c>
    </row>
    <row r="267" spans="1:50">
      <c r="A267" t="s">
        <v>1378</v>
      </c>
      <c r="B267">
        <f t="shared" si="88"/>
        <v>1</v>
      </c>
      <c r="C267" t="str">
        <f t="shared" si="98"/>
        <v/>
      </c>
      <c r="D267" s="3" t="s">
        <v>1379</v>
      </c>
      <c r="E267" s="7">
        <v>45610</v>
      </c>
      <c r="F267" s="3" t="s">
        <v>910</v>
      </c>
      <c r="G267" s="7">
        <v>45618</v>
      </c>
      <c r="H267" s="7" t="str">
        <f t="shared" si="89"/>
        <v>Valid</v>
      </c>
      <c r="I267" s="9">
        <f t="shared" si="90"/>
        <v>8</v>
      </c>
      <c r="J267" s="9" t="str">
        <f t="shared" si="91"/>
        <v>Valid</v>
      </c>
      <c r="K267" t="s">
        <v>1380</v>
      </c>
      <c r="L267" t="s">
        <v>141</v>
      </c>
      <c r="M267" t="s">
        <v>141</v>
      </c>
      <c r="N267" t="s">
        <v>107</v>
      </c>
      <c r="O267" s="3" t="str">
        <f t="shared" si="92"/>
        <v>Corporate</v>
      </c>
      <c r="P267" t="s">
        <v>41</v>
      </c>
      <c r="Q267" s="3" t="str">
        <f t="shared" si="93"/>
        <v>East</v>
      </c>
      <c r="R267" t="s">
        <v>185</v>
      </c>
      <c r="S267" t="s">
        <v>186</v>
      </c>
      <c r="T267" t="s">
        <v>44</v>
      </c>
      <c r="U267" s="3" t="str">
        <f t="shared" si="94"/>
        <v>Furniture</v>
      </c>
      <c r="V267" t="s">
        <v>203</v>
      </c>
      <c r="W267" t="s">
        <v>1381</v>
      </c>
      <c r="X267" t="s">
        <v>47</v>
      </c>
      <c r="Y267" s="3" t="str">
        <f t="shared" si="95"/>
        <v>Same Day</v>
      </c>
      <c r="Z267">
        <v>1</v>
      </c>
      <c r="AA267">
        <v>582.37</v>
      </c>
      <c r="AB267">
        <v>0.15</v>
      </c>
      <c r="AC267">
        <f t="shared" si="96"/>
        <v>0.15</v>
      </c>
      <c r="AD267" t="str">
        <f t="shared" si="99"/>
        <v>Valid</v>
      </c>
      <c r="AE267">
        <v>495.01</v>
      </c>
      <c r="AF267">
        <v>285.13</v>
      </c>
      <c r="AG267">
        <v>209.88</v>
      </c>
      <c r="AH267" t="s">
        <v>123</v>
      </c>
      <c r="AI267" t="str">
        <f t="shared" si="100"/>
        <v>Exclude</v>
      </c>
      <c r="AJ267" t="str">
        <f t="shared" si="101"/>
        <v>Refunded Order</v>
      </c>
      <c r="AK267" t="s">
        <v>77</v>
      </c>
      <c r="AL267" t="str">
        <f t="shared" si="97"/>
        <v>Cancelled</v>
      </c>
      <c r="AM267" t="str">
        <f t="shared" si="102"/>
        <v>Exclude</v>
      </c>
      <c r="AN267">
        <f t="shared" si="103"/>
        <v>495.0145</v>
      </c>
      <c r="AO267">
        <f t="shared" si="104"/>
        <v>209.8845</v>
      </c>
      <c r="AP267">
        <f>IF(AN267=0,0,AO267/AN267)</f>
        <v>0.42399667080459258</v>
      </c>
      <c r="AQ267" t="str">
        <f t="shared" si="105"/>
        <v>November</v>
      </c>
      <c r="AR267">
        <f t="shared" si="106"/>
        <v>2024</v>
      </c>
      <c r="AS267" t="str">
        <f t="shared" si="107"/>
        <v>Clean</v>
      </c>
      <c r="AT267" t="str">
        <f>IF(OR(AC267&lt;0,AC267&gt;0.5),"Invalid Discount","Valid")</f>
        <v>Valid</v>
      </c>
      <c r="AU267" t="str">
        <f>IF(G267&lt;E267,"Invalid Shipping Record","Valid")</f>
        <v>Valid</v>
      </c>
      <c r="AV267" t="str">
        <f>IF(OR(AL267="Cancelled",AH267="Failed"),"Exclude","Include")</f>
        <v>Exclude</v>
      </c>
      <c r="AW267" t="str">
        <f t="shared" si="108"/>
        <v>Match</v>
      </c>
      <c r="AX267" t="str">
        <f t="shared" si="109"/>
        <v>Match</v>
      </c>
    </row>
    <row r="268" spans="1:50">
      <c r="A268" t="s">
        <v>1382</v>
      </c>
      <c r="B268">
        <f t="shared" si="88"/>
        <v>1</v>
      </c>
      <c r="C268" t="str">
        <f t="shared" si="98"/>
        <v/>
      </c>
      <c r="D268" s="3" t="s">
        <v>1383</v>
      </c>
      <c r="E268" s="7">
        <v>45780</v>
      </c>
      <c r="F268" s="3" t="s">
        <v>1384</v>
      </c>
      <c r="G268" s="7">
        <v>45787</v>
      </c>
      <c r="H268" s="7" t="str">
        <f t="shared" si="89"/>
        <v>Valid</v>
      </c>
      <c r="I268" s="9">
        <f t="shared" si="90"/>
        <v>7</v>
      </c>
      <c r="J268" s="9" t="str">
        <f t="shared" si="91"/>
        <v>Valid</v>
      </c>
      <c r="K268" t="s">
        <v>1385</v>
      </c>
      <c r="L268" t="s">
        <v>92</v>
      </c>
      <c r="M268" t="s">
        <v>92</v>
      </c>
      <c r="N268" t="s">
        <v>114</v>
      </c>
      <c r="O268" s="3" t="str">
        <f t="shared" si="92"/>
        <v>Home Office</v>
      </c>
      <c r="P268" t="s">
        <v>72</v>
      </c>
      <c r="Q268" s="3" t="str">
        <f t="shared" si="93"/>
        <v>West</v>
      </c>
      <c r="R268" t="s">
        <v>73</v>
      </c>
      <c r="S268" t="s">
        <v>74</v>
      </c>
      <c r="T268" t="s">
        <v>29</v>
      </c>
      <c r="U268" s="3" t="str">
        <f t="shared" si="94"/>
        <v>Office Supplies</v>
      </c>
      <c r="V268" t="s">
        <v>155</v>
      </c>
      <c r="W268" t="s">
        <v>1386</v>
      </c>
      <c r="X268" t="s">
        <v>32</v>
      </c>
      <c r="Y268" s="3" t="str">
        <f t="shared" si="95"/>
        <v>Second Class</v>
      </c>
      <c r="Z268">
        <v>3</v>
      </c>
      <c r="AA268">
        <v>4339.24</v>
      </c>
      <c r="AB268">
        <v>0</v>
      </c>
      <c r="AC268">
        <f t="shared" si="96"/>
        <v>0</v>
      </c>
      <c r="AD268" t="str">
        <f t="shared" si="99"/>
        <v>Valid</v>
      </c>
      <c r="AE268">
        <v>13017.72</v>
      </c>
      <c r="AF268">
        <v>10170.57</v>
      </c>
      <c r="AG268">
        <v>2847.15</v>
      </c>
      <c r="AH268" t="s">
        <v>33</v>
      </c>
      <c r="AI268" t="str">
        <f t="shared" si="100"/>
        <v>Include</v>
      </c>
      <c r="AJ268" t="str">
        <f t="shared" si="101"/>
        <v/>
      </c>
      <c r="AK268" t="s">
        <v>34</v>
      </c>
      <c r="AL268" t="str">
        <f t="shared" si="97"/>
        <v>Completed</v>
      </c>
      <c r="AM268" t="str">
        <f t="shared" si="102"/>
        <v>Include</v>
      </c>
      <c r="AN268">
        <f t="shared" si="103"/>
        <v>13017.72</v>
      </c>
      <c r="AO268">
        <f t="shared" si="104"/>
        <v>2847.1499999999996</v>
      </c>
      <c r="AP268">
        <f>IF(AN268=0,0,AO268/AN268)</f>
        <v>0.21871341525244051</v>
      </c>
      <c r="AQ268" t="str">
        <f t="shared" si="105"/>
        <v>May</v>
      </c>
      <c r="AR268">
        <f t="shared" si="106"/>
        <v>2025</v>
      </c>
      <c r="AS268" t="str">
        <f t="shared" si="107"/>
        <v>Clean</v>
      </c>
      <c r="AT268" t="str">
        <f>IF(OR(AC268&lt;0,AC268&gt;0.5),"Invalid Discount","Valid")</f>
        <v>Valid</v>
      </c>
      <c r="AU268" t="str">
        <f>IF(G268&lt;E268,"Invalid Shipping Record","Valid")</f>
        <v>Valid</v>
      </c>
      <c r="AV268" t="str">
        <f>IF(OR(AL268="Cancelled",AH268="Failed"),"Exclude","Include")</f>
        <v>Include</v>
      </c>
      <c r="AW268" t="str">
        <f t="shared" si="108"/>
        <v>Match</v>
      </c>
      <c r="AX268" t="str">
        <f t="shared" si="109"/>
        <v>Match</v>
      </c>
    </row>
    <row r="269" spans="1:50">
      <c r="A269" t="s">
        <v>1387</v>
      </c>
      <c r="B269">
        <f t="shared" si="88"/>
        <v>1</v>
      </c>
      <c r="C269" t="str">
        <f t="shared" si="98"/>
        <v/>
      </c>
      <c r="D269" s="3" t="s">
        <v>1017</v>
      </c>
      <c r="E269" s="7">
        <v>45805</v>
      </c>
      <c r="F269" s="3" t="s">
        <v>1388</v>
      </c>
      <c r="G269" s="7">
        <v>45812</v>
      </c>
      <c r="H269" s="7" t="str">
        <f t="shared" si="89"/>
        <v>Valid</v>
      </c>
      <c r="I269" s="9">
        <f t="shared" si="90"/>
        <v>7</v>
      </c>
      <c r="J269" s="9" t="str">
        <f t="shared" si="91"/>
        <v>Valid</v>
      </c>
      <c r="K269" t="s">
        <v>1389</v>
      </c>
      <c r="L269" t="s">
        <v>209</v>
      </c>
      <c r="M269" t="s">
        <v>209</v>
      </c>
      <c r="N269" t="s">
        <v>107</v>
      </c>
      <c r="O269" s="3" t="str">
        <f t="shared" si="92"/>
        <v>Corporate</v>
      </c>
      <c r="P269" t="s">
        <v>41</v>
      </c>
      <c r="Q269" s="3" t="str">
        <f t="shared" si="93"/>
        <v>East</v>
      </c>
      <c r="R269" t="s">
        <v>310</v>
      </c>
      <c r="S269" t="s">
        <v>311</v>
      </c>
      <c r="T269" t="s">
        <v>44</v>
      </c>
      <c r="U269" s="3" t="str">
        <f t="shared" si="94"/>
        <v>Furniture</v>
      </c>
      <c r="V269" t="s">
        <v>64</v>
      </c>
      <c r="W269" t="s">
        <v>1390</v>
      </c>
      <c r="X269" t="s">
        <v>55</v>
      </c>
      <c r="Y269" s="3" t="str">
        <f t="shared" si="95"/>
        <v>First Class</v>
      </c>
      <c r="Z269">
        <v>4</v>
      </c>
      <c r="AA269">
        <v>261.8</v>
      </c>
      <c r="AB269">
        <v>0.25</v>
      </c>
      <c r="AC269">
        <f t="shared" si="96"/>
        <v>0.25</v>
      </c>
      <c r="AD269" t="str">
        <f t="shared" si="99"/>
        <v>Valid</v>
      </c>
      <c r="AE269">
        <v>785.4</v>
      </c>
      <c r="AF269">
        <v>557.22</v>
      </c>
      <c r="AG269">
        <v>228.18</v>
      </c>
      <c r="AH269" t="s">
        <v>33</v>
      </c>
      <c r="AI269" t="str">
        <f t="shared" si="100"/>
        <v>Include</v>
      </c>
      <c r="AJ269" t="str">
        <f t="shared" si="101"/>
        <v/>
      </c>
      <c r="AK269" t="s">
        <v>34</v>
      </c>
      <c r="AL269" t="str">
        <f t="shared" si="97"/>
        <v>Completed</v>
      </c>
      <c r="AM269" t="str">
        <f t="shared" si="102"/>
        <v>Include</v>
      </c>
      <c r="AN269">
        <f t="shared" si="103"/>
        <v>785.40000000000009</v>
      </c>
      <c r="AO269">
        <f t="shared" si="104"/>
        <v>228.18000000000006</v>
      </c>
      <c r="AP269">
        <f>IF(AN269=0,0,AO269/AN269)</f>
        <v>0.29052711993888469</v>
      </c>
      <c r="AQ269" t="str">
        <f t="shared" si="105"/>
        <v>May</v>
      </c>
      <c r="AR269">
        <f t="shared" si="106"/>
        <v>2025</v>
      </c>
      <c r="AS269" t="str">
        <f t="shared" si="107"/>
        <v>Clean</v>
      </c>
      <c r="AT269" t="str">
        <f>IF(OR(AC269&lt;0,AC269&gt;0.5),"Invalid Discount","Valid")</f>
        <v>Valid</v>
      </c>
      <c r="AU269" t="str">
        <f>IF(G269&lt;E269,"Invalid Shipping Record","Valid")</f>
        <v>Valid</v>
      </c>
      <c r="AV269" t="str">
        <f>IF(OR(AL269="Cancelled",AH269="Failed"),"Exclude","Include")</f>
        <v>Include</v>
      </c>
      <c r="AW269" t="str">
        <f t="shared" si="108"/>
        <v>Match</v>
      </c>
      <c r="AX269" t="str">
        <f t="shared" si="109"/>
        <v>Match</v>
      </c>
    </row>
    <row r="270" spans="1:50">
      <c r="A270" t="s">
        <v>1391</v>
      </c>
      <c r="B270">
        <f t="shared" si="88"/>
        <v>1</v>
      </c>
      <c r="C270" t="str">
        <f t="shared" si="98"/>
        <v/>
      </c>
      <c r="D270" s="3" t="s">
        <v>1392</v>
      </c>
      <c r="E270" s="7">
        <v>45886</v>
      </c>
      <c r="F270" s="3" t="s">
        <v>1392</v>
      </c>
      <c r="G270" s="7">
        <v>45886</v>
      </c>
      <c r="H270" s="7" t="str">
        <f t="shared" si="89"/>
        <v>Valid</v>
      </c>
      <c r="I270" s="9">
        <f t="shared" si="90"/>
        <v>0</v>
      </c>
      <c r="J270" s="9" t="str">
        <f t="shared" si="91"/>
        <v>Valid</v>
      </c>
      <c r="K270" t="s">
        <v>1393</v>
      </c>
      <c r="L270" t="s">
        <v>161</v>
      </c>
      <c r="M270" t="s">
        <v>161</v>
      </c>
      <c r="N270" t="s">
        <v>114</v>
      </c>
      <c r="O270" s="3" t="str">
        <f t="shared" si="92"/>
        <v>Home Office</v>
      </c>
      <c r="P270" t="s">
        <v>26</v>
      </c>
      <c r="Q270" s="3" t="str">
        <f t="shared" si="93"/>
        <v>North</v>
      </c>
      <c r="R270" t="s">
        <v>153</v>
      </c>
      <c r="S270" t="s">
        <v>154</v>
      </c>
      <c r="T270" t="s">
        <v>85</v>
      </c>
      <c r="U270" s="3" t="str">
        <f t="shared" si="94"/>
        <v>Technology</v>
      </c>
      <c r="V270" t="s">
        <v>86</v>
      </c>
      <c r="W270" t="s">
        <v>1394</v>
      </c>
      <c r="X270" t="s">
        <v>55</v>
      </c>
      <c r="Y270" s="3" t="str">
        <f t="shared" si="95"/>
        <v>First Class</v>
      </c>
      <c r="Z270">
        <v>7</v>
      </c>
      <c r="AA270">
        <v>632.20000000000005</v>
      </c>
      <c r="AB270">
        <v>0.25</v>
      </c>
      <c r="AC270">
        <f t="shared" si="96"/>
        <v>0.25</v>
      </c>
      <c r="AD270" t="str">
        <f t="shared" si="99"/>
        <v>Valid</v>
      </c>
      <c r="AE270">
        <v>3319.05</v>
      </c>
      <c r="AF270">
        <v>2124.6</v>
      </c>
      <c r="AG270">
        <v>1194.45</v>
      </c>
      <c r="AH270" t="s">
        <v>33</v>
      </c>
      <c r="AI270" t="str">
        <f t="shared" si="100"/>
        <v>Include</v>
      </c>
      <c r="AJ270" t="str">
        <f t="shared" si="101"/>
        <v/>
      </c>
      <c r="AK270" t="s">
        <v>34</v>
      </c>
      <c r="AL270" t="str">
        <f t="shared" si="97"/>
        <v>Completed</v>
      </c>
      <c r="AM270" t="str">
        <f t="shared" si="102"/>
        <v>Include</v>
      </c>
      <c r="AN270">
        <f t="shared" si="103"/>
        <v>3319.05</v>
      </c>
      <c r="AO270">
        <f t="shared" si="104"/>
        <v>1194.4500000000003</v>
      </c>
      <c r="AP270">
        <f>IF(AN270=0,0,AO270/AN270)</f>
        <v>0.35987707325891449</v>
      </c>
      <c r="AQ270" t="str">
        <f t="shared" si="105"/>
        <v>August</v>
      </c>
      <c r="AR270">
        <f t="shared" si="106"/>
        <v>2025</v>
      </c>
      <c r="AS270" t="str">
        <f t="shared" si="107"/>
        <v>Clean</v>
      </c>
      <c r="AT270" t="str">
        <f>IF(OR(AC270&lt;0,AC270&gt;0.5),"Invalid Discount","Valid")</f>
        <v>Valid</v>
      </c>
      <c r="AU270" t="str">
        <f>IF(G270&lt;E270,"Invalid Shipping Record","Valid")</f>
        <v>Valid</v>
      </c>
      <c r="AV270" t="str">
        <f>IF(OR(AL270="Cancelled",AH270="Failed"),"Exclude","Include")</f>
        <v>Include</v>
      </c>
      <c r="AW270" t="str">
        <f t="shared" si="108"/>
        <v>Match</v>
      </c>
      <c r="AX270" t="str">
        <f t="shared" si="109"/>
        <v>Match</v>
      </c>
    </row>
    <row r="271" spans="1:50">
      <c r="A271" t="s">
        <v>1395</v>
      </c>
      <c r="B271">
        <f t="shared" si="88"/>
        <v>1</v>
      </c>
      <c r="C271" t="str">
        <f t="shared" si="98"/>
        <v/>
      </c>
      <c r="D271" s="3" t="s">
        <v>1334</v>
      </c>
      <c r="E271" s="7">
        <v>45698</v>
      </c>
      <c r="F271" s="3" t="s">
        <v>1396</v>
      </c>
      <c r="G271" s="7">
        <v>45700</v>
      </c>
      <c r="H271" s="7" t="str">
        <f t="shared" si="89"/>
        <v>Valid</v>
      </c>
      <c r="I271" s="9">
        <f t="shared" si="90"/>
        <v>2</v>
      </c>
      <c r="J271" s="9" t="str">
        <f t="shared" si="91"/>
        <v>Valid</v>
      </c>
      <c r="K271" t="s">
        <v>1397</v>
      </c>
      <c r="L271" t="s">
        <v>147</v>
      </c>
      <c r="M271" t="s">
        <v>147</v>
      </c>
      <c r="N271" t="s">
        <v>40</v>
      </c>
      <c r="O271" s="3" t="str">
        <f t="shared" si="92"/>
        <v>Small Business</v>
      </c>
      <c r="P271" t="s">
        <v>72</v>
      </c>
      <c r="Q271" s="3" t="str">
        <f t="shared" si="93"/>
        <v>West</v>
      </c>
      <c r="R271" t="s">
        <v>27</v>
      </c>
      <c r="S271" t="s">
        <v>134</v>
      </c>
      <c r="T271" t="s">
        <v>44</v>
      </c>
      <c r="U271" s="3" t="str">
        <f t="shared" si="94"/>
        <v>Furniture</v>
      </c>
      <c r="V271" t="s">
        <v>45</v>
      </c>
      <c r="W271" t="s">
        <v>1398</v>
      </c>
      <c r="X271" t="s">
        <v>47</v>
      </c>
      <c r="Y271" s="3" t="str">
        <f t="shared" si="95"/>
        <v>Same Day</v>
      </c>
      <c r="Z271">
        <v>1</v>
      </c>
      <c r="AA271">
        <v>1925.86</v>
      </c>
      <c r="AB271">
        <v>0</v>
      </c>
      <c r="AC271">
        <f t="shared" si="96"/>
        <v>0</v>
      </c>
      <c r="AD271" t="str">
        <f t="shared" si="99"/>
        <v>Valid</v>
      </c>
      <c r="AE271">
        <v>1925.86</v>
      </c>
      <c r="AF271">
        <v>1321.89</v>
      </c>
      <c r="AG271">
        <v>603.97</v>
      </c>
      <c r="AH271" t="s">
        <v>33</v>
      </c>
      <c r="AI271" t="str">
        <f t="shared" si="100"/>
        <v>Include</v>
      </c>
      <c r="AJ271" t="str">
        <f t="shared" si="101"/>
        <v/>
      </c>
      <c r="AK271" t="s">
        <v>34</v>
      </c>
      <c r="AL271" t="str">
        <f t="shared" si="97"/>
        <v>Completed</v>
      </c>
      <c r="AM271" t="str">
        <f t="shared" si="102"/>
        <v>Include</v>
      </c>
      <c r="AN271">
        <f t="shared" si="103"/>
        <v>1925.86</v>
      </c>
      <c r="AO271">
        <f t="shared" si="104"/>
        <v>603.9699999999998</v>
      </c>
      <c r="AP271">
        <f>IF(AN271=0,0,AO271/AN271)</f>
        <v>0.31361054282242729</v>
      </c>
      <c r="AQ271" t="str">
        <f t="shared" si="105"/>
        <v>February</v>
      </c>
      <c r="AR271">
        <f t="shared" si="106"/>
        <v>2025</v>
      </c>
      <c r="AS271" t="str">
        <f t="shared" si="107"/>
        <v>Clean</v>
      </c>
      <c r="AT271" t="str">
        <f>IF(OR(AC271&lt;0,AC271&gt;0.5),"Invalid Discount","Valid")</f>
        <v>Valid</v>
      </c>
      <c r="AU271" t="str">
        <f>IF(G271&lt;E271,"Invalid Shipping Record","Valid")</f>
        <v>Valid</v>
      </c>
      <c r="AV271" t="str">
        <f>IF(OR(AL271="Cancelled",AH271="Failed"),"Exclude","Include")</f>
        <v>Include</v>
      </c>
      <c r="AW271" t="str">
        <f t="shared" si="108"/>
        <v>Match</v>
      </c>
      <c r="AX271" t="str">
        <f t="shared" si="109"/>
        <v>Match</v>
      </c>
    </row>
    <row r="272" spans="1:50">
      <c r="A272" t="s">
        <v>1399</v>
      </c>
      <c r="B272">
        <f t="shared" si="88"/>
        <v>1</v>
      </c>
      <c r="C272" t="str">
        <f t="shared" si="98"/>
        <v/>
      </c>
      <c r="D272" s="3" t="s">
        <v>1257</v>
      </c>
      <c r="E272" s="7">
        <v>45303</v>
      </c>
      <c r="F272" s="3" t="s">
        <v>562</v>
      </c>
      <c r="G272" s="7">
        <v>45304</v>
      </c>
      <c r="H272" s="7" t="str">
        <f t="shared" si="89"/>
        <v>Valid</v>
      </c>
      <c r="I272" s="9">
        <f t="shared" si="90"/>
        <v>1</v>
      </c>
      <c r="J272" s="9" t="str">
        <f t="shared" si="91"/>
        <v>Valid</v>
      </c>
      <c r="K272" t="s">
        <v>1400</v>
      </c>
      <c r="L272" t="s">
        <v>106</v>
      </c>
      <c r="M272" t="s">
        <v>106</v>
      </c>
      <c r="N272" t="s">
        <v>107</v>
      </c>
      <c r="O272" s="3" t="str">
        <f t="shared" si="92"/>
        <v>Corporate</v>
      </c>
      <c r="P272" t="s">
        <v>26</v>
      </c>
      <c r="Q272" s="3" t="str">
        <f t="shared" si="93"/>
        <v>North</v>
      </c>
      <c r="R272" t="s">
        <v>173</v>
      </c>
      <c r="S272" t="s">
        <v>174</v>
      </c>
      <c r="T272" t="s">
        <v>85</v>
      </c>
      <c r="U272" s="3" t="str">
        <f t="shared" si="94"/>
        <v>Technology</v>
      </c>
      <c r="V272" t="s">
        <v>381</v>
      </c>
      <c r="W272" t="s">
        <v>1401</v>
      </c>
      <c r="X272" t="s">
        <v>47</v>
      </c>
      <c r="Y272" s="3" t="str">
        <f t="shared" si="95"/>
        <v>Same Day</v>
      </c>
      <c r="Z272">
        <v>3</v>
      </c>
      <c r="AA272">
        <v>827.44</v>
      </c>
      <c r="AB272">
        <v>0</v>
      </c>
      <c r="AC272">
        <f t="shared" si="96"/>
        <v>0</v>
      </c>
      <c r="AD272" t="str">
        <f t="shared" si="99"/>
        <v>Valid</v>
      </c>
      <c r="AE272">
        <v>2482.3200000000002</v>
      </c>
      <c r="AF272">
        <v>1520.21</v>
      </c>
      <c r="AG272">
        <v>962.11</v>
      </c>
      <c r="AH272" t="s">
        <v>33</v>
      </c>
      <c r="AI272" t="str">
        <f t="shared" si="100"/>
        <v>Include</v>
      </c>
      <c r="AJ272" t="str">
        <f t="shared" si="101"/>
        <v/>
      </c>
      <c r="AK272" t="s">
        <v>34</v>
      </c>
      <c r="AL272" t="str">
        <f t="shared" si="97"/>
        <v>Completed</v>
      </c>
      <c r="AM272" t="str">
        <f t="shared" si="102"/>
        <v>Include</v>
      </c>
      <c r="AN272">
        <f t="shared" si="103"/>
        <v>2482.3200000000002</v>
      </c>
      <c r="AO272">
        <f t="shared" si="104"/>
        <v>962.11000000000013</v>
      </c>
      <c r="AP272">
        <f>IF(AN272=0,0,AO272/AN272)</f>
        <v>0.38758500112797706</v>
      </c>
      <c r="AQ272" t="str">
        <f t="shared" si="105"/>
        <v>January</v>
      </c>
      <c r="AR272">
        <f t="shared" si="106"/>
        <v>2024</v>
      </c>
      <c r="AS272" t="str">
        <f t="shared" si="107"/>
        <v>Clean</v>
      </c>
      <c r="AT272" t="str">
        <f>IF(OR(AC272&lt;0,AC272&gt;0.5),"Invalid Discount","Valid")</f>
        <v>Valid</v>
      </c>
      <c r="AU272" t="str">
        <f>IF(G272&lt;E272,"Invalid Shipping Record","Valid")</f>
        <v>Valid</v>
      </c>
      <c r="AV272" t="str">
        <f>IF(OR(AL272="Cancelled",AH272="Failed"),"Exclude","Include")</f>
        <v>Include</v>
      </c>
      <c r="AW272" t="str">
        <f t="shared" si="108"/>
        <v>Match</v>
      </c>
      <c r="AX272" t="str">
        <f t="shared" si="109"/>
        <v>Match</v>
      </c>
    </row>
    <row r="273" spans="1:50">
      <c r="A273" t="s">
        <v>1402</v>
      </c>
      <c r="B273">
        <f t="shared" si="88"/>
        <v>1</v>
      </c>
      <c r="C273" t="str">
        <f t="shared" si="98"/>
        <v/>
      </c>
      <c r="D273" s="3" t="s">
        <v>1403</v>
      </c>
      <c r="E273" s="7">
        <v>45647</v>
      </c>
      <c r="F273" s="3" t="s">
        <v>1404</v>
      </c>
      <c r="G273" s="7">
        <v>45651</v>
      </c>
      <c r="H273" s="7" t="str">
        <f t="shared" si="89"/>
        <v>Valid</v>
      </c>
      <c r="I273" s="9">
        <f t="shared" si="90"/>
        <v>4</v>
      </c>
      <c r="J273" s="9" t="str">
        <f t="shared" si="91"/>
        <v>Valid</v>
      </c>
      <c r="K273" t="s">
        <v>1405</v>
      </c>
      <c r="L273" t="s">
        <v>106</v>
      </c>
      <c r="M273" t="s">
        <v>106</v>
      </c>
      <c r="N273" t="s">
        <v>25</v>
      </c>
      <c r="O273" s="3" t="str">
        <f t="shared" si="92"/>
        <v>Consumer</v>
      </c>
      <c r="P273" t="s">
        <v>61</v>
      </c>
      <c r="Q273" s="3" t="str">
        <f t="shared" si="93"/>
        <v>South</v>
      </c>
      <c r="R273" t="s">
        <v>62</v>
      </c>
      <c r="S273" t="s">
        <v>63</v>
      </c>
      <c r="T273" t="s">
        <v>29</v>
      </c>
      <c r="U273" s="3" t="str">
        <f t="shared" si="94"/>
        <v>Office Supplies</v>
      </c>
      <c r="V273" t="s">
        <v>197</v>
      </c>
      <c r="W273" t="s">
        <v>1406</v>
      </c>
      <c r="X273" t="s">
        <v>66</v>
      </c>
      <c r="Y273" s="3" t="str">
        <f t="shared" si="95"/>
        <v>Standard Class</v>
      </c>
      <c r="Z273">
        <v>7</v>
      </c>
      <c r="AA273">
        <v>1667.75</v>
      </c>
      <c r="AB273">
        <v>0</v>
      </c>
      <c r="AC273">
        <f t="shared" si="96"/>
        <v>0</v>
      </c>
      <c r="AD273" t="str">
        <f t="shared" si="99"/>
        <v>Valid</v>
      </c>
      <c r="AE273">
        <v>11674.25</v>
      </c>
      <c r="AF273">
        <v>9621.19</v>
      </c>
      <c r="AG273">
        <v>2053.06</v>
      </c>
      <c r="AH273" t="s">
        <v>199</v>
      </c>
      <c r="AI273" t="str">
        <f t="shared" si="100"/>
        <v>Exclude</v>
      </c>
      <c r="AJ273" t="str">
        <f t="shared" si="101"/>
        <v/>
      </c>
      <c r="AK273" t="s">
        <v>77</v>
      </c>
      <c r="AL273" t="str">
        <f t="shared" si="97"/>
        <v>Cancelled</v>
      </c>
      <c r="AM273" t="str">
        <f t="shared" si="102"/>
        <v>Exclude</v>
      </c>
      <c r="AN273">
        <f t="shared" si="103"/>
        <v>11674.25</v>
      </c>
      <c r="AO273">
        <f t="shared" si="104"/>
        <v>2053.0599999999995</v>
      </c>
      <c r="AP273">
        <f>IF(AN273=0,0,AO273/AN273)</f>
        <v>0.17586226095894808</v>
      </c>
      <c r="AQ273" t="str">
        <f t="shared" si="105"/>
        <v>December</v>
      </c>
      <c r="AR273">
        <f t="shared" si="106"/>
        <v>2024</v>
      </c>
      <c r="AS273" t="str">
        <f t="shared" si="107"/>
        <v>Clean</v>
      </c>
      <c r="AT273" t="str">
        <f>IF(OR(AC273&lt;0,AC273&gt;0.5),"Invalid Discount","Valid")</f>
        <v>Valid</v>
      </c>
      <c r="AU273" t="str">
        <f>IF(G273&lt;E273,"Invalid Shipping Record","Valid")</f>
        <v>Valid</v>
      </c>
      <c r="AV273" t="str">
        <f>IF(OR(AL273="Cancelled",AH273="Failed"),"Exclude","Include")</f>
        <v>Exclude</v>
      </c>
      <c r="AW273" t="str">
        <f t="shared" si="108"/>
        <v>Match</v>
      </c>
      <c r="AX273" t="str">
        <f t="shared" si="109"/>
        <v>Match</v>
      </c>
    </row>
    <row r="274" spans="1:50">
      <c r="A274" t="s">
        <v>1407</v>
      </c>
      <c r="B274">
        <f t="shared" si="88"/>
        <v>2</v>
      </c>
      <c r="C274" t="str">
        <f t="shared" si="98"/>
        <v>Review Required</v>
      </c>
      <c r="D274" s="3" t="s">
        <v>1408</v>
      </c>
      <c r="E274" s="7">
        <v>45522</v>
      </c>
      <c r="F274" s="3" t="s">
        <v>1409</v>
      </c>
      <c r="G274" s="7">
        <v>45528</v>
      </c>
      <c r="H274" s="7" t="str">
        <f t="shared" si="89"/>
        <v>Valid</v>
      </c>
      <c r="I274" s="9">
        <f t="shared" si="90"/>
        <v>6</v>
      </c>
      <c r="J274" s="9" t="str">
        <f t="shared" si="91"/>
        <v>Valid</v>
      </c>
      <c r="K274" t="s">
        <v>1410</v>
      </c>
      <c r="L274" t="s">
        <v>60</v>
      </c>
      <c r="M274" t="s">
        <v>60</v>
      </c>
      <c r="N274" t="s">
        <v>25</v>
      </c>
      <c r="O274" s="3" t="str">
        <f t="shared" si="92"/>
        <v>Consumer</v>
      </c>
      <c r="P274" t="s">
        <v>61</v>
      </c>
      <c r="Q274" s="3" t="str">
        <f t="shared" si="93"/>
        <v>South</v>
      </c>
      <c r="R274" t="s">
        <v>99</v>
      </c>
      <c r="S274" t="s">
        <v>100</v>
      </c>
      <c r="T274" t="s">
        <v>44</v>
      </c>
      <c r="U274" s="3" t="str">
        <f t="shared" si="94"/>
        <v>Furniture</v>
      </c>
      <c r="V274" t="s">
        <v>75</v>
      </c>
      <c r="W274" t="s">
        <v>1411</v>
      </c>
      <c r="X274" t="s">
        <v>55</v>
      </c>
      <c r="Y274" s="3" t="str">
        <f t="shared" si="95"/>
        <v>First Class</v>
      </c>
      <c r="Z274">
        <v>7</v>
      </c>
      <c r="AA274">
        <v>557.21</v>
      </c>
      <c r="AB274">
        <v>0.1</v>
      </c>
      <c r="AC274">
        <f t="shared" si="96"/>
        <v>0.1</v>
      </c>
      <c r="AD274" t="str">
        <f t="shared" si="99"/>
        <v>Valid</v>
      </c>
      <c r="AE274">
        <v>3797.79</v>
      </c>
      <c r="AF274">
        <v>2191.5</v>
      </c>
      <c r="AG274">
        <v>1213.48</v>
      </c>
      <c r="AH274" t="s">
        <v>33</v>
      </c>
      <c r="AI274" t="str">
        <f t="shared" si="100"/>
        <v>Include</v>
      </c>
      <c r="AJ274" t="str">
        <f t="shared" si="101"/>
        <v/>
      </c>
      <c r="AK274" t="s">
        <v>124</v>
      </c>
      <c r="AL274" t="str">
        <f t="shared" si="97"/>
        <v>Returned</v>
      </c>
      <c r="AM274" t="str">
        <f t="shared" si="102"/>
        <v>Include</v>
      </c>
      <c r="AN274">
        <f t="shared" si="103"/>
        <v>3510.4230000000002</v>
      </c>
      <c r="AO274">
        <f t="shared" si="104"/>
        <v>1318.9230000000002</v>
      </c>
      <c r="AP274">
        <f>IF(AN274=0,0,AO274/AN274)</f>
        <v>0.37571625983535323</v>
      </c>
      <c r="AQ274" t="str">
        <f t="shared" si="105"/>
        <v>August</v>
      </c>
      <c r="AR274">
        <f t="shared" si="106"/>
        <v>2024</v>
      </c>
      <c r="AS274" t="str">
        <f t="shared" si="107"/>
        <v>Clean</v>
      </c>
      <c r="AT274" t="str">
        <f>IF(OR(AC274&lt;0,AC274&gt;0.5),"Invalid Discount","Valid")</f>
        <v>Valid</v>
      </c>
      <c r="AU274" t="str">
        <f>IF(G274&lt;E274,"Invalid Shipping Record","Valid")</f>
        <v>Valid</v>
      </c>
      <c r="AV274" t="str">
        <f>IF(OR(AL274="Cancelled",AH274="Failed"),"Exclude","Include")</f>
        <v>Include</v>
      </c>
      <c r="AW274" t="str">
        <f t="shared" si="108"/>
        <v>Mismatch</v>
      </c>
      <c r="AX274" t="str">
        <f t="shared" si="109"/>
        <v>Mismatch</v>
      </c>
    </row>
    <row r="275" spans="1:50">
      <c r="A275" t="s">
        <v>1412</v>
      </c>
      <c r="B275">
        <f t="shared" si="88"/>
        <v>1</v>
      </c>
      <c r="C275" t="str">
        <f t="shared" si="98"/>
        <v/>
      </c>
      <c r="D275" s="3" t="s">
        <v>1413</v>
      </c>
      <c r="E275" s="7">
        <v>45701</v>
      </c>
      <c r="F275" s="3" t="s">
        <v>1414</v>
      </c>
      <c r="G275" s="7">
        <v>45701</v>
      </c>
      <c r="H275" s="7" t="str">
        <f t="shared" si="89"/>
        <v>Valid</v>
      </c>
      <c r="I275" s="9">
        <f t="shared" si="90"/>
        <v>0</v>
      </c>
      <c r="J275" s="9" t="str">
        <f t="shared" si="91"/>
        <v>Valid</v>
      </c>
      <c r="K275" t="s">
        <v>1415</v>
      </c>
      <c r="L275" t="s">
        <v>52</v>
      </c>
      <c r="M275" t="s">
        <v>52</v>
      </c>
      <c r="N275" t="s">
        <v>25</v>
      </c>
      <c r="O275" s="3" t="str">
        <f t="shared" si="92"/>
        <v>Consumer</v>
      </c>
      <c r="P275" t="s">
        <v>41</v>
      </c>
      <c r="Q275" s="3" t="str">
        <f t="shared" si="93"/>
        <v>East</v>
      </c>
      <c r="R275" t="s">
        <v>185</v>
      </c>
      <c r="S275" t="s">
        <v>186</v>
      </c>
      <c r="T275" t="s">
        <v>29</v>
      </c>
      <c r="U275" s="3" t="str">
        <f t="shared" si="94"/>
        <v>Office Supplies</v>
      </c>
      <c r="V275" t="s">
        <v>30</v>
      </c>
      <c r="W275" t="s">
        <v>1416</v>
      </c>
      <c r="X275" t="s">
        <v>32</v>
      </c>
      <c r="Y275" s="3" t="str">
        <f t="shared" si="95"/>
        <v>Second Class</v>
      </c>
      <c r="Z275">
        <v>9</v>
      </c>
      <c r="AA275">
        <v>2521.63</v>
      </c>
      <c r="AB275">
        <v>0</v>
      </c>
      <c r="AC275">
        <f t="shared" si="96"/>
        <v>0</v>
      </c>
      <c r="AD275" t="str">
        <f t="shared" si="99"/>
        <v>Valid</v>
      </c>
      <c r="AE275">
        <v>22694.67</v>
      </c>
      <c r="AF275">
        <v>15405.36</v>
      </c>
      <c r="AG275">
        <v>7289.31</v>
      </c>
      <c r="AH275" t="s">
        <v>33</v>
      </c>
      <c r="AI275" t="str">
        <f t="shared" si="100"/>
        <v>Include</v>
      </c>
      <c r="AJ275" t="str">
        <f t="shared" si="101"/>
        <v/>
      </c>
      <c r="AK275" t="s">
        <v>124</v>
      </c>
      <c r="AL275" t="str">
        <f t="shared" si="97"/>
        <v>Returned</v>
      </c>
      <c r="AM275" t="str">
        <f t="shared" si="102"/>
        <v>Include</v>
      </c>
      <c r="AN275">
        <f t="shared" si="103"/>
        <v>22694.670000000002</v>
      </c>
      <c r="AO275">
        <f t="shared" si="104"/>
        <v>7289.3100000000013</v>
      </c>
      <c r="AP275">
        <f>IF(AN275=0,0,AO275/AN275)</f>
        <v>0.32119039404406413</v>
      </c>
      <c r="AQ275" t="str">
        <f t="shared" si="105"/>
        <v>February</v>
      </c>
      <c r="AR275">
        <f t="shared" si="106"/>
        <v>2025</v>
      </c>
      <c r="AS275" t="str">
        <f t="shared" si="107"/>
        <v>Clean</v>
      </c>
      <c r="AT275" t="str">
        <f>IF(OR(AC275&lt;0,AC275&gt;0.5),"Invalid Discount","Valid")</f>
        <v>Valid</v>
      </c>
      <c r="AU275" t="str">
        <f>IF(G275&lt;E275,"Invalid Shipping Record","Valid")</f>
        <v>Valid</v>
      </c>
      <c r="AV275" t="str">
        <f>IF(OR(AL275="Cancelled",AH275="Failed"),"Exclude","Include")</f>
        <v>Include</v>
      </c>
      <c r="AW275" t="str">
        <f t="shared" si="108"/>
        <v>Match</v>
      </c>
      <c r="AX275" t="str">
        <f t="shared" si="109"/>
        <v>Match</v>
      </c>
    </row>
    <row r="276" spans="1:50">
      <c r="A276" t="s">
        <v>1417</v>
      </c>
      <c r="B276">
        <f t="shared" si="88"/>
        <v>1</v>
      </c>
      <c r="C276" t="str">
        <f t="shared" si="98"/>
        <v/>
      </c>
      <c r="D276" s="3" t="s">
        <v>1418</v>
      </c>
      <c r="E276" s="7">
        <v>45389</v>
      </c>
      <c r="F276" s="3" t="s">
        <v>1419</v>
      </c>
      <c r="G276" s="7">
        <v>45396</v>
      </c>
      <c r="H276" s="7" t="str">
        <f t="shared" si="89"/>
        <v>Valid</v>
      </c>
      <c r="I276" s="9">
        <f t="shared" si="90"/>
        <v>7</v>
      </c>
      <c r="J276" s="9" t="str">
        <f t="shared" si="91"/>
        <v>Valid</v>
      </c>
      <c r="K276" t="s">
        <v>1420</v>
      </c>
      <c r="L276" t="s">
        <v>179</v>
      </c>
      <c r="M276" t="s">
        <v>179</v>
      </c>
      <c r="N276" t="s">
        <v>25</v>
      </c>
      <c r="O276" s="3" t="str">
        <f t="shared" si="92"/>
        <v>Consumer</v>
      </c>
      <c r="P276" t="s">
        <v>61</v>
      </c>
      <c r="Q276" s="3" t="str">
        <f t="shared" si="93"/>
        <v>South</v>
      </c>
      <c r="R276" t="s">
        <v>241</v>
      </c>
      <c r="S276" t="s">
        <v>242</v>
      </c>
      <c r="T276" t="s">
        <v>85</v>
      </c>
      <c r="U276" s="3" t="str">
        <f t="shared" si="94"/>
        <v>Technology</v>
      </c>
      <c r="V276" t="s">
        <v>93</v>
      </c>
      <c r="W276" t="s">
        <v>1421</v>
      </c>
      <c r="X276" t="s">
        <v>66</v>
      </c>
      <c r="Y276" s="3" t="str">
        <f t="shared" si="95"/>
        <v>Standard Class</v>
      </c>
      <c r="Z276">
        <v>6</v>
      </c>
      <c r="AA276">
        <v>4246.71</v>
      </c>
      <c r="AB276">
        <v>0.15</v>
      </c>
      <c r="AC276">
        <f t="shared" si="96"/>
        <v>0.15</v>
      </c>
      <c r="AD276" t="str">
        <f t="shared" si="99"/>
        <v>Valid</v>
      </c>
      <c r="AE276">
        <v>21658.22</v>
      </c>
      <c r="AF276">
        <v>15490.69</v>
      </c>
      <c r="AG276">
        <v>6167.53</v>
      </c>
      <c r="AH276" t="s">
        <v>199</v>
      </c>
      <c r="AI276" t="str">
        <f t="shared" si="100"/>
        <v>Exclude</v>
      </c>
      <c r="AJ276" t="str">
        <f t="shared" si="101"/>
        <v/>
      </c>
      <c r="AK276" t="s">
        <v>124</v>
      </c>
      <c r="AL276" t="str">
        <f t="shared" si="97"/>
        <v>Returned</v>
      </c>
      <c r="AM276" t="str">
        <f t="shared" si="102"/>
        <v>Include</v>
      </c>
      <c r="AN276">
        <f t="shared" si="103"/>
        <v>21658.221000000001</v>
      </c>
      <c r="AO276">
        <f t="shared" si="104"/>
        <v>6167.5310000000009</v>
      </c>
      <c r="AP276">
        <f>IF(AN276=0,0,AO276/AN276)</f>
        <v>0.28476627881856043</v>
      </c>
      <c r="AQ276" t="str">
        <f t="shared" si="105"/>
        <v>April</v>
      </c>
      <c r="AR276">
        <f t="shared" si="106"/>
        <v>2024</v>
      </c>
      <c r="AS276" t="str">
        <f t="shared" si="107"/>
        <v>Clean</v>
      </c>
      <c r="AT276" t="str">
        <f>IF(OR(AC276&lt;0,AC276&gt;0.5),"Invalid Discount","Valid")</f>
        <v>Valid</v>
      </c>
      <c r="AU276" t="str">
        <f>IF(G276&lt;E276,"Invalid Shipping Record","Valid")</f>
        <v>Valid</v>
      </c>
      <c r="AV276" t="str">
        <f>IF(OR(AL276="Cancelled",AH276="Failed"),"Exclude","Include")</f>
        <v>Exclude</v>
      </c>
      <c r="AW276" t="str">
        <f t="shared" si="108"/>
        <v>Match</v>
      </c>
      <c r="AX276" t="str">
        <f t="shared" si="109"/>
        <v>Match</v>
      </c>
    </row>
    <row r="277" spans="1:50">
      <c r="A277" t="s">
        <v>1422</v>
      </c>
      <c r="B277">
        <f t="shared" si="88"/>
        <v>1</v>
      </c>
      <c r="C277" t="str">
        <f t="shared" si="98"/>
        <v/>
      </c>
      <c r="D277" s="3" t="s">
        <v>676</v>
      </c>
      <c r="E277" s="7">
        <v>45337</v>
      </c>
      <c r="F277" s="3" t="s">
        <v>1423</v>
      </c>
      <c r="G277" s="7">
        <v>45344</v>
      </c>
      <c r="H277" s="7" t="str">
        <f t="shared" si="89"/>
        <v>Valid</v>
      </c>
      <c r="I277" s="9">
        <f t="shared" si="90"/>
        <v>7</v>
      </c>
      <c r="J277" s="9" t="str">
        <f t="shared" si="91"/>
        <v>Valid</v>
      </c>
      <c r="K277" t="s">
        <v>1424</v>
      </c>
      <c r="L277" t="s">
        <v>141</v>
      </c>
      <c r="M277" t="s">
        <v>141</v>
      </c>
      <c r="N277" t="s">
        <v>40</v>
      </c>
      <c r="O277" s="3" t="str">
        <f t="shared" si="92"/>
        <v>Small Business</v>
      </c>
      <c r="P277" t="s">
        <v>41</v>
      </c>
      <c r="Q277" s="3" t="str">
        <f t="shared" si="93"/>
        <v>East</v>
      </c>
      <c r="R277" t="s">
        <v>120</v>
      </c>
      <c r="S277" t="s">
        <v>121</v>
      </c>
      <c r="T277" t="s">
        <v>44</v>
      </c>
      <c r="U277" s="3" t="str">
        <f t="shared" si="94"/>
        <v>Furniture</v>
      </c>
      <c r="V277" t="s">
        <v>64</v>
      </c>
      <c r="W277" t="s">
        <v>1425</v>
      </c>
      <c r="X277" t="s">
        <v>47</v>
      </c>
      <c r="Y277" s="3" t="str">
        <f t="shared" si="95"/>
        <v>Same Day</v>
      </c>
      <c r="Z277">
        <v>1</v>
      </c>
      <c r="AA277">
        <v>980.51</v>
      </c>
      <c r="AB277">
        <v>0</v>
      </c>
      <c r="AC277">
        <f t="shared" si="96"/>
        <v>0</v>
      </c>
      <c r="AD277" t="str">
        <f t="shared" si="99"/>
        <v>Valid</v>
      </c>
      <c r="AE277">
        <v>980.51</v>
      </c>
      <c r="AF277">
        <v>660.92</v>
      </c>
      <c r="AG277">
        <v>319.58999999999997</v>
      </c>
      <c r="AH277" t="s">
        <v>33</v>
      </c>
      <c r="AI277" t="str">
        <f t="shared" si="100"/>
        <v>Include</v>
      </c>
      <c r="AJ277" t="str">
        <f t="shared" si="101"/>
        <v/>
      </c>
      <c r="AK277" t="s">
        <v>34</v>
      </c>
      <c r="AL277" t="str">
        <f t="shared" si="97"/>
        <v>Completed</v>
      </c>
      <c r="AM277" t="str">
        <f t="shared" si="102"/>
        <v>Include</v>
      </c>
      <c r="AN277">
        <f t="shared" si="103"/>
        <v>980.51</v>
      </c>
      <c r="AO277">
        <f t="shared" si="104"/>
        <v>319.59000000000003</v>
      </c>
      <c r="AP277">
        <f>IF(AN277=0,0,AO277/AN277)</f>
        <v>0.32594262169687205</v>
      </c>
      <c r="AQ277" t="str">
        <f t="shared" si="105"/>
        <v>February</v>
      </c>
      <c r="AR277">
        <f t="shared" si="106"/>
        <v>2024</v>
      </c>
      <c r="AS277" t="str">
        <f t="shared" si="107"/>
        <v>Clean</v>
      </c>
      <c r="AT277" t="str">
        <f>IF(OR(AC277&lt;0,AC277&gt;0.5),"Invalid Discount","Valid")</f>
        <v>Valid</v>
      </c>
      <c r="AU277" t="str">
        <f>IF(G277&lt;E277,"Invalid Shipping Record","Valid")</f>
        <v>Valid</v>
      </c>
      <c r="AV277" t="str">
        <f>IF(OR(AL277="Cancelled",AH277="Failed"),"Exclude","Include")</f>
        <v>Include</v>
      </c>
      <c r="AW277" t="str">
        <f t="shared" si="108"/>
        <v>Match</v>
      </c>
      <c r="AX277" t="str">
        <f t="shared" si="109"/>
        <v>Match</v>
      </c>
    </row>
    <row r="278" spans="1:50">
      <c r="A278" t="s">
        <v>1426</v>
      </c>
      <c r="B278">
        <f t="shared" si="88"/>
        <v>1</v>
      </c>
      <c r="C278" t="str">
        <f t="shared" si="98"/>
        <v/>
      </c>
      <c r="D278" s="3" t="s">
        <v>1057</v>
      </c>
      <c r="E278" s="7">
        <v>45313</v>
      </c>
      <c r="F278" s="3" t="s">
        <v>1427</v>
      </c>
      <c r="G278" s="7">
        <v>45314</v>
      </c>
      <c r="H278" s="7" t="str">
        <f t="shared" si="89"/>
        <v>Valid</v>
      </c>
      <c r="I278" s="9">
        <f t="shared" si="90"/>
        <v>1</v>
      </c>
      <c r="J278" s="9" t="str">
        <f t="shared" si="91"/>
        <v>Valid</v>
      </c>
      <c r="K278" t="s">
        <v>1428</v>
      </c>
      <c r="L278" t="s">
        <v>161</v>
      </c>
      <c r="M278" t="s">
        <v>161</v>
      </c>
      <c r="N278" t="s">
        <v>40</v>
      </c>
      <c r="O278" s="3" t="str">
        <f t="shared" si="92"/>
        <v>Small Business</v>
      </c>
      <c r="Q278" s="3" t="str">
        <f t="shared" si="93"/>
        <v>Unknown</v>
      </c>
      <c r="R278" t="s">
        <v>215</v>
      </c>
      <c r="S278" t="s">
        <v>216</v>
      </c>
      <c r="T278" t="s">
        <v>44</v>
      </c>
      <c r="U278" s="3" t="str">
        <f t="shared" si="94"/>
        <v>Furniture</v>
      </c>
      <c r="V278" t="s">
        <v>75</v>
      </c>
      <c r="W278" t="s">
        <v>1429</v>
      </c>
      <c r="X278" t="s">
        <v>32</v>
      </c>
      <c r="Y278" s="3" t="str">
        <f t="shared" si="95"/>
        <v>Second Class</v>
      </c>
      <c r="Z278">
        <v>6</v>
      </c>
      <c r="AA278">
        <v>3391.53</v>
      </c>
      <c r="AB278">
        <v>-0.14000000000000001</v>
      </c>
      <c r="AC278">
        <f t="shared" si="96"/>
        <v>-0.14000000000000001</v>
      </c>
      <c r="AD278" t="str">
        <f t="shared" si="99"/>
        <v>Invalid Discount</v>
      </c>
      <c r="AE278">
        <v>15261.89</v>
      </c>
      <c r="AF278">
        <v>8413.5300000000007</v>
      </c>
      <c r="AG278">
        <v>6848.36</v>
      </c>
      <c r="AH278" t="s">
        <v>33</v>
      </c>
      <c r="AI278" t="str">
        <f t="shared" si="100"/>
        <v>Include</v>
      </c>
      <c r="AJ278" t="str">
        <f t="shared" si="101"/>
        <v/>
      </c>
      <c r="AK278" t="s">
        <v>34</v>
      </c>
      <c r="AL278" t="str">
        <f t="shared" si="97"/>
        <v>Completed</v>
      </c>
      <c r="AM278" t="str">
        <f t="shared" si="102"/>
        <v>Include</v>
      </c>
      <c r="AN278">
        <f t="shared" si="103"/>
        <v>23198.065200000005</v>
      </c>
      <c r="AO278">
        <f t="shared" si="104"/>
        <v>14784.535200000004</v>
      </c>
      <c r="AP278">
        <f>IF(AN278=0,0,AO278/AN278)</f>
        <v>0.63731759836591895</v>
      </c>
      <c r="AQ278" t="str">
        <f t="shared" si="105"/>
        <v>January</v>
      </c>
      <c r="AR278">
        <f t="shared" si="106"/>
        <v>2024</v>
      </c>
      <c r="AS278" t="str">
        <f t="shared" si="107"/>
        <v>Invalid</v>
      </c>
      <c r="AT278" t="str">
        <f>IF(OR(AC278&lt;0,AC278&gt;0.5),"Invalid Discount","Valid")</f>
        <v>Invalid Discount</v>
      </c>
      <c r="AU278" t="str">
        <f>IF(G278&lt;E278,"Invalid Shipping Record","Valid")</f>
        <v>Valid</v>
      </c>
      <c r="AV278" t="str">
        <f>IF(OR(AL278="Cancelled",AH278="Failed"),"Exclude","Include")</f>
        <v>Include</v>
      </c>
      <c r="AW278" t="str">
        <f t="shared" si="108"/>
        <v>Mismatch</v>
      </c>
      <c r="AX278" t="str">
        <f t="shared" si="109"/>
        <v>Mismatch</v>
      </c>
    </row>
    <row r="279" spans="1:50">
      <c r="A279" t="s">
        <v>1430</v>
      </c>
      <c r="B279">
        <f t="shared" si="88"/>
        <v>1</v>
      </c>
      <c r="C279" t="str">
        <f t="shared" si="98"/>
        <v/>
      </c>
      <c r="D279" s="3" t="s">
        <v>1431</v>
      </c>
      <c r="E279" s="7">
        <v>45812</v>
      </c>
      <c r="F279" s="3" t="s">
        <v>1431</v>
      </c>
      <c r="G279" s="7">
        <v>45812</v>
      </c>
      <c r="H279" s="7" t="str">
        <f t="shared" si="89"/>
        <v>Valid</v>
      </c>
      <c r="I279" s="9">
        <f t="shared" si="90"/>
        <v>0</v>
      </c>
      <c r="J279" s="9" t="str">
        <f t="shared" si="91"/>
        <v>Valid</v>
      </c>
      <c r="K279" t="s">
        <v>1205</v>
      </c>
      <c r="L279" t="s">
        <v>52</v>
      </c>
      <c r="M279" t="s">
        <v>52</v>
      </c>
      <c r="N279" t="s">
        <v>107</v>
      </c>
      <c r="O279" s="3" t="str">
        <f t="shared" si="92"/>
        <v>Corporate</v>
      </c>
      <c r="P279" t="s">
        <v>26</v>
      </c>
      <c r="Q279" s="3" t="str">
        <f t="shared" si="93"/>
        <v>North</v>
      </c>
      <c r="R279" t="s">
        <v>322</v>
      </c>
      <c r="S279" t="s">
        <v>323</v>
      </c>
      <c r="T279" t="s">
        <v>85</v>
      </c>
      <c r="U279" s="3" t="str">
        <f t="shared" si="94"/>
        <v>Technology</v>
      </c>
      <c r="V279" t="s">
        <v>86</v>
      </c>
      <c r="W279" t="s">
        <v>1432</v>
      </c>
      <c r="X279" t="s">
        <v>32</v>
      </c>
      <c r="Y279" s="3" t="str">
        <f t="shared" si="95"/>
        <v>Second Class</v>
      </c>
      <c r="Z279">
        <v>1</v>
      </c>
      <c r="AA279">
        <v>2133.73</v>
      </c>
      <c r="AB279">
        <v>0.15</v>
      </c>
      <c r="AC279">
        <f t="shared" si="96"/>
        <v>0.15</v>
      </c>
      <c r="AD279" t="str">
        <f t="shared" si="99"/>
        <v>Valid</v>
      </c>
      <c r="AE279">
        <v>2008.39</v>
      </c>
      <c r="AF279">
        <v>1002.57</v>
      </c>
      <c r="AG279">
        <v>811.1</v>
      </c>
      <c r="AH279" t="s">
        <v>136</v>
      </c>
      <c r="AI279" t="str">
        <f t="shared" si="100"/>
        <v>Exclude</v>
      </c>
      <c r="AJ279" t="str">
        <f t="shared" si="101"/>
        <v/>
      </c>
      <c r="AK279" t="s">
        <v>77</v>
      </c>
      <c r="AL279" t="str">
        <f t="shared" si="97"/>
        <v>Cancelled</v>
      </c>
      <c r="AM279" t="str">
        <f t="shared" si="102"/>
        <v>Exclude</v>
      </c>
      <c r="AN279">
        <f t="shared" si="103"/>
        <v>1813.6704999999999</v>
      </c>
      <c r="AO279">
        <f t="shared" si="104"/>
        <v>811.1004999999999</v>
      </c>
      <c r="AP279">
        <f>IF(AN279=0,0,AO279/AN279)</f>
        <v>0.4472149158295291</v>
      </c>
      <c r="AQ279" t="str">
        <f t="shared" si="105"/>
        <v>June</v>
      </c>
      <c r="AR279">
        <f t="shared" si="106"/>
        <v>2025</v>
      </c>
      <c r="AS279" t="str">
        <f t="shared" si="107"/>
        <v>Clean</v>
      </c>
      <c r="AT279" t="str">
        <f>IF(OR(AC279&lt;0,AC279&gt;0.5),"Invalid Discount","Valid")</f>
        <v>Valid</v>
      </c>
      <c r="AU279" t="str">
        <f>IF(G279&lt;E279,"Invalid Shipping Record","Valid")</f>
        <v>Valid</v>
      </c>
      <c r="AV279" t="str">
        <f>IF(OR(AL279="Cancelled",AH279="Failed"),"Exclude","Include")</f>
        <v>Exclude</v>
      </c>
      <c r="AW279" t="str">
        <f t="shared" si="108"/>
        <v>Mismatch</v>
      </c>
      <c r="AX279" t="str">
        <f t="shared" si="109"/>
        <v>Match</v>
      </c>
    </row>
    <row r="280" spans="1:50">
      <c r="A280" t="s">
        <v>1433</v>
      </c>
      <c r="B280">
        <f t="shared" si="88"/>
        <v>1</v>
      </c>
      <c r="C280" t="str">
        <f t="shared" si="98"/>
        <v/>
      </c>
      <c r="D280" s="3" t="s">
        <v>786</v>
      </c>
      <c r="E280" s="7">
        <v>45723</v>
      </c>
      <c r="F280" s="3" t="s">
        <v>1434</v>
      </c>
      <c r="G280" s="7">
        <v>45730</v>
      </c>
      <c r="H280" s="7" t="str">
        <f t="shared" si="89"/>
        <v>Valid</v>
      </c>
      <c r="I280" s="9">
        <f t="shared" si="90"/>
        <v>7</v>
      </c>
      <c r="J280" s="9" t="str">
        <f t="shared" si="91"/>
        <v>Valid</v>
      </c>
      <c r="K280" t="s">
        <v>1435</v>
      </c>
      <c r="L280" t="s">
        <v>141</v>
      </c>
      <c r="M280" t="s">
        <v>141</v>
      </c>
      <c r="N280" t="s">
        <v>40</v>
      </c>
      <c r="O280" s="3" t="str">
        <f t="shared" si="92"/>
        <v>Small Business</v>
      </c>
      <c r="P280" t="s">
        <v>26</v>
      </c>
      <c r="Q280" s="3" t="str">
        <f t="shared" si="93"/>
        <v>North</v>
      </c>
      <c r="R280" t="s">
        <v>505</v>
      </c>
      <c r="S280" t="s">
        <v>506</v>
      </c>
      <c r="T280" t="s">
        <v>85</v>
      </c>
      <c r="U280" s="3" t="str">
        <f t="shared" si="94"/>
        <v>Technology</v>
      </c>
      <c r="V280" t="s">
        <v>86</v>
      </c>
      <c r="W280" t="s">
        <v>1436</v>
      </c>
      <c r="X280" t="s">
        <v>47</v>
      </c>
      <c r="Y280" s="3" t="str">
        <f t="shared" si="95"/>
        <v>Same Day</v>
      </c>
      <c r="Z280">
        <v>1</v>
      </c>
      <c r="AA280">
        <v>3979.64</v>
      </c>
      <c r="AB280">
        <v>0.05</v>
      </c>
      <c r="AC280">
        <f t="shared" si="96"/>
        <v>0.05</v>
      </c>
      <c r="AD280" t="str">
        <f t="shared" si="99"/>
        <v>Valid</v>
      </c>
      <c r="AE280">
        <v>3780.66</v>
      </c>
      <c r="AF280">
        <v>2148.31</v>
      </c>
      <c r="AG280">
        <v>1632.35</v>
      </c>
      <c r="AH280" t="s">
        <v>33</v>
      </c>
      <c r="AI280" t="str">
        <f t="shared" si="100"/>
        <v>Include</v>
      </c>
      <c r="AJ280" t="str">
        <f t="shared" si="101"/>
        <v/>
      </c>
      <c r="AK280" t="s">
        <v>124</v>
      </c>
      <c r="AL280" t="str">
        <f t="shared" si="97"/>
        <v>Returned</v>
      </c>
      <c r="AM280" t="str">
        <f t="shared" si="102"/>
        <v>Include</v>
      </c>
      <c r="AN280">
        <f t="shared" si="103"/>
        <v>3780.6579999999999</v>
      </c>
      <c r="AO280">
        <f t="shared" si="104"/>
        <v>1632.348</v>
      </c>
      <c r="AP280">
        <f>IF(AN280=0,0,AO280/AN280)</f>
        <v>0.43176293650470365</v>
      </c>
      <c r="AQ280" t="str">
        <f t="shared" si="105"/>
        <v>March</v>
      </c>
      <c r="AR280">
        <f t="shared" si="106"/>
        <v>2025</v>
      </c>
      <c r="AS280" t="str">
        <f t="shared" si="107"/>
        <v>Clean</v>
      </c>
      <c r="AT280" t="str">
        <f>IF(OR(AC280&lt;0,AC280&gt;0.5),"Invalid Discount","Valid")</f>
        <v>Valid</v>
      </c>
      <c r="AU280" t="str">
        <f>IF(G280&lt;E280,"Invalid Shipping Record","Valid")</f>
        <v>Valid</v>
      </c>
      <c r="AV280" t="str">
        <f>IF(OR(AL280="Cancelled",AH280="Failed"),"Exclude","Include")</f>
        <v>Include</v>
      </c>
      <c r="AW280" t="str">
        <f t="shared" si="108"/>
        <v>Match</v>
      </c>
      <c r="AX280" t="str">
        <f t="shared" si="109"/>
        <v>Match</v>
      </c>
    </row>
    <row r="281" spans="1:50">
      <c r="A281" t="s">
        <v>1437</v>
      </c>
      <c r="B281">
        <f t="shared" si="88"/>
        <v>1</v>
      </c>
      <c r="C281" t="str">
        <f t="shared" si="98"/>
        <v/>
      </c>
      <c r="D281" s="3" t="s">
        <v>1438</v>
      </c>
      <c r="E281" s="7">
        <v>45391</v>
      </c>
      <c r="F281" s="3" t="s">
        <v>1439</v>
      </c>
      <c r="G281" s="7">
        <v>45392</v>
      </c>
      <c r="H281" s="7" t="str">
        <f t="shared" si="89"/>
        <v>Valid</v>
      </c>
      <c r="I281" s="9">
        <f t="shared" si="90"/>
        <v>1</v>
      </c>
      <c r="J281" s="9" t="str">
        <f t="shared" si="91"/>
        <v>Valid</v>
      </c>
      <c r="K281" t="s">
        <v>1440</v>
      </c>
      <c r="L281" t="s">
        <v>179</v>
      </c>
      <c r="M281" t="s">
        <v>179</v>
      </c>
      <c r="N281" t="s">
        <v>40</v>
      </c>
      <c r="O281" s="3" t="str">
        <f t="shared" si="92"/>
        <v>Small Business</v>
      </c>
      <c r="P281" t="s">
        <v>72</v>
      </c>
      <c r="Q281" s="3" t="str">
        <f t="shared" si="93"/>
        <v>West</v>
      </c>
      <c r="R281" t="s">
        <v>73</v>
      </c>
      <c r="S281" t="s">
        <v>74</v>
      </c>
      <c r="T281" t="s">
        <v>29</v>
      </c>
      <c r="U281" s="3" t="str">
        <f t="shared" si="94"/>
        <v>Office Supplies</v>
      </c>
      <c r="V281" t="s">
        <v>155</v>
      </c>
      <c r="W281" t="s">
        <v>1441</v>
      </c>
      <c r="X281" t="s">
        <v>55</v>
      </c>
      <c r="Y281" s="3" t="str">
        <f t="shared" si="95"/>
        <v>First Class</v>
      </c>
      <c r="Z281">
        <v>1</v>
      </c>
      <c r="AA281">
        <v>4359.12</v>
      </c>
      <c r="AB281">
        <v>0.05</v>
      </c>
      <c r="AC281">
        <f t="shared" si="96"/>
        <v>0.05</v>
      </c>
      <c r="AD281" t="str">
        <f t="shared" si="99"/>
        <v>Valid</v>
      </c>
      <c r="AE281">
        <v>4141.16</v>
      </c>
      <c r="AF281">
        <v>2754.17</v>
      </c>
      <c r="AG281">
        <v>1386.99</v>
      </c>
      <c r="AH281" t="s">
        <v>33</v>
      </c>
      <c r="AI281" t="str">
        <f t="shared" si="100"/>
        <v>Include</v>
      </c>
      <c r="AJ281" t="str">
        <f t="shared" si="101"/>
        <v/>
      </c>
      <c r="AK281" t="s">
        <v>34</v>
      </c>
      <c r="AL281" t="str">
        <f t="shared" si="97"/>
        <v>Completed</v>
      </c>
      <c r="AM281" t="str">
        <f t="shared" si="102"/>
        <v>Include</v>
      </c>
      <c r="AN281">
        <f t="shared" si="103"/>
        <v>4141.1639999999998</v>
      </c>
      <c r="AO281">
        <f t="shared" si="104"/>
        <v>1386.9939999999997</v>
      </c>
      <c r="AP281">
        <f>IF(AN281=0,0,AO281/AN281)</f>
        <v>0.33492853700070796</v>
      </c>
      <c r="AQ281" t="str">
        <f t="shared" si="105"/>
        <v>April</v>
      </c>
      <c r="AR281">
        <f t="shared" si="106"/>
        <v>2024</v>
      </c>
      <c r="AS281" t="str">
        <f t="shared" si="107"/>
        <v>Clean</v>
      </c>
      <c r="AT281" t="str">
        <f>IF(OR(AC281&lt;0,AC281&gt;0.5),"Invalid Discount","Valid")</f>
        <v>Valid</v>
      </c>
      <c r="AU281" t="str">
        <f>IF(G281&lt;E281,"Invalid Shipping Record","Valid")</f>
        <v>Valid</v>
      </c>
      <c r="AV281" t="str">
        <f>IF(OR(AL281="Cancelled",AH281="Failed"),"Exclude","Include")</f>
        <v>Include</v>
      </c>
      <c r="AW281" t="str">
        <f t="shared" si="108"/>
        <v>Match</v>
      </c>
      <c r="AX281" t="str">
        <f t="shared" si="109"/>
        <v>Match</v>
      </c>
    </row>
    <row r="282" spans="1:50">
      <c r="A282" t="s">
        <v>1442</v>
      </c>
      <c r="B282">
        <f t="shared" si="88"/>
        <v>1</v>
      </c>
      <c r="C282" t="str">
        <f t="shared" si="98"/>
        <v/>
      </c>
      <c r="D282" s="3" t="s">
        <v>1443</v>
      </c>
      <c r="E282" s="7">
        <v>45649</v>
      </c>
      <c r="F282" s="3" t="s">
        <v>1444</v>
      </c>
      <c r="G282" s="7">
        <v>45652</v>
      </c>
      <c r="H282" s="7" t="str">
        <f t="shared" si="89"/>
        <v>Valid</v>
      </c>
      <c r="I282" s="9">
        <f t="shared" si="90"/>
        <v>3</v>
      </c>
      <c r="J282" s="9" t="str">
        <f t="shared" si="91"/>
        <v>Valid</v>
      </c>
      <c r="K282" t="s">
        <v>1445</v>
      </c>
      <c r="L282" t="s">
        <v>106</v>
      </c>
      <c r="M282" t="s">
        <v>106</v>
      </c>
      <c r="N282" t="s">
        <v>25</v>
      </c>
      <c r="O282" s="3" t="str">
        <f t="shared" si="92"/>
        <v>Consumer</v>
      </c>
      <c r="P282" t="s">
        <v>61</v>
      </c>
      <c r="Q282" s="3" t="str">
        <f t="shared" si="93"/>
        <v>South</v>
      </c>
      <c r="R282" t="s">
        <v>228</v>
      </c>
      <c r="S282" t="s">
        <v>229</v>
      </c>
      <c r="T282" t="s">
        <v>85</v>
      </c>
      <c r="U282" s="3" t="str">
        <f t="shared" si="94"/>
        <v>Technology</v>
      </c>
      <c r="V282" t="s">
        <v>93</v>
      </c>
      <c r="W282" t="s">
        <v>1446</v>
      </c>
      <c r="X282" t="s">
        <v>66</v>
      </c>
      <c r="Y282" s="3" t="str">
        <f t="shared" si="95"/>
        <v>Standard Class</v>
      </c>
      <c r="Z282">
        <v>9</v>
      </c>
      <c r="AA282">
        <v>993.67</v>
      </c>
      <c r="AB282">
        <v>0</v>
      </c>
      <c r="AC282">
        <f t="shared" si="96"/>
        <v>0</v>
      </c>
      <c r="AD282" t="str">
        <f t="shared" si="99"/>
        <v>Valid</v>
      </c>
      <c r="AE282">
        <v>8943.0300000000007</v>
      </c>
      <c r="AF282">
        <v>5165.38</v>
      </c>
      <c r="AG282">
        <v>3777.65</v>
      </c>
      <c r="AH282" t="s">
        <v>33</v>
      </c>
      <c r="AI282" t="str">
        <f t="shared" si="100"/>
        <v>Include</v>
      </c>
      <c r="AJ282" t="str">
        <f t="shared" si="101"/>
        <v/>
      </c>
      <c r="AK282" t="s">
        <v>34</v>
      </c>
      <c r="AL282" t="str">
        <f t="shared" si="97"/>
        <v>Completed</v>
      </c>
      <c r="AM282" t="str">
        <f t="shared" si="102"/>
        <v>Include</v>
      </c>
      <c r="AN282">
        <f t="shared" si="103"/>
        <v>8943.0299999999988</v>
      </c>
      <c r="AO282">
        <f t="shared" si="104"/>
        <v>3777.6499999999987</v>
      </c>
      <c r="AP282">
        <f>IF(AN282=0,0,AO282/AN282)</f>
        <v>0.42241276167026154</v>
      </c>
      <c r="AQ282" t="str">
        <f t="shared" si="105"/>
        <v>December</v>
      </c>
      <c r="AR282">
        <f t="shared" si="106"/>
        <v>2024</v>
      </c>
      <c r="AS282" t="str">
        <f t="shared" si="107"/>
        <v>Clean</v>
      </c>
      <c r="AT282" t="str">
        <f>IF(OR(AC282&lt;0,AC282&gt;0.5),"Invalid Discount","Valid")</f>
        <v>Valid</v>
      </c>
      <c r="AU282" t="str">
        <f>IF(G282&lt;E282,"Invalid Shipping Record","Valid")</f>
        <v>Valid</v>
      </c>
      <c r="AV282" t="str">
        <f>IF(OR(AL282="Cancelled",AH282="Failed"),"Exclude","Include")</f>
        <v>Include</v>
      </c>
      <c r="AW282" t="str">
        <f t="shared" si="108"/>
        <v>Match</v>
      </c>
      <c r="AX282" t="str">
        <f t="shared" si="109"/>
        <v>Match</v>
      </c>
    </row>
    <row r="283" spans="1:50">
      <c r="A283" t="s">
        <v>1447</v>
      </c>
      <c r="B283">
        <f t="shared" si="88"/>
        <v>1</v>
      </c>
      <c r="C283" t="str">
        <f t="shared" si="98"/>
        <v/>
      </c>
      <c r="D283" s="3" t="s">
        <v>1448</v>
      </c>
      <c r="E283" s="7">
        <v>45863</v>
      </c>
      <c r="F283" s="3" t="s">
        <v>1449</v>
      </c>
      <c r="G283" s="7">
        <v>45865</v>
      </c>
      <c r="H283" s="7" t="str">
        <f t="shared" si="89"/>
        <v>Valid</v>
      </c>
      <c r="I283" s="9">
        <f t="shared" si="90"/>
        <v>2</v>
      </c>
      <c r="J283" s="9" t="str">
        <f t="shared" si="91"/>
        <v>Valid</v>
      </c>
      <c r="K283" t="s">
        <v>1450</v>
      </c>
      <c r="L283" t="s">
        <v>365</v>
      </c>
      <c r="M283" t="s">
        <v>365</v>
      </c>
      <c r="N283" t="s">
        <v>25</v>
      </c>
      <c r="O283" s="3" t="str">
        <f t="shared" si="92"/>
        <v>Consumer</v>
      </c>
      <c r="P283" t="s">
        <v>41</v>
      </c>
      <c r="Q283" s="3" t="str">
        <f t="shared" si="93"/>
        <v>East</v>
      </c>
      <c r="R283" t="s">
        <v>310</v>
      </c>
      <c r="S283" t="s">
        <v>311</v>
      </c>
      <c r="T283" t="s">
        <v>29</v>
      </c>
      <c r="U283" s="3" t="str">
        <f t="shared" si="94"/>
        <v>Office Supplies</v>
      </c>
      <c r="V283" t="s">
        <v>197</v>
      </c>
      <c r="W283" t="s">
        <v>1451</v>
      </c>
      <c r="X283" t="s">
        <v>32</v>
      </c>
      <c r="Y283" s="3" t="str">
        <f t="shared" si="95"/>
        <v>Second Class</v>
      </c>
      <c r="Z283">
        <v>6</v>
      </c>
      <c r="AA283">
        <v>3438.38</v>
      </c>
      <c r="AB283">
        <v>0.2</v>
      </c>
      <c r="AC283">
        <f t="shared" si="96"/>
        <v>0.2</v>
      </c>
      <c r="AD283" t="str">
        <f t="shared" si="99"/>
        <v>Valid</v>
      </c>
      <c r="AE283">
        <v>16504.22</v>
      </c>
      <c r="AF283">
        <v>11262.71</v>
      </c>
      <c r="AG283">
        <v>5241.51</v>
      </c>
      <c r="AH283" t="s">
        <v>33</v>
      </c>
      <c r="AI283" t="str">
        <f t="shared" si="100"/>
        <v>Include</v>
      </c>
      <c r="AJ283" t="str">
        <f t="shared" si="101"/>
        <v/>
      </c>
      <c r="AK283" t="s">
        <v>34</v>
      </c>
      <c r="AL283" t="str">
        <f t="shared" si="97"/>
        <v>Completed</v>
      </c>
      <c r="AM283" t="str">
        <f t="shared" si="102"/>
        <v>Include</v>
      </c>
      <c r="AN283">
        <f t="shared" si="103"/>
        <v>16504.223999999998</v>
      </c>
      <c r="AO283">
        <f t="shared" si="104"/>
        <v>5241.5139999999992</v>
      </c>
      <c r="AP283">
        <f>IF(AN283=0,0,AO283/AN283)</f>
        <v>0.31758621308096641</v>
      </c>
      <c r="AQ283" t="str">
        <f t="shared" si="105"/>
        <v>July</v>
      </c>
      <c r="AR283">
        <f t="shared" si="106"/>
        <v>2025</v>
      </c>
      <c r="AS283" t="str">
        <f t="shared" si="107"/>
        <v>Clean</v>
      </c>
      <c r="AT283" t="str">
        <f>IF(OR(AC283&lt;0,AC283&gt;0.5),"Invalid Discount","Valid")</f>
        <v>Valid</v>
      </c>
      <c r="AU283" t="str">
        <f>IF(G283&lt;E283,"Invalid Shipping Record","Valid")</f>
        <v>Valid</v>
      </c>
      <c r="AV283" t="str">
        <f>IF(OR(AL283="Cancelled",AH283="Failed"),"Exclude","Include")</f>
        <v>Include</v>
      </c>
      <c r="AW283" t="str">
        <f t="shared" si="108"/>
        <v>Match</v>
      </c>
      <c r="AX283" t="str">
        <f t="shared" si="109"/>
        <v>Match</v>
      </c>
    </row>
    <row r="284" spans="1:50">
      <c r="A284" t="s">
        <v>1452</v>
      </c>
      <c r="B284">
        <f t="shared" ref="B284:B347" si="110">COUNTIF($A:$A,A284)</f>
        <v>1</v>
      </c>
      <c r="C284" t="str">
        <f t="shared" si="98"/>
        <v/>
      </c>
      <c r="D284" s="3" t="s">
        <v>1453</v>
      </c>
      <c r="E284" s="7">
        <v>45566</v>
      </c>
      <c r="F284" s="3" t="s">
        <v>1454</v>
      </c>
      <c r="G284" s="7">
        <v>45567</v>
      </c>
      <c r="H284" s="7" t="str">
        <f t="shared" si="89"/>
        <v>Valid</v>
      </c>
      <c r="I284" s="9">
        <f t="shared" si="90"/>
        <v>1</v>
      </c>
      <c r="J284" s="9" t="str">
        <f t="shared" si="91"/>
        <v>Valid</v>
      </c>
      <c r="K284" t="s">
        <v>1455</v>
      </c>
      <c r="L284" t="s">
        <v>24</v>
      </c>
      <c r="M284" t="s">
        <v>24</v>
      </c>
      <c r="N284" t="s">
        <v>114</v>
      </c>
      <c r="O284" s="3" t="str">
        <f t="shared" si="92"/>
        <v>Home Office</v>
      </c>
      <c r="P284" t="s">
        <v>41</v>
      </c>
      <c r="Q284" s="3" t="str">
        <f t="shared" si="93"/>
        <v>East</v>
      </c>
      <c r="R284" t="s">
        <v>215</v>
      </c>
      <c r="S284" t="s">
        <v>216</v>
      </c>
      <c r="T284" t="s">
        <v>44</v>
      </c>
      <c r="U284" s="3" t="str">
        <f t="shared" si="94"/>
        <v>Furniture</v>
      </c>
      <c r="V284" t="s">
        <v>45</v>
      </c>
      <c r="W284" t="s">
        <v>1456</v>
      </c>
      <c r="X284" t="s">
        <v>32</v>
      </c>
      <c r="Y284" s="3" t="str">
        <f t="shared" si="95"/>
        <v>Second Class</v>
      </c>
      <c r="Z284">
        <v>2</v>
      </c>
      <c r="AA284">
        <v>2298</v>
      </c>
      <c r="AB284">
        <v>0</v>
      </c>
      <c r="AC284">
        <f t="shared" si="96"/>
        <v>0</v>
      </c>
      <c r="AD284" t="str">
        <f t="shared" si="99"/>
        <v>Valid</v>
      </c>
      <c r="AE284">
        <v>4596</v>
      </c>
      <c r="AF284">
        <v>3220.33</v>
      </c>
      <c r="AG284">
        <v>1375.67</v>
      </c>
      <c r="AH284" t="s">
        <v>33</v>
      </c>
      <c r="AI284" t="str">
        <f t="shared" si="100"/>
        <v>Include</v>
      </c>
      <c r="AJ284" t="str">
        <f t="shared" si="101"/>
        <v/>
      </c>
      <c r="AK284" t="s">
        <v>34</v>
      </c>
      <c r="AL284" t="str">
        <f t="shared" si="97"/>
        <v>Completed</v>
      </c>
      <c r="AM284" t="str">
        <f t="shared" si="102"/>
        <v>Include</v>
      </c>
      <c r="AN284">
        <f t="shared" si="103"/>
        <v>4596</v>
      </c>
      <c r="AO284">
        <f t="shared" si="104"/>
        <v>1375.67</v>
      </c>
      <c r="AP284">
        <f>IF(AN284=0,0,AO284/AN284)</f>
        <v>0.29931897302001742</v>
      </c>
      <c r="AQ284" t="str">
        <f t="shared" si="105"/>
        <v>October</v>
      </c>
      <c r="AR284">
        <f t="shared" si="106"/>
        <v>2024</v>
      </c>
      <c r="AS284" t="str">
        <f t="shared" si="107"/>
        <v>Clean</v>
      </c>
      <c r="AT284" t="str">
        <f>IF(OR(AC284&lt;0,AC284&gt;0.5),"Invalid Discount","Valid")</f>
        <v>Valid</v>
      </c>
      <c r="AU284" t="str">
        <f>IF(G284&lt;E284,"Invalid Shipping Record","Valid")</f>
        <v>Valid</v>
      </c>
      <c r="AV284" t="str">
        <f>IF(OR(AL284="Cancelled",AH284="Failed"),"Exclude","Include")</f>
        <v>Include</v>
      </c>
      <c r="AW284" t="str">
        <f t="shared" si="108"/>
        <v>Match</v>
      </c>
      <c r="AX284" t="str">
        <f t="shared" si="109"/>
        <v>Match</v>
      </c>
    </row>
    <row r="285" spans="1:50">
      <c r="A285" t="s">
        <v>1457</v>
      </c>
      <c r="B285">
        <f t="shared" si="110"/>
        <v>1</v>
      </c>
      <c r="C285" t="str">
        <f t="shared" si="98"/>
        <v/>
      </c>
      <c r="D285" s="3" t="s">
        <v>1458</v>
      </c>
      <c r="E285" s="7">
        <v>45729</v>
      </c>
      <c r="F285" s="3" t="s">
        <v>1459</v>
      </c>
      <c r="G285" s="7">
        <v>45736</v>
      </c>
      <c r="H285" s="7" t="str">
        <f t="shared" si="89"/>
        <v>Valid</v>
      </c>
      <c r="I285" s="9">
        <f t="shared" si="90"/>
        <v>7</v>
      </c>
      <c r="J285" s="9" t="str">
        <f t="shared" si="91"/>
        <v>Valid</v>
      </c>
      <c r="K285" t="s">
        <v>1460</v>
      </c>
      <c r="L285" t="s">
        <v>82</v>
      </c>
      <c r="M285" t="s">
        <v>82</v>
      </c>
      <c r="N285" t="s">
        <v>25</v>
      </c>
      <c r="O285" s="3" t="str">
        <f t="shared" si="92"/>
        <v>Consumer</v>
      </c>
      <c r="P285" t="s">
        <v>72</v>
      </c>
      <c r="Q285" s="3" t="str">
        <f t="shared" si="93"/>
        <v>West</v>
      </c>
      <c r="R285" t="s">
        <v>73</v>
      </c>
      <c r="S285" t="s">
        <v>74</v>
      </c>
      <c r="T285" t="s">
        <v>44</v>
      </c>
      <c r="U285" s="3" t="str">
        <f t="shared" si="94"/>
        <v>Furniture</v>
      </c>
      <c r="V285" t="s">
        <v>64</v>
      </c>
      <c r="W285" t="s">
        <v>1461</v>
      </c>
      <c r="X285" t="s">
        <v>55</v>
      </c>
      <c r="Y285" s="3" t="str">
        <f t="shared" si="95"/>
        <v>First Class</v>
      </c>
      <c r="Z285">
        <v>1</v>
      </c>
      <c r="AA285">
        <v>1814.01</v>
      </c>
      <c r="AB285">
        <v>0</v>
      </c>
      <c r="AC285">
        <f t="shared" si="96"/>
        <v>0</v>
      </c>
      <c r="AD285" t="str">
        <f t="shared" si="99"/>
        <v>Valid</v>
      </c>
      <c r="AE285">
        <v>1814.01</v>
      </c>
      <c r="AF285">
        <v>1033.47</v>
      </c>
      <c r="AG285">
        <v>780.54</v>
      </c>
      <c r="AH285" t="s">
        <v>33</v>
      </c>
      <c r="AI285" t="str">
        <f t="shared" si="100"/>
        <v>Include</v>
      </c>
      <c r="AJ285" t="str">
        <f t="shared" si="101"/>
        <v/>
      </c>
      <c r="AK285" t="s">
        <v>34</v>
      </c>
      <c r="AL285" t="str">
        <f t="shared" si="97"/>
        <v>Completed</v>
      </c>
      <c r="AM285" t="str">
        <f t="shared" si="102"/>
        <v>Include</v>
      </c>
      <c r="AN285">
        <f t="shared" si="103"/>
        <v>1814.01</v>
      </c>
      <c r="AO285">
        <f t="shared" si="104"/>
        <v>780.54</v>
      </c>
      <c r="AP285">
        <f>IF(AN285=0,0,AO285/AN285)</f>
        <v>0.43028428729720342</v>
      </c>
      <c r="AQ285" t="str">
        <f t="shared" si="105"/>
        <v>March</v>
      </c>
      <c r="AR285">
        <f t="shared" si="106"/>
        <v>2025</v>
      </c>
      <c r="AS285" t="str">
        <f t="shared" si="107"/>
        <v>Clean</v>
      </c>
      <c r="AT285" t="str">
        <f>IF(OR(AC285&lt;0,AC285&gt;0.5),"Invalid Discount","Valid")</f>
        <v>Valid</v>
      </c>
      <c r="AU285" t="str">
        <f>IF(G285&lt;E285,"Invalid Shipping Record","Valid")</f>
        <v>Valid</v>
      </c>
      <c r="AV285" t="str">
        <f>IF(OR(AL285="Cancelled",AH285="Failed"),"Exclude","Include")</f>
        <v>Include</v>
      </c>
      <c r="AW285" t="str">
        <f t="shared" si="108"/>
        <v>Match</v>
      </c>
      <c r="AX285" t="str">
        <f t="shared" si="109"/>
        <v>Match</v>
      </c>
    </row>
    <row r="286" spans="1:50">
      <c r="A286" t="s">
        <v>1462</v>
      </c>
      <c r="B286">
        <f t="shared" si="110"/>
        <v>1</v>
      </c>
      <c r="C286" t="str">
        <f t="shared" si="98"/>
        <v/>
      </c>
      <c r="D286" s="3" t="s">
        <v>1463</v>
      </c>
      <c r="E286" s="7">
        <v>45634</v>
      </c>
      <c r="F286" s="3" t="s">
        <v>1464</v>
      </c>
      <c r="G286" s="7">
        <v>45640</v>
      </c>
      <c r="H286" s="7" t="str">
        <f t="shared" si="89"/>
        <v>Valid</v>
      </c>
      <c r="I286" s="9">
        <f t="shared" si="90"/>
        <v>6</v>
      </c>
      <c r="J286" s="9" t="str">
        <f t="shared" si="91"/>
        <v>Valid</v>
      </c>
      <c r="K286" t="s">
        <v>1465</v>
      </c>
      <c r="L286" t="s">
        <v>24</v>
      </c>
      <c r="M286" t="s">
        <v>24</v>
      </c>
      <c r="N286" t="s">
        <v>25</v>
      </c>
      <c r="O286" s="3" t="str">
        <f t="shared" si="92"/>
        <v>Consumer</v>
      </c>
      <c r="P286" t="s">
        <v>41</v>
      </c>
      <c r="Q286" s="3" t="str">
        <f t="shared" si="93"/>
        <v>East</v>
      </c>
      <c r="R286" t="s">
        <v>42</v>
      </c>
      <c r="S286" t="s">
        <v>43</v>
      </c>
      <c r="T286" t="s">
        <v>44</v>
      </c>
      <c r="U286" s="3" t="str">
        <f t="shared" si="94"/>
        <v>Furniture</v>
      </c>
      <c r="V286" t="s">
        <v>45</v>
      </c>
      <c r="W286" t="s">
        <v>1466</v>
      </c>
      <c r="X286" t="s">
        <v>47</v>
      </c>
      <c r="Y286" s="3" t="str">
        <f t="shared" si="95"/>
        <v>Same Day</v>
      </c>
      <c r="Z286">
        <v>3</v>
      </c>
      <c r="AA286">
        <v>1576.92</v>
      </c>
      <c r="AB286">
        <v>0</v>
      </c>
      <c r="AC286">
        <f t="shared" si="96"/>
        <v>0</v>
      </c>
      <c r="AD286" t="str">
        <f t="shared" si="99"/>
        <v>Valid</v>
      </c>
      <c r="AE286">
        <v>4730.76</v>
      </c>
      <c r="AF286">
        <v>3139.73</v>
      </c>
      <c r="AG286">
        <v>1591.03</v>
      </c>
      <c r="AH286" t="s">
        <v>33</v>
      </c>
      <c r="AI286" t="str">
        <f t="shared" si="100"/>
        <v>Include</v>
      </c>
      <c r="AJ286" t="str">
        <f t="shared" si="101"/>
        <v/>
      </c>
      <c r="AK286" t="s">
        <v>124</v>
      </c>
      <c r="AL286" t="str">
        <f t="shared" si="97"/>
        <v>Returned</v>
      </c>
      <c r="AM286" t="str">
        <f t="shared" si="102"/>
        <v>Include</v>
      </c>
      <c r="AN286">
        <f t="shared" si="103"/>
        <v>4730.76</v>
      </c>
      <c r="AO286">
        <f t="shared" si="104"/>
        <v>1591.0300000000002</v>
      </c>
      <c r="AP286">
        <f>IF(AN286=0,0,AO286/AN286)</f>
        <v>0.33631594077907145</v>
      </c>
      <c r="AQ286" t="str">
        <f t="shared" si="105"/>
        <v>December</v>
      </c>
      <c r="AR286">
        <f t="shared" si="106"/>
        <v>2024</v>
      </c>
      <c r="AS286" t="str">
        <f t="shared" si="107"/>
        <v>Clean</v>
      </c>
      <c r="AT286" t="str">
        <f>IF(OR(AC286&lt;0,AC286&gt;0.5),"Invalid Discount","Valid")</f>
        <v>Valid</v>
      </c>
      <c r="AU286" t="str">
        <f>IF(G286&lt;E286,"Invalid Shipping Record","Valid")</f>
        <v>Valid</v>
      </c>
      <c r="AV286" t="str">
        <f>IF(OR(AL286="Cancelled",AH286="Failed"),"Exclude","Include")</f>
        <v>Include</v>
      </c>
      <c r="AW286" t="str">
        <f t="shared" si="108"/>
        <v>Match</v>
      </c>
      <c r="AX286" t="str">
        <f t="shared" si="109"/>
        <v>Match</v>
      </c>
    </row>
    <row r="287" spans="1:50">
      <c r="A287" t="s">
        <v>1467</v>
      </c>
      <c r="B287">
        <f t="shared" si="110"/>
        <v>1</v>
      </c>
      <c r="C287" t="str">
        <f t="shared" si="98"/>
        <v/>
      </c>
      <c r="D287" s="3" t="s">
        <v>1468</v>
      </c>
      <c r="E287" s="7">
        <v>45884</v>
      </c>
      <c r="F287" s="3" t="s">
        <v>1469</v>
      </c>
      <c r="G287" s="7">
        <v>45889</v>
      </c>
      <c r="H287" s="7" t="str">
        <f t="shared" si="89"/>
        <v>Valid</v>
      </c>
      <c r="I287" s="9">
        <f t="shared" si="90"/>
        <v>5</v>
      </c>
      <c r="J287" s="9" t="str">
        <f t="shared" si="91"/>
        <v>Valid</v>
      </c>
      <c r="K287" t="s">
        <v>1470</v>
      </c>
      <c r="L287" t="s">
        <v>92</v>
      </c>
      <c r="M287" t="s">
        <v>92</v>
      </c>
      <c r="N287" t="s">
        <v>114</v>
      </c>
      <c r="O287" s="3" t="str">
        <f t="shared" si="92"/>
        <v>Home Office</v>
      </c>
      <c r="P287" t="s">
        <v>26</v>
      </c>
      <c r="Q287" s="3" t="str">
        <f t="shared" si="93"/>
        <v>North</v>
      </c>
      <c r="R287" t="s">
        <v>27</v>
      </c>
      <c r="S287" t="s">
        <v>28</v>
      </c>
      <c r="T287" t="s">
        <v>29</v>
      </c>
      <c r="U287" s="3" t="str">
        <f t="shared" si="94"/>
        <v>Office Supplies</v>
      </c>
      <c r="V287" t="s">
        <v>155</v>
      </c>
      <c r="W287" t="s">
        <v>1471</v>
      </c>
      <c r="X287" t="s">
        <v>66</v>
      </c>
      <c r="Y287" s="3" t="str">
        <f t="shared" si="95"/>
        <v>Standard Class</v>
      </c>
      <c r="Z287">
        <v>9</v>
      </c>
      <c r="AA287">
        <v>4081.77</v>
      </c>
      <c r="AB287">
        <v>0</v>
      </c>
      <c r="AC287">
        <f t="shared" si="96"/>
        <v>0</v>
      </c>
      <c r="AD287" t="str">
        <f t="shared" si="99"/>
        <v>Valid</v>
      </c>
      <c r="AE287">
        <v>36735.93</v>
      </c>
      <c r="AF287">
        <v>30820.84</v>
      </c>
      <c r="AG287">
        <v>5915.09</v>
      </c>
      <c r="AH287" t="s">
        <v>33</v>
      </c>
      <c r="AI287" t="str">
        <f t="shared" si="100"/>
        <v>Include</v>
      </c>
      <c r="AJ287" t="str">
        <f t="shared" si="101"/>
        <v/>
      </c>
      <c r="AK287" t="s">
        <v>34</v>
      </c>
      <c r="AL287" t="str">
        <f t="shared" si="97"/>
        <v>Completed</v>
      </c>
      <c r="AM287" t="str">
        <f t="shared" si="102"/>
        <v>Include</v>
      </c>
      <c r="AN287">
        <f t="shared" si="103"/>
        <v>36735.93</v>
      </c>
      <c r="AO287">
        <f t="shared" si="104"/>
        <v>5915.09</v>
      </c>
      <c r="AP287">
        <f>IF(AN287=0,0,AO287/AN287)</f>
        <v>0.16101647624001897</v>
      </c>
      <c r="AQ287" t="str">
        <f t="shared" si="105"/>
        <v>August</v>
      </c>
      <c r="AR287">
        <f t="shared" si="106"/>
        <v>2025</v>
      </c>
      <c r="AS287" t="str">
        <f t="shared" si="107"/>
        <v>Clean</v>
      </c>
      <c r="AT287" t="str">
        <f>IF(OR(AC287&lt;0,AC287&gt;0.5),"Invalid Discount","Valid")</f>
        <v>Valid</v>
      </c>
      <c r="AU287" t="str">
        <f>IF(G287&lt;E287,"Invalid Shipping Record","Valid")</f>
        <v>Valid</v>
      </c>
      <c r="AV287" t="str">
        <f>IF(OR(AL287="Cancelled",AH287="Failed"),"Exclude","Include")</f>
        <v>Include</v>
      </c>
      <c r="AW287" t="str">
        <f t="shared" si="108"/>
        <v>Match</v>
      </c>
      <c r="AX287" t="str">
        <f t="shared" si="109"/>
        <v>Match</v>
      </c>
    </row>
    <row r="288" spans="1:50">
      <c r="A288" t="s">
        <v>1472</v>
      </c>
      <c r="B288">
        <f t="shared" si="110"/>
        <v>1</v>
      </c>
      <c r="C288" t="str">
        <f t="shared" si="98"/>
        <v/>
      </c>
      <c r="D288" s="3" t="s">
        <v>1473</v>
      </c>
      <c r="E288" s="7">
        <v>45350</v>
      </c>
      <c r="F288" s="3" t="s">
        <v>1474</v>
      </c>
      <c r="G288" s="7">
        <v>45353</v>
      </c>
      <c r="H288" s="7" t="str">
        <f t="shared" si="89"/>
        <v>Valid</v>
      </c>
      <c r="I288" s="9">
        <f t="shared" si="90"/>
        <v>3</v>
      </c>
      <c r="J288" s="9" t="str">
        <f t="shared" si="91"/>
        <v>Valid</v>
      </c>
      <c r="K288" t="s">
        <v>1475</v>
      </c>
      <c r="L288" t="s">
        <v>141</v>
      </c>
      <c r="M288" t="s">
        <v>141</v>
      </c>
      <c r="N288" t="s">
        <v>40</v>
      </c>
      <c r="O288" s="3" t="str">
        <f t="shared" si="92"/>
        <v>Small Business</v>
      </c>
      <c r="P288" t="s">
        <v>26</v>
      </c>
      <c r="Q288" s="3" t="str">
        <f t="shared" si="93"/>
        <v>North</v>
      </c>
      <c r="R288" t="s">
        <v>505</v>
      </c>
      <c r="S288" t="s">
        <v>506</v>
      </c>
      <c r="T288" t="s">
        <v>44</v>
      </c>
      <c r="U288" s="3" t="str">
        <f t="shared" si="94"/>
        <v>Furniture</v>
      </c>
      <c r="V288" t="s">
        <v>64</v>
      </c>
      <c r="W288" t="s">
        <v>1476</v>
      </c>
      <c r="X288" t="s">
        <v>55</v>
      </c>
      <c r="Y288" s="3" t="str">
        <f t="shared" si="95"/>
        <v>First Class</v>
      </c>
      <c r="Z288">
        <v>7</v>
      </c>
      <c r="AA288">
        <v>701.8</v>
      </c>
      <c r="AB288">
        <v>0.1</v>
      </c>
      <c r="AC288">
        <f t="shared" si="96"/>
        <v>0.1</v>
      </c>
      <c r="AD288" t="str">
        <f t="shared" si="99"/>
        <v>Valid</v>
      </c>
      <c r="AE288">
        <v>4421.34</v>
      </c>
      <c r="AF288">
        <v>2489.98</v>
      </c>
      <c r="AG288">
        <v>1931.36</v>
      </c>
      <c r="AH288" t="s">
        <v>136</v>
      </c>
      <c r="AI288" t="str">
        <f t="shared" si="100"/>
        <v>Include</v>
      </c>
      <c r="AJ288" t="str">
        <f t="shared" si="101"/>
        <v/>
      </c>
      <c r="AK288" t="s">
        <v>124</v>
      </c>
      <c r="AL288" t="str">
        <f t="shared" si="97"/>
        <v>Returned</v>
      </c>
      <c r="AM288" t="str">
        <f t="shared" si="102"/>
        <v>Include</v>
      </c>
      <c r="AN288">
        <f t="shared" si="103"/>
        <v>4421.3399999999992</v>
      </c>
      <c r="AO288">
        <f t="shared" si="104"/>
        <v>1931.3599999999992</v>
      </c>
      <c r="AP288">
        <f>IF(AN288=0,0,AO288/AN288)</f>
        <v>0.43682684435035524</v>
      </c>
      <c r="AQ288" t="str">
        <f t="shared" si="105"/>
        <v>February</v>
      </c>
      <c r="AR288">
        <f t="shared" si="106"/>
        <v>2024</v>
      </c>
      <c r="AS288" t="str">
        <f t="shared" si="107"/>
        <v>Clean</v>
      </c>
      <c r="AT288" t="str">
        <f>IF(OR(AC288&lt;0,AC288&gt;0.5),"Invalid Discount","Valid")</f>
        <v>Valid</v>
      </c>
      <c r="AU288" t="str">
        <f>IF(G288&lt;E288,"Invalid Shipping Record","Valid")</f>
        <v>Valid</v>
      </c>
      <c r="AV288" t="str">
        <f>IF(OR(AL288="Cancelled",AH288="Failed"),"Exclude","Include")</f>
        <v>Include</v>
      </c>
      <c r="AW288" t="str">
        <f t="shared" si="108"/>
        <v>Match</v>
      </c>
      <c r="AX288" t="str">
        <f t="shared" si="109"/>
        <v>Match</v>
      </c>
    </row>
    <row r="289" spans="1:50">
      <c r="A289" t="s">
        <v>1477</v>
      </c>
      <c r="B289">
        <f t="shared" si="110"/>
        <v>1</v>
      </c>
      <c r="C289" t="str">
        <f t="shared" si="98"/>
        <v/>
      </c>
      <c r="D289" s="3" t="s">
        <v>1478</v>
      </c>
      <c r="E289" s="7">
        <v>45540</v>
      </c>
      <c r="F289" s="3" t="s">
        <v>1479</v>
      </c>
      <c r="G289" s="7">
        <v>45542</v>
      </c>
      <c r="H289" s="7" t="str">
        <f t="shared" si="89"/>
        <v>Valid</v>
      </c>
      <c r="I289" s="9">
        <f t="shared" si="90"/>
        <v>2</v>
      </c>
      <c r="J289" s="9" t="str">
        <f t="shared" si="91"/>
        <v>Valid</v>
      </c>
      <c r="K289" t="s">
        <v>1480</v>
      </c>
      <c r="L289" t="s">
        <v>92</v>
      </c>
      <c r="M289" t="s">
        <v>92</v>
      </c>
      <c r="N289" t="s">
        <v>40</v>
      </c>
      <c r="O289" s="3" t="str">
        <f t="shared" si="92"/>
        <v>Small Business</v>
      </c>
      <c r="P289" t="s">
        <v>61</v>
      </c>
      <c r="Q289" s="3" t="str">
        <f t="shared" si="93"/>
        <v>South</v>
      </c>
      <c r="R289" t="s">
        <v>338</v>
      </c>
      <c r="S289" t="s">
        <v>339</v>
      </c>
      <c r="T289" t="s">
        <v>85</v>
      </c>
      <c r="U289" s="3" t="str">
        <f t="shared" si="94"/>
        <v>Technology</v>
      </c>
      <c r="V289" t="s">
        <v>93</v>
      </c>
      <c r="W289" t="s">
        <v>1481</v>
      </c>
      <c r="X289" t="s">
        <v>66</v>
      </c>
      <c r="Y289" s="3" t="str">
        <f t="shared" si="95"/>
        <v>Standard Class</v>
      </c>
      <c r="Z289">
        <v>3</v>
      </c>
      <c r="AA289">
        <v>2555.66</v>
      </c>
      <c r="AB289">
        <v>0.15</v>
      </c>
      <c r="AC289">
        <f t="shared" si="96"/>
        <v>0.15</v>
      </c>
      <c r="AD289" t="str">
        <f t="shared" si="99"/>
        <v>Valid</v>
      </c>
      <c r="AE289">
        <v>6516.93</v>
      </c>
      <c r="AF289">
        <v>4511.54</v>
      </c>
      <c r="AG289">
        <v>2005.39</v>
      </c>
      <c r="AH289" t="s">
        <v>33</v>
      </c>
      <c r="AI289" t="str">
        <f t="shared" si="100"/>
        <v>Exclude</v>
      </c>
      <c r="AJ289" t="str">
        <f t="shared" si="101"/>
        <v/>
      </c>
      <c r="AK289" t="s">
        <v>77</v>
      </c>
      <c r="AL289" t="str">
        <f t="shared" si="97"/>
        <v>Cancelled</v>
      </c>
      <c r="AM289" t="str">
        <f t="shared" si="102"/>
        <v>Exclude</v>
      </c>
      <c r="AN289">
        <f t="shared" si="103"/>
        <v>6516.9329999999991</v>
      </c>
      <c r="AO289">
        <f t="shared" si="104"/>
        <v>2005.3929999999991</v>
      </c>
      <c r="AP289">
        <f>IF(AN289=0,0,AO289/AN289)</f>
        <v>0.30772036477895343</v>
      </c>
      <c r="AQ289" t="str">
        <f t="shared" si="105"/>
        <v>September</v>
      </c>
      <c r="AR289">
        <f t="shared" si="106"/>
        <v>2024</v>
      </c>
      <c r="AS289" t="str">
        <f t="shared" si="107"/>
        <v>Clean</v>
      </c>
      <c r="AT289" t="str">
        <f>IF(OR(AC289&lt;0,AC289&gt;0.5),"Invalid Discount","Valid")</f>
        <v>Valid</v>
      </c>
      <c r="AU289" t="str">
        <f>IF(G289&lt;E289,"Invalid Shipping Record","Valid")</f>
        <v>Valid</v>
      </c>
      <c r="AV289" t="str">
        <f>IF(OR(AL289="Cancelled",AH289="Failed"),"Exclude","Include")</f>
        <v>Exclude</v>
      </c>
      <c r="AW289" t="str">
        <f t="shared" si="108"/>
        <v>Match</v>
      </c>
      <c r="AX289" t="str">
        <f t="shared" si="109"/>
        <v>Match</v>
      </c>
    </row>
    <row r="290" spans="1:50">
      <c r="A290" t="s">
        <v>1482</v>
      </c>
      <c r="B290">
        <f t="shared" si="110"/>
        <v>1</v>
      </c>
      <c r="C290" t="str">
        <f t="shared" si="98"/>
        <v/>
      </c>
      <c r="D290" s="3" t="s">
        <v>1483</v>
      </c>
      <c r="E290" s="7">
        <v>45467</v>
      </c>
      <c r="F290" s="3" t="s">
        <v>1483</v>
      </c>
      <c r="G290" s="7">
        <v>45467</v>
      </c>
      <c r="H290" s="7" t="str">
        <f t="shared" si="89"/>
        <v>Valid</v>
      </c>
      <c r="I290" s="9">
        <f t="shared" si="90"/>
        <v>0</v>
      </c>
      <c r="J290" s="9" t="str">
        <f t="shared" si="91"/>
        <v>Valid</v>
      </c>
      <c r="K290" t="s">
        <v>1484</v>
      </c>
      <c r="L290" t="s">
        <v>179</v>
      </c>
      <c r="M290" t="s">
        <v>179</v>
      </c>
      <c r="N290" t="s">
        <v>40</v>
      </c>
      <c r="O290" s="3" t="str">
        <f t="shared" si="92"/>
        <v>Small Business</v>
      </c>
      <c r="P290" t="s">
        <v>41</v>
      </c>
      <c r="Q290" s="3" t="str">
        <f t="shared" si="93"/>
        <v>East</v>
      </c>
      <c r="R290" t="s">
        <v>185</v>
      </c>
      <c r="S290" t="s">
        <v>186</v>
      </c>
      <c r="T290" t="s">
        <v>29</v>
      </c>
      <c r="U290" s="3" t="str">
        <f t="shared" si="94"/>
        <v>Office Supplies</v>
      </c>
      <c r="V290" t="s">
        <v>197</v>
      </c>
      <c r="W290" t="s">
        <v>1485</v>
      </c>
      <c r="X290" t="s">
        <v>47</v>
      </c>
      <c r="Y290" s="3" t="str">
        <f t="shared" si="95"/>
        <v>Same Day</v>
      </c>
      <c r="Z290">
        <v>2</v>
      </c>
      <c r="AA290">
        <v>4359.8999999999996</v>
      </c>
      <c r="AB290">
        <v>0.15</v>
      </c>
      <c r="AC290">
        <f t="shared" si="96"/>
        <v>0.15</v>
      </c>
      <c r="AD290" t="str">
        <f t="shared" si="99"/>
        <v>Valid</v>
      </c>
      <c r="AE290">
        <v>7411.83</v>
      </c>
      <c r="AF290">
        <v>4904.63</v>
      </c>
      <c r="AG290">
        <v>2507.1999999999998</v>
      </c>
      <c r="AH290" t="s">
        <v>33</v>
      </c>
      <c r="AI290" t="str">
        <f t="shared" si="100"/>
        <v>Include</v>
      </c>
      <c r="AJ290" t="str">
        <f t="shared" si="101"/>
        <v/>
      </c>
      <c r="AK290" t="s">
        <v>34</v>
      </c>
      <c r="AL290" t="str">
        <f t="shared" si="97"/>
        <v>Completed</v>
      </c>
      <c r="AM290" t="str">
        <f t="shared" si="102"/>
        <v>Include</v>
      </c>
      <c r="AN290">
        <f t="shared" si="103"/>
        <v>7411.829999999999</v>
      </c>
      <c r="AO290">
        <f t="shared" si="104"/>
        <v>2507.1999999999989</v>
      </c>
      <c r="AP290">
        <f>IF(AN290=0,0,AO290/AN290)</f>
        <v>0.3382700358750807</v>
      </c>
      <c r="AQ290" t="str">
        <f t="shared" si="105"/>
        <v>June</v>
      </c>
      <c r="AR290">
        <f t="shared" si="106"/>
        <v>2024</v>
      </c>
      <c r="AS290" t="str">
        <f t="shared" si="107"/>
        <v>Clean</v>
      </c>
      <c r="AT290" t="str">
        <f>IF(OR(AC290&lt;0,AC290&gt;0.5),"Invalid Discount","Valid")</f>
        <v>Valid</v>
      </c>
      <c r="AU290" t="str">
        <f>IF(G290&lt;E290,"Invalid Shipping Record","Valid")</f>
        <v>Valid</v>
      </c>
      <c r="AV290" t="str">
        <f>IF(OR(AL290="Cancelled",AH290="Failed"),"Exclude","Include")</f>
        <v>Include</v>
      </c>
      <c r="AW290" t="str">
        <f t="shared" si="108"/>
        <v>Match</v>
      </c>
      <c r="AX290" t="str">
        <f t="shared" si="109"/>
        <v>Match</v>
      </c>
    </row>
    <row r="291" spans="1:50">
      <c r="A291" t="s">
        <v>1486</v>
      </c>
      <c r="B291">
        <f t="shared" si="110"/>
        <v>1</v>
      </c>
      <c r="C291" t="str">
        <f t="shared" si="98"/>
        <v/>
      </c>
      <c r="D291" s="3" t="s">
        <v>253</v>
      </c>
      <c r="E291" s="7">
        <v>45827</v>
      </c>
      <c r="F291" s="3" t="s">
        <v>648</v>
      </c>
      <c r="G291" s="7">
        <v>45835</v>
      </c>
      <c r="H291" s="7" t="str">
        <f t="shared" si="89"/>
        <v>Valid</v>
      </c>
      <c r="I291" s="9">
        <f t="shared" si="90"/>
        <v>8</v>
      </c>
      <c r="J291" s="9" t="str">
        <f t="shared" si="91"/>
        <v>Valid</v>
      </c>
      <c r="K291" t="s">
        <v>1487</v>
      </c>
      <c r="L291" t="s">
        <v>24</v>
      </c>
      <c r="M291" t="s">
        <v>24</v>
      </c>
      <c r="N291" t="s">
        <v>114</v>
      </c>
      <c r="O291" s="3" t="str">
        <f t="shared" si="92"/>
        <v>Home Office</v>
      </c>
      <c r="P291" t="s">
        <v>61</v>
      </c>
      <c r="Q291" s="3" t="str">
        <f t="shared" si="93"/>
        <v>South</v>
      </c>
      <c r="R291" t="s">
        <v>338</v>
      </c>
      <c r="S291" t="s">
        <v>339</v>
      </c>
      <c r="T291" t="s">
        <v>44</v>
      </c>
      <c r="U291" s="3" t="str">
        <f t="shared" si="94"/>
        <v>Furniture</v>
      </c>
      <c r="V291" t="s">
        <v>203</v>
      </c>
      <c r="W291" t="s">
        <v>1488</v>
      </c>
      <c r="X291" t="s">
        <v>55</v>
      </c>
      <c r="Y291" s="3" t="str">
        <f t="shared" si="95"/>
        <v>First Class</v>
      </c>
      <c r="Z291">
        <v>2</v>
      </c>
      <c r="AA291">
        <v>4346.6899999999996</v>
      </c>
      <c r="AB291">
        <v>0.05</v>
      </c>
      <c r="AC291">
        <f t="shared" si="96"/>
        <v>0.05</v>
      </c>
      <c r="AD291" t="str">
        <f t="shared" si="99"/>
        <v>Valid</v>
      </c>
      <c r="AE291">
        <v>8258.7099999999991</v>
      </c>
      <c r="AF291">
        <v>7018.97</v>
      </c>
      <c r="AG291">
        <v>1239.74</v>
      </c>
      <c r="AH291" t="s">
        <v>33</v>
      </c>
      <c r="AI291" t="str">
        <f t="shared" si="100"/>
        <v>Include</v>
      </c>
      <c r="AJ291" t="str">
        <f t="shared" si="101"/>
        <v/>
      </c>
      <c r="AK291" t="s">
        <v>34</v>
      </c>
      <c r="AL291" t="str">
        <f t="shared" si="97"/>
        <v>Completed</v>
      </c>
      <c r="AM291" t="str">
        <f t="shared" si="102"/>
        <v>Include</v>
      </c>
      <c r="AN291">
        <f t="shared" si="103"/>
        <v>8258.7109999999993</v>
      </c>
      <c r="AO291">
        <f t="shared" si="104"/>
        <v>1239.7409999999991</v>
      </c>
      <c r="AP291">
        <f>IF(AN291=0,0,AO291/AN291)</f>
        <v>0.15011313508851432</v>
      </c>
      <c r="AQ291" t="str">
        <f t="shared" si="105"/>
        <v>June</v>
      </c>
      <c r="AR291">
        <f t="shared" si="106"/>
        <v>2025</v>
      </c>
      <c r="AS291" t="str">
        <f t="shared" si="107"/>
        <v>Clean</v>
      </c>
      <c r="AT291" t="str">
        <f>IF(OR(AC291&lt;0,AC291&gt;0.5),"Invalid Discount","Valid")</f>
        <v>Valid</v>
      </c>
      <c r="AU291" t="str">
        <f>IF(G291&lt;E291,"Invalid Shipping Record","Valid")</f>
        <v>Valid</v>
      </c>
      <c r="AV291" t="str">
        <f>IF(OR(AL291="Cancelled",AH291="Failed"),"Exclude","Include")</f>
        <v>Include</v>
      </c>
      <c r="AW291" t="str">
        <f t="shared" si="108"/>
        <v>Match</v>
      </c>
      <c r="AX291" t="str">
        <f t="shared" si="109"/>
        <v>Match</v>
      </c>
    </row>
    <row r="292" spans="1:50">
      <c r="A292" t="s">
        <v>1489</v>
      </c>
      <c r="B292">
        <f t="shared" si="110"/>
        <v>1</v>
      </c>
      <c r="C292" t="str">
        <f t="shared" si="98"/>
        <v/>
      </c>
      <c r="D292" s="3" t="s">
        <v>1490</v>
      </c>
      <c r="E292" s="7">
        <v>45891</v>
      </c>
      <c r="F292" s="3" t="s">
        <v>1491</v>
      </c>
      <c r="G292" s="7">
        <v>45895</v>
      </c>
      <c r="H292" s="7" t="str">
        <f t="shared" si="89"/>
        <v>Valid</v>
      </c>
      <c r="I292" s="9">
        <f t="shared" si="90"/>
        <v>4</v>
      </c>
      <c r="J292" s="9" t="str">
        <f t="shared" si="91"/>
        <v>Valid</v>
      </c>
      <c r="K292" t="s">
        <v>1492</v>
      </c>
      <c r="L292" t="s">
        <v>209</v>
      </c>
      <c r="M292" t="s">
        <v>209</v>
      </c>
      <c r="N292" t="s">
        <v>114</v>
      </c>
      <c r="O292" s="3" t="str">
        <f t="shared" si="92"/>
        <v>Home Office</v>
      </c>
      <c r="P292" t="s">
        <v>41</v>
      </c>
      <c r="Q292" s="3" t="str">
        <f t="shared" si="93"/>
        <v>East</v>
      </c>
      <c r="R292" t="s">
        <v>310</v>
      </c>
      <c r="S292" t="s">
        <v>311</v>
      </c>
      <c r="T292" t="s">
        <v>44</v>
      </c>
      <c r="U292" s="3" t="str">
        <f t="shared" si="94"/>
        <v>Furniture</v>
      </c>
      <c r="V292" t="s">
        <v>45</v>
      </c>
      <c r="W292" t="s">
        <v>1493</v>
      </c>
      <c r="X292" t="s">
        <v>66</v>
      </c>
      <c r="Y292" s="3" t="str">
        <f t="shared" si="95"/>
        <v>Standard Class</v>
      </c>
      <c r="Z292">
        <v>1</v>
      </c>
      <c r="AA292">
        <v>1842.63</v>
      </c>
      <c r="AB292">
        <v>0.1</v>
      </c>
      <c r="AC292">
        <f t="shared" si="96"/>
        <v>0.1</v>
      </c>
      <c r="AD292" t="str">
        <f t="shared" si="99"/>
        <v>Valid</v>
      </c>
      <c r="AE292">
        <v>1658.37</v>
      </c>
      <c r="AF292">
        <v>971.12</v>
      </c>
      <c r="AG292">
        <v>687.25</v>
      </c>
      <c r="AH292" t="s">
        <v>33</v>
      </c>
      <c r="AI292" t="str">
        <f t="shared" si="100"/>
        <v>Include</v>
      </c>
      <c r="AJ292" t="str">
        <f t="shared" si="101"/>
        <v/>
      </c>
      <c r="AK292" t="s">
        <v>34</v>
      </c>
      <c r="AL292" t="str">
        <f t="shared" si="97"/>
        <v>Completed</v>
      </c>
      <c r="AM292" t="str">
        <f t="shared" si="102"/>
        <v>Include</v>
      </c>
      <c r="AN292">
        <f t="shared" si="103"/>
        <v>1658.3670000000002</v>
      </c>
      <c r="AO292">
        <f t="shared" si="104"/>
        <v>687.24700000000018</v>
      </c>
      <c r="AP292">
        <f>IF(AN292=0,0,AO292/AN292)</f>
        <v>0.41441188832146331</v>
      </c>
      <c r="AQ292" t="str">
        <f t="shared" si="105"/>
        <v>August</v>
      </c>
      <c r="AR292">
        <f t="shared" si="106"/>
        <v>2025</v>
      </c>
      <c r="AS292" t="str">
        <f t="shared" si="107"/>
        <v>Clean</v>
      </c>
      <c r="AT292" t="str">
        <f>IF(OR(AC292&lt;0,AC292&gt;0.5),"Invalid Discount","Valid")</f>
        <v>Valid</v>
      </c>
      <c r="AU292" t="str">
        <f>IF(G292&lt;E292,"Invalid Shipping Record","Valid")</f>
        <v>Valid</v>
      </c>
      <c r="AV292" t="str">
        <f>IF(OR(AL292="Cancelled",AH292="Failed"),"Exclude","Include")</f>
        <v>Include</v>
      </c>
      <c r="AW292" t="str">
        <f t="shared" si="108"/>
        <v>Match</v>
      </c>
      <c r="AX292" t="str">
        <f t="shared" si="109"/>
        <v>Match</v>
      </c>
    </row>
    <row r="293" spans="1:50">
      <c r="A293" t="s">
        <v>1494</v>
      </c>
      <c r="B293">
        <f t="shared" si="110"/>
        <v>1</v>
      </c>
      <c r="C293" t="str">
        <f t="shared" si="98"/>
        <v/>
      </c>
      <c r="D293" s="3" t="s">
        <v>1495</v>
      </c>
      <c r="E293" s="7">
        <v>45387</v>
      </c>
      <c r="F293" s="3" t="s">
        <v>1496</v>
      </c>
      <c r="G293" s="7">
        <v>45392</v>
      </c>
      <c r="H293" s="7" t="str">
        <f t="shared" si="89"/>
        <v>Valid</v>
      </c>
      <c r="I293" s="9">
        <f t="shared" si="90"/>
        <v>5</v>
      </c>
      <c r="J293" s="9" t="str">
        <f t="shared" si="91"/>
        <v>Valid</v>
      </c>
      <c r="K293" t="s">
        <v>1497</v>
      </c>
      <c r="L293" t="s">
        <v>141</v>
      </c>
      <c r="M293" t="s">
        <v>141</v>
      </c>
      <c r="N293" t="s">
        <v>114</v>
      </c>
      <c r="O293" s="3" t="str">
        <f t="shared" si="92"/>
        <v>Home Office</v>
      </c>
      <c r="P293" t="s">
        <v>26</v>
      </c>
      <c r="Q293" s="3" t="str">
        <f t="shared" si="93"/>
        <v>North</v>
      </c>
      <c r="R293" t="s">
        <v>27</v>
      </c>
      <c r="S293" t="s">
        <v>28</v>
      </c>
      <c r="T293" t="s">
        <v>29</v>
      </c>
      <c r="U293" s="3" t="str">
        <f t="shared" si="94"/>
        <v>Office Supplies</v>
      </c>
      <c r="V293" t="s">
        <v>197</v>
      </c>
      <c r="W293" t="s">
        <v>1498</v>
      </c>
      <c r="X293" t="s">
        <v>66</v>
      </c>
      <c r="Y293" s="3" t="str">
        <f t="shared" si="95"/>
        <v>Standard Class</v>
      </c>
      <c r="Z293">
        <v>4</v>
      </c>
      <c r="AA293">
        <v>3228.66</v>
      </c>
      <c r="AB293">
        <v>0.25</v>
      </c>
      <c r="AC293">
        <f t="shared" si="96"/>
        <v>0.25</v>
      </c>
      <c r="AD293" t="str">
        <f t="shared" si="99"/>
        <v>Valid</v>
      </c>
      <c r="AE293">
        <v>9685.98</v>
      </c>
      <c r="AF293">
        <v>7730.04</v>
      </c>
      <c r="AG293">
        <v>1955.94</v>
      </c>
      <c r="AH293" t="s">
        <v>33</v>
      </c>
      <c r="AI293" t="str">
        <f t="shared" si="100"/>
        <v>Include</v>
      </c>
      <c r="AJ293" t="str">
        <f t="shared" si="101"/>
        <v/>
      </c>
      <c r="AK293" t="s">
        <v>34</v>
      </c>
      <c r="AL293" t="str">
        <f t="shared" si="97"/>
        <v>Completed</v>
      </c>
      <c r="AM293" t="str">
        <f t="shared" si="102"/>
        <v>Include</v>
      </c>
      <c r="AN293">
        <f t="shared" si="103"/>
        <v>9685.98</v>
      </c>
      <c r="AO293">
        <f t="shared" si="104"/>
        <v>1955.9399999999996</v>
      </c>
      <c r="AP293">
        <f>IF(AN293=0,0,AO293/AN293)</f>
        <v>0.20193516815025425</v>
      </c>
      <c r="AQ293" t="str">
        <f t="shared" si="105"/>
        <v>April</v>
      </c>
      <c r="AR293">
        <f t="shared" si="106"/>
        <v>2024</v>
      </c>
      <c r="AS293" t="str">
        <f t="shared" si="107"/>
        <v>Clean</v>
      </c>
      <c r="AT293" t="str">
        <f>IF(OR(AC293&lt;0,AC293&gt;0.5),"Invalid Discount","Valid")</f>
        <v>Valid</v>
      </c>
      <c r="AU293" t="str">
        <f>IF(G293&lt;E293,"Invalid Shipping Record","Valid")</f>
        <v>Valid</v>
      </c>
      <c r="AV293" t="str">
        <f>IF(OR(AL293="Cancelled",AH293="Failed"),"Exclude","Include")</f>
        <v>Include</v>
      </c>
      <c r="AW293" t="str">
        <f t="shared" si="108"/>
        <v>Match</v>
      </c>
      <c r="AX293" t="str">
        <f t="shared" si="109"/>
        <v>Match</v>
      </c>
    </row>
    <row r="294" spans="1:50">
      <c r="A294" t="s">
        <v>1499</v>
      </c>
      <c r="B294">
        <f t="shared" si="110"/>
        <v>1</v>
      </c>
      <c r="C294" t="str">
        <f t="shared" si="98"/>
        <v/>
      </c>
      <c r="D294" s="3" t="s">
        <v>1500</v>
      </c>
      <c r="E294" s="7">
        <v>45716</v>
      </c>
      <c r="F294" s="3" t="s">
        <v>1501</v>
      </c>
      <c r="G294" s="7">
        <v>45719</v>
      </c>
      <c r="H294" s="7" t="str">
        <f t="shared" si="89"/>
        <v>Valid</v>
      </c>
      <c r="I294" s="9">
        <f t="shared" si="90"/>
        <v>3</v>
      </c>
      <c r="J294" s="9" t="str">
        <f t="shared" si="91"/>
        <v>Valid</v>
      </c>
      <c r="K294" t="s">
        <v>1502</v>
      </c>
      <c r="L294" t="s">
        <v>365</v>
      </c>
      <c r="M294" t="s">
        <v>365</v>
      </c>
      <c r="N294" t="s">
        <v>114</v>
      </c>
      <c r="O294" s="3" t="str">
        <f t="shared" si="92"/>
        <v>Home Office</v>
      </c>
      <c r="P294" t="s">
        <v>26</v>
      </c>
      <c r="Q294" s="3" t="str">
        <f t="shared" si="93"/>
        <v>North</v>
      </c>
      <c r="R294" t="s">
        <v>322</v>
      </c>
      <c r="S294" t="s">
        <v>323</v>
      </c>
      <c r="T294" t="s">
        <v>29</v>
      </c>
      <c r="U294" s="3" t="str">
        <f t="shared" si="94"/>
        <v>Office Supplies</v>
      </c>
      <c r="V294" t="s">
        <v>53</v>
      </c>
      <c r="W294" t="s">
        <v>1503</v>
      </c>
      <c r="X294" t="s">
        <v>47</v>
      </c>
      <c r="Y294" s="3" t="str">
        <f t="shared" si="95"/>
        <v>Same Day</v>
      </c>
      <c r="Z294">
        <v>9</v>
      </c>
      <c r="AA294">
        <v>3748.95</v>
      </c>
      <c r="AB294">
        <v>0</v>
      </c>
      <c r="AC294">
        <f t="shared" si="96"/>
        <v>0</v>
      </c>
      <c r="AD294" t="str">
        <f t="shared" si="99"/>
        <v>Valid</v>
      </c>
      <c r="AE294">
        <v>33740.550000000003</v>
      </c>
      <c r="AF294">
        <v>24621.89</v>
      </c>
      <c r="AG294">
        <v>9118.66</v>
      </c>
      <c r="AH294" t="s">
        <v>136</v>
      </c>
      <c r="AI294" t="str">
        <f t="shared" si="100"/>
        <v>Exclude</v>
      </c>
      <c r="AJ294" t="str">
        <f t="shared" si="101"/>
        <v/>
      </c>
      <c r="AK294" t="s">
        <v>77</v>
      </c>
      <c r="AL294" t="str">
        <f t="shared" si="97"/>
        <v>Cancelled</v>
      </c>
      <c r="AM294" t="str">
        <f t="shared" si="102"/>
        <v>Exclude</v>
      </c>
      <c r="AN294">
        <f t="shared" si="103"/>
        <v>33740.549999999996</v>
      </c>
      <c r="AO294">
        <f t="shared" si="104"/>
        <v>9118.6599999999962</v>
      </c>
      <c r="AP294">
        <f>IF(AN294=0,0,AO294/AN294)</f>
        <v>0.2702581908119458</v>
      </c>
      <c r="AQ294" t="str">
        <f t="shared" si="105"/>
        <v>February</v>
      </c>
      <c r="AR294">
        <f t="shared" si="106"/>
        <v>2025</v>
      </c>
      <c r="AS294" t="str">
        <f t="shared" si="107"/>
        <v>Clean</v>
      </c>
      <c r="AT294" t="str">
        <f>IF(OR(AC294&lt;0,AC294&gt;0.5),"Invalid Discount","Valid")</f>
        <v>Valid</v>
      </c>
      <c r="AU294" t="str">
        <f>IF(G294&lt;E294,"Invalid Shipping Record","Valid")</f>
        <v>Valid</v>
      </c>
      <c r="AV294" t="str">
        <f>IF(OR(AL294="Cancelled",AH294="Failed"),"Exclude","Include")</f>
        <v>Exclude</v>
      </c>
      <c r="AW294" t="str">
        <f t="shared" si="108"/>
        <v>Match</v>
      </c>
      <c r="AX294" t="str">
        <f t="shared" si="109"/>
        <v>Match</v>
      </c>
    </row>
    <row r="295" spans="1:50">
      <c r="A295" t="s">
        <v>1504</v>
      </c>
      <c r="B295">
        <f t="shared" si="110"/>
        <v>1</v>
      </c>
      <c r="C295" t="str">
        <f t="shared" si="98"/>
        <v/>
      </c>
      <c r="D295" s="3" t="s">
        <v>1505</v>
      </c>
      <c r="E295" s="7">
        <v>45358</v>
      </c>
      <c r="F295" s="3" t="s">
        <v>1506</v>
      </c>
      <c r="G295" s="7">
        <v>45362</v>
      </c>
      <c r="H295" s="7" t="str">
        <f t="shared" si="89"/>
        <v>Valid</v>
      </c>
      <c r="I295" s="9">
        <f t="shared" si="90"/>
        <v>4</v>
      </c>
      <c r="J295" s="9" t="str">
        <f t="shared" si="91"/>
        <v>Valid</v>
      </c>
      <c r="K295" t="s">
        <v>1507</v>
      </c>
      <c r="L295" t="s">
        <v>60</v>
      </c>
      <c r="M295" t="s">
        <v>60</v>
      </c>
      <c r="N295" t="s">
        <v>114</v>
      </c>
      <c r="O295" s="3" t="str">
        <f t="shared" si="92"/>
        <v>Home Office</v>
      </c>
      <c r="P295" t="s">
        <v>61</v>
      </c>
      <c r="Q295" s="3" t="str">
        <f t="shared" si="93"/>
        <v>South</v>
      </c>
      <c r="R295" t="s">
        <v>62</v>
      </c>
      <c r="S295" t="s">
        <v>63</v>
      </c>
      <c r="T295" t="s">
        <v>85</v>
      </c>
      <c r="U295" s="3" t="str">
        <f t="shared" si="94"/>
        <v>Technology</v>
      </c>
      <c r="V295" t="s">
        <v>222</v>
      </c>
      <c r="W295" t="s">
        <v>1508</v>
      </c>
      <c r="X295" t="s">
        <v>55</v>
      </c>
      <c r="Y295" s="3" t="str">
        <f t="shared" si="95"/>
        <v>First Class</v>
      </c>
      <c r="Z295">
        <v>2</v>
      </c>
      <c r="AA295">
        <v>4401.51</v>
      </c>
      <c r="AB295">
        <v>0.65</v>
      </c>
      <c r="AC295">
        <f t="shared" si="96"/>
        <v>0.65</v>
      </c>
      <c r="AD295" t="str">
        <f t="shared" si="99"/>
        <v>Valid</v>
      </c>
      <c r="AE295">
        <v>8362.8700000000008</v>
      </c>
      <c r="AF295">
        <v>6541.04</v>
      </c>
      <c r="AG295">
        <v>1821.83</v>
      </c>
      <c r="AH295" t="s">
        <v>33</v>
      </c>
      <c r="AI295" t="str">
        <f t="shared" si="100"/>
        <v>Include</v>
      </c>
      <c r="AJ295" t="str">
        <f t="shared" si="101"/>
        <v/>
      </c>
      <c r="AK295" t="s">
        <v>34</v>
      </c>
      <c r="AL295" t="str">
        <f t="shared" si="97"/>
        <v>Completed</v>
      </c>
      <c r="AM295" t="str">
        <f t="shared" si="102"/>
        <v>Include</v>
      </c>
      <c r="AN295">
        <f t="shared" si="103"/>
        <v>3081.0569999999998</v>
      </c>
      <c r="AO295">
        <f t="shared" si="104"/>
        <v>-3459.9830000000002</v>
      </c>
      <c r="AP295">
        <f>IF(AN295=0,0,AO295/AN295)</f>
        <v>-1.1229857156164267</v>
      </c>
      <c r="AQ295" t="str">
        <f t="shared" si="105"/>
        <v>March</v>
      </c>
      <c r="AR295">
        <f t="shared" si="106"/>
        <v>2024</v>
      </c>
      <c r="AS295" t="str">
        <f t="shared" si="107"/>
        <v>Clean</v>
      </c>
      <c r="AT295" t="str">
        <f>IF(OR(AC295&lt;0,AC295&gt;0.5),"Invalid Discount","Valid")</f>
        <v>Invalid Discount</v>
      </c>
      <c r="AU295" t="str">
        <f>IF(G295&lt;E295,"Invalid Shipping Record","Valid")</f>
        <v>Valid</v>
      </c>
      <c r="AV295" t="str">
        <f>IF(OR(AL295="Cancelled",AH295="Failed"),"Exclude","Include")</f>
        <v>Include</v>
      </c>
      <c r="AW295" t="str">
        <f t="shared" si="108"/>
        <v>Mismatch</v>
      </c>
      <c r="AX295" t="str">
        <f t="shared" si="109"/>
        <v>Mismatch</v>
      </c>
    </row>
    <row r="296" spans="1:50">
      <c r="A296" t="s">
        <v>1509</v>
      </c>
      <c r="B296">
        <f t="shared" si="110"/>
        <v>1</v>
      </c>
      <c r="C296" t="str">
        <f t="shared" si="98"/>
        <v/>
      </c>
      <c r="D296" s="3" t="s">
        <v>1510</v>
      </c>
      <c r="E296" s="7">
        <v>45854</v>
      </c>
      <c r="F296" s="3" t="s">
        <v>1511</v>
      </c>
      <c r="G296" s="7">
        <v>45860</v>
      </c>
      <c r="H296" s="7" t="str">
        <f t="shared" si="89"/>
        <v>Valid</v>
      </c>
      <c r="I296" s="9">
        <f t="shared" si="90"/>
        <v>6</v>
      </c>
      <c r="J296" s="9" t="str">
        <f t="shared" si="91"/>
        <v>Valid</v>
      </c>
      <c r="K296" t="s">
        <v>1512</v>
      </c>
      <c r="L296" t="s">
        <v>141</v>
      </c>
      <c r="M296" t="s">
        <v>141</v>
      </c>
      <c r="N296" t="s">
        <v>25</v>
      </c>
      <c r="O296" s="3" t="str">
        <f t="shared" si="92"/>
        <v>Consumer</v>
      </c>
      <c r="P296" t="s">
        <v>41</v>
      </c>
      <c r="Q296" s="3" t="str">
        <f t="shared" si="93"/>
        <v>East</v>
      </c>
      <c r="R296" t="s">
        <v>42</v>
      </c>
      <c r="S296" t="s">
        <v>43</v>
      </c>
      <c r="T296" t="s">
        <v>85</v>
      </c>
      <c r="U296" s="3" t="str">
        <f t="shared" si="94"/>
        <v>Technology</v>
      </c>
      <c r="V296" t="s">
        <v>222</v>
      </c>
      <c r="W296" t="s">
        <v>1513</v>
      </c>
      <c r="X296" t="s">
        <v>32</v>
      </c>
      <c r="Y296" s="3" t="str">
        <f t="shared" si="95"/>
        <v>Second Class</v>
      </c>
      <c r="Z296">
        <v>6</v>
      </c>
      <c r="AA296">
        <v>4159.33</v>
      </c>
      <c r="AB296">
        <v>0.25</v>
      </c>
      <c r="AC296">
        <f t="shared" si="96"/>
        <v>0.25</v>
      </c>
      <c r="AD296" t="str">
        <f t="shared" si="99"/>
        <v>Valid</v>
      </c>
      <c r="AE296">
        <v>18716.990000000002</v>
      </c>
      <c r="AF296">
        <v>12282.43</v>
      </c>
      <c r="AG296">
        <v>6434.56</v>
      </c>
      <c r="AH296" t="s">
        <v>33</v>
      </c>
      <c r="AI296" t="str">
        <f t="shared" si="100"/>
        <v>Include</v>
      </c>
      <c r="AJ296" t="str">
        <f t="shared" si="101"/>
        <v/>
      </c>
      <c r="AK296" t="s">
        <v>124</v>
      </c>
      <c r="AL296" t="str">
        <f t="shared" si="97"/>
        <v>Returned</v>
      </c>
      <c r="AM296" t="str">
        <f t="shared" si="102"/>
        <v>Include</v>
      </c>
      <c r="AN296">
        <f t="shared" si="103"/>
        <v>18716.985000000001</v>
      </c>
      <c r="AO296">
        <f t="shared" si="104"/>
        <v>6434.5550000000003</v>
      </c>
      <c r="AP296">
        <f>IF(AN296=0,0,AO296/AN296)</f>
        <v>0.34378159730319813</v>
      </c>
      <c r="AQ296" t="str">
        <f t="shared" si="105"/>
        <v>July</v>
      </c>
      <c r="AR296">
        <f t="shared" si="106"/>
        <v>2025</v>
      </c>
      <c r="AS296" t="str">
        <f t="shared" si="107"/>
        <v>Clean</v>
      </c>
      <c r="AT296" t="str">
        <f>IF(OR(AC296&lt;0,AC296&gt;0.5),"Invalid Discount","Valid")</f>
        <v>Valid</v>
      </c>
      <c r="AU296" t="str">
        <f>IF(G296&lt;E296,"Invalid Shipping Record","Valid")</f>
        <v>Valid</v>
      </c>
      <c r="AV296" t="str">
        <f>IF(OR(AL296="Cancelled",AH296="Failed"),"Exclude","Include")</f>
        <v>Include</v>
      </c>
      <c r="AW296" t="str">
        <f t="shared" si="108"/>
        <v>Match</v>
      </c>
      <c r="AX296" t="str">
        <f t="shared" si="109"/>
        <v>Match</v>
      </c>
    </row>
    <row r="297" spans="1:50">
      <c r="A297" t="s">
        <v>1514</v>
      </c>
      <c r="B297">
        <f t="shared" si="110"/>
        <v>1</v>
      </c>
      <c r="C297" t="str">
        <f t="shared" si="98"/>
        <v/>
      </c>
      <c r="D297" s="3" t="s">
        <v>1515</v>
      </c>
      <c r="E297" s="7">
        <v>45833</v>
      </c>
      <c r="F297" s="3" t="s">
        <v>1516</v>
      </c>
      <c r="G297" s="7">
        <v>45836</v>
      </c>
      <c r="H297" s="7" t="str">
        <f t="shared" si="89"/>
        <v>Valid</v>
      </c>
      <c r="I297" s="9">
        <f t="shared" si="90"/>
        <v>3</v>
      </c>
      <c r="J297" s="9" t="str">
        <f t="shared" si="91"/>
        <v>Valid</v>
      </c>
      <c r="K297" t="s">
        <v>1517</v>
      </c>
      <c r="L297" t="s">
        <v>106</v>
      </c>
      <c r="M297" t="s">
        <v>106</v>
      </c>
      <c r="N297" t="s">
        <v>40</v>
      </c>
      <c r="O297" s="3" t="str">
        <f t="shared" si="92"/>
        <v>Small Business</v>
      </c>
      <c r="P297" t="s">
        <v>41</v>
      </c>
      <c r="Q297" s="3" t="str">
        <f t="shared" si="93"/>
        <v>East</v>
      </c>
      <c r="R297" t="s">
        <v>215</v>
      </c>
      <c r="S297" t="s">
        <v>216</v>
      </c>
      <c r="T297" t="s">
        <v>29</v>
      </c>
      <c r="U297" s="3" t="str">
        <f t="shared" si="94"/>
        <v>Office Supplies</v>
      </c>
      <c r="V297" t="s">
        <v>197</v>
      </c>
      <c r="W297" t="s">
        <v>1518</v>
      </c>
      <c r="X297" t="s">
        <v>66</v>
      </c>
      <c r="Y297" s="3" t="str">
        <f t="shared" si="95"/>
        <v>Standard Class</v>
      </c>
      <c r="Z297">
        <v>3</v>
      </c>
      <c r="AA297">
        <v>3476.05</v>
      </c>
      <c r="AB297">
        <v>0.1</v>
      </c>
      <c r="AC297">
        <f t="shared" si="96"/>
        <v>0.1</v>
      </c>
      <c r="AD297" t="str">
        <f t="shared" si="99"/>
        <v>Valid</v>
      </c>
      <c r="AE297">
        <v>9385.34</v>
      </c>
      <c r="AF297">
        <v>5828.54</v>
      </c>
      <c r="AG297">
        <v>3556.8</v>
      </c>
      <c r="AH297" t="s">
        <v>33</v>
      </c>
      <c r="AI297" t="str">
        <f t="shared" si="100"/>
        <v>Include</v>
      </c>
      <c r="AJ297" t="str">
        <f t="shared" si="101"/>
        <v/>
      </c>
      <c r="AK297" t="s">
        <v>34</v>
      </c>
      <c r="AL297" t="str">
        <f t="shared" si="97"/>
        <v>Completed</v>
      </c>
      <c r="AM297" t="str">
        <f t="shared" si="102"/>
        <v>Include</v>
      </c>
      <c r="AN297">
        <f t="shared" si="103"/>
        <v>9385.3350000000009</v>
      </c>
      <c r="AO297">
        <f t="shared" si="104"/>
        <v>3556.795000000001</v>
      </c>
      <c r="AP297">
        <f>IF(AN297=0,0,AO297/AN297)</f>
        <v>0.37897368607513748</v>
      </c>
      <c r="AQ297" t="str">
        <f t="shared" si="105"/>
        <v>June</v>
      </c>
      <c r="AR297">
        <f t="shared" si="106"/>
        <v>2025</v>
      </c>
      <c r="AS297" t="str">
        <f t="shared" si="107"/>
        <v>Clean</v>
      </c>
      <c r="AT297" t="str">
        <f>IF(OR(AC297&lt;0,AC297&gt;0.5),"Invalid Discount","Valid")</f>
        <v>Valid</v>
      </c>
      <c r="AU297" t="str">
        <f>IF(G297&lt;E297,"Invalid Shipping Record","Valid")</f>
        <v>Valid</v>
      </c>
      <c r="AV297" t="str">
        <f>IF(OR(AL297="Cancelled",AH297="Failed"),"Exclude","Include")</f>
        <v>Include</v>
      </c>
      <c r="AW297" t="str">
        <f t="shared" si="108"/>
        <v>Match</v>
      </c>
      <c r="AX297" t="str">
        <f t="shared" si="109"/>
        <v>Match</v>
      </c>
    </row>
    <row r="298" spans="1:50">
      <c r="A298" t="s">
        <v>1519</v>
      </c>
      <c r="B298">
        <f t="shared" si="110"/>
        <v>1</v>
      </c>
      <c r="C298" t="str">
        <f t="shared" si="98"/>
        <v/>
      </c>
      <c r="D298" s="3" t="s">
        <v>1520</v>
      </c>
      <c r="E298" s="7">
        <v>45801</v>
      </c>
      <c r="F298" s="3" t="s">
        <v>1521</v>
      </c>
      <c r="G298" s="7">
        <v>45803</v>
      </c>
      <c r="H298" s="7" t="str">
        <f t="shared" si="89"/>
        <v>Valid</v>
      </c>
      <c r="I298" s="9">
        <f t="shared" si="90"/>
        <v>2</v>
      </c>
      <c r="J298" s="9" t="str">
        <f t="shared" si="91"/>
        <v>Valid</v>
      </c>
      <c r="K298" t="s">
        <v>1522</v>
      </c>
      <c r="L298" t="s">
        <v>106</v>
      </c>
      <c r="M298" t="s">
        <v>106</v>
      </c>
      <c r="N298" t="s">
        <v>114</v>
      </c>
      <c r="O298" s="3" t="str">
        <f t="shared" si="92"/>
        <v>Home Office</v>
      </c>
      <c r="P298" t="s">
        <v>26</v>
      </c>
      <c r="Q298" s="3" t="str">
        <f t="shared" si="93"/>
        <v>North</v>
      </c>
      <c r="R298" t="s">
        <v>322</v>
      </c>
      <c r="S298" t="s">
        <v>323</v>
      </c>
      <c r="T298" t="s">
        <v>44</v>
      </c>
      <c r="U298" s="3" t="str">
        <f t="shared" si="94"/>
        <v>Furniture</v>
      </c>
      <c r="V298" t="s">
        <v>64</v>
      </c>
      <c r="W298" t="s">
        <v>1523</v>
      </c>
      <c r="X298" t="s">
        <v>47</v>
      </c>
      <c r="Y298" s="3" t="str">
        <f t="shared" si="95"/>
        <v>Same Day</v>
      </c>
      <c r="Z298">
        <v>6</v>
      </c>
      <c r="AA298">
        <v>3495.41</v>
      </c>
      <c r="AB298">
        <v>0.15</v>
      </c>
      <c r="AC298">
        <f t="shared" si="96"/>
        <v>0.15</v>
      </c>
      <c r="AD298" t="str">
        <f t="shared" si="99"/>
        <v>Valid</v>
      </c>
      <c r="AE298">
        <v>17826.59</v>
      </c>
      <c r="AF298">
        <v>10855.35</v>
      </c>
      <c r="AG298">
        <v>6971.24</v>
      </c>
      <c r="AH298" t="s">
        <v>33</v>
      </c>
      <c r="AI298" t="str">
        <f t="shared" si="100"/>
        <v>Include</v>
      </c>
      <c r="AJ298" t="str">
        <f t="shared" si="101"/>
        <v/>
      </c>
      <c r="AK298" t="s">
        <v>34</v>
      </c>
      <c r="AL298" t="str">
        <f t="shared" si="97"/>
        <v>Completed</v>
      </c>
      <c r="AM298" t="str">
        <f t="shared" si="102"/>
        <v>Include</v>
      </c>
      <c r="AN298">
        <f t="shared" si="103"/>
        <v>17826.591</v>
      </c>
      <c r="AO298">
        <f t="shared" si="104"/>
        <v>6971.241</v>
      </c>
      <c r="AP298">
        <f>IF(AN298=0,0,AO298/AN298)</f>
        <v>0.39105855965394615</v>
      </c>
      <c r="AQ298" t="str">
        <f t="shared" si="105"/>
        <v>May</v>
      </c>
      <c r="AR298">
        <f t="shared" si="106"/>
        <v>2025</v>
      </c>
      <c r="AS298" t="str">
        <f t="shared" si="107"/>
        <v>Clean</v>
      </c>
      <c r="AT298" t="str">
        <f>IF(OR(AC298&lt;0,AC298&gt;0.5),"Invalid Discount","Valid")</f>
        <v>Valid</v>
      </c>
      <c r="AU298" t="str">
        <f>IF(G298&lt;E298,"Invalid Shipping Record","Valid")</f>
        <v>Valid</v>
      </c>
      <c r="AV298" t="str">
        <f>IF(OR(AL298="Cancelled",AH298="Failed"),"Exclude","Include")</f>
        <v>Include</v>
      </c>
      <c r="AW298" t="str">
        <f t="shared" si="108"/>
        <v>Match</v>
      </c>
      <c r="AX298" t="str">
        <f t="shared" si="109"/>
        <v>Match</v>
      </c>
    </row>
    <row r="299" spans="1:50">
      <c r="A299" t="s">
        <v>1524</v>
      </c>
      <c r="B299">
        <f t="shared" si="110"/>
        <v>1</v>
      </c>
      <c r="C299" t="str">
        <f t="shared" si="98"/>
        <v/>
      </c>
      <c r="D299" s="3" t="s">
        <v>1525</v>
      </c>
      <c r="E299" s="7">
        <v>45594</v>
      </c>
      <c r="F299" s="3" t="s">
        <v>1526</v>
      </c>
      <c r="G299" s="7">
        <v>45602</v>
      </c>
      <c r="H299" s="7" t="str">
        <f t="shared" si="89"/>
        <v>Valid</v>
      </c>
      <c r="I299" s="9">
        <f t="shared" si="90"/>
        <v>8</v>
      </c>
      <c r="J299" s="9" t="str">
        <f t="shared" si="91"/>
        <v>Valid</v>
      </c>
      <c r="K299" t="s">
        <v>1527</v>
      </c>
      <c r="L299" t="s">
        <v>167</v>
      </c>
      <c r="M299" t="s">
        <v>167</v>
      </c>
      <c r="N299" t="s">
        <v>107</v>
      </c>
      <c r="O299" s="3" t="str">
        <f t="shared" si="92"/>
        <v>Corporate</v>
      </c>
      <c r="P299" t="s">
        <v>61</v>
      </c>
      <c r="Q299" s="3" t="str">
        <f t="shared" si="93"/>
        <v>South</v>
      </c>
      <c r="R299" t="s">
        <v>338</v>
      </c>
      <c r="S299" t="s">
        <v>339</v>
      </c>
      <c r="T299" t="s">
        <v>85</v>
      </c>
      <c r="U299" s="3" t="str">
        <f t="shared" si="94"/>
        <v>Technology</v>
      </c>
      <c r="V299" t="s">
        <v>93</v>
      </c>
      <c r="W299" t="s">
        <v>1528</v>
      </c>
      <c r="X299" t="s">
        <v>47</v>
      </c>
      <c r="Y299" s="3" t="str">
        <f t="shared" si="95"/>
        <v>Same Day</v>
      </c>
      <c r="Z299">
        <v>6</v>
      </c>
      <c r="AA299">
        <v>1169.92</v>
      </c>
      <c r="AB299">
        <v>0.15</v>
      </c>
      <c r="AC299">
        <f t="shared" si="96"/>
        <v>0.15</v>
      </c>
      <c r="AD299" t="str">
        <f t="shared" si="99"/>
        <v>Valid</v>
      </c>
      <c r="AE299">
        <v>5966.59</v>
      </c>
      <c r="AF299">
        <v>3994.72</v>
      </c>
      <c r="AG299">
        <v>1971.87</v>
      </c>
      <c r="AH299" t="s">
        <v>33</v>
      </c>
      <c r="AI299" t="str">
        <f t="shared" si="100"/>
        <v>Include</v>
      </c>
      <c r="AJ299" t="str">
        <f t="shared" si="101"/>
        <v/>
      </c>
      <c r="AK299" t="s">
        <v>34</v>
      </c>
      <c r="AL299" t="str">
        <f t="shared" si="97"/>
        <v>Completed</v>
      </c>
      <c r="AM299" t="str">
        <f t="shared" si="102"/>
        <v>Include</v>
      </c>
      <c r="AN299">
        <f t="shared" si="103"/>
        <v>5966.5920000000006</v>
      </c>
      <c r="AO299">
        <f t="shared" si="104"/>
        <v>1971.8720000000008</v>
      </c>
      <c r="AP299">
        <f>IF(AN299=0,0,AO299/AN299)</f>
        <v>0.33048547646629778</v>
      </c>
      <c r="AQ299" t="str">
        <f t="shared" si="105"/>
        <v>October</v>
      </c>
      <c r="AR299">
        <f t="shared" si="106"/>
        <v>2024</v>
      </c>
      <c r="AS299" t="str">
        <f t="shared" si="107"/>
        <v>Clean</v>
      </c>
      <c r="AT299" t="str">
        <f>IF(OR(AC299&lt;0,AC299&gt;0.5),"Invalid Discount","Valid")</f>
        <v>Valid</v>
      </c>
      <c r="AU299" t="str">
        <f>IF(G299&lt;E299,"Invalid Shipping Record","Valid")</f>
        <v>Valid</v>
      </c>
      <c r="AV299" t="str">
        <f>IF(OR(AL299="Cancelled",AH299="Failed"),"Exclude","Include")</f>
        <v>Include</v>
      </c>
      <c r="AW299" t="str">
        <f t="shared" si="108"/>
        <v>Match</v>
      </c>
      <c r="AX299" t="str">
        <f t="shared" si="109"/>
        <v>Match</v>
      </c>
    </row>
    <row r="300" spans="1:50">
      <c r="A300" t="s">
        <v>1529</v>
      </c>
      <c r="B300">
        <f t="shared" si="110"/>
        <v>1</v>
      </c>
      <c r="C300" t="str">
        <f t="shared" si="98"/>
        <v/>
      </c>
      <c r="D300" s="3" t="s">
        <v>1530</v>
      </c>
      <c r="E300" s="7">
        <v>45680</v>
      </c>
      <c r="F300" s="3" t="s">
        <v>1531</v>
      </c>
      <c r="G300" s="7">
        <v>45683</v>
      </c>
      <c r="H300" s="7" t="str">
        <f t="shared" si="89"/>
        <v>Valid</v>
      </c>
      <c r="I300" s="9">
        <f t="shared" si="90"/>
        <v>3</v>
      </c>
      <c r="J300" s="9" t="str">
        <f t="shared" si="91"/>
        <v>Valid</v>
      </c>
      <c r="K300" t="s">
        <v>1532</v>
      </c>
      <c r="L300" t="s">
        <v>52</v>
      </c>
      <c r="M300" t="s">
        <v>52</v>
      </c>
      <c r="N300" t="s">
        <v>25</v>
      </c>
      <c r="O300" s="3" t="str">
        <f t="shared" si="92"/>
        <v>Consumer</v>
      </c>
      <c r="P300" t="s">
        <v>61</v>
      </c>
      <c r="Q300" s="3" t="str">
        <f t="shared" si="93"/>
        <v>South</v>
      </c>
      <c r="R300" t="s">
        <v>241</v>
      </c>
      <c r="S300" t="s">
        <v>242</v>
      </c>
      <c r="T300" t="s">
        <v>85</v>
      </c>
      <c r="U300" s="3" t="str">
        <f t="shared" si="94"/>
        <v>Technology</v>
      </c>
      <c r="V300" t="s">
        <v>93</v>
      </c>
      <c r="W300" t="s">
        <v>1533</v>
      </c>
      <c r="X300" t="s">
        <v>55</v>
      </c>
      <c r="Y300" s="3" t="str">
        <f t="shared" si="95"/>
        <v>First Class</v>
      </c>
      <c r="Z300">
        <v>7</v>
      </c>
      <c r="AA300">
        <v>348.49</v>
      </c>
      <c r="AB300">
        <v>0.2</v>
      </c>
      <c r="AC300">
        <f t="shared" si="96"/>
        <v>0.2</v>
      </c>
      <c r="AD300" t="str">
        <f t="shared" si="99"/>
        <v>Valid</v>
      </c>
      <c r="AE300">
        <v>1951.54</v>
      </c>
      <c r="AF300">
        <v>1609.95</v>
      </c>
      <c r="AG300">
        <v>341.59</v>
      </c>
      <c r="AH300" t="s">
        <v>199</v>
      </c>
      <c r="AI300" t="str">
        <f t="shared" si="100"/>
        <v>Exclude</v>
      </c>
      <c r="AJ300" t="str">
        <f t="shared" si="101"/>
        <v/>
      </c>
      <c r="AK300" t="s">
        <v>124</v>
      </c>
      <c r="AL300" t="str">
        <f t="shared" si="97"/>
        <v>Returned</v>
      </c>
      <c r="AM300" t="str">
        <f t="shared" si="102"/>
        <v>Include</v>
      </c>
      <c r="AN300">
        <f t="shared" si="103"/>
        <v>1951.5440000000003</v>
      </c>
      <c r="AO300">
        <f t="shared" si="104"/>
        <v>341.59400000000028</v>
      </c>
      <c r="AP300">
        <f>IF(AN300=0,0,AO300/AN300)</f>
        <v>0.17503781621116421</v>
      </c>
      <c r="AQ300" t="str">
        <f t="shared" si="105"/>
        <v>January</v>
      </c>
      <c r="AR300">
        <f t="shared" si="106"/>
        <v>2025</v>
      </c>
      <c r="AS300" t="str">
        <f t="shared" si="107"/>
        <v>Clean</v>
      </c>
      <c r="AT300" t="str">
        <f>IF(OR(AC300&lt;0,AC300&gt;0.5),"Invalid Discount","Valid")</f>
        <v>Valid</v>
      </c>
      <c r="AU300" t="str">
        <f>IF(G300&lt;E300,"Invalid Shipping Record","Valid")</f>
        <v>Valid</v>
      </c>
      <c r="AV300" t="str">
        <f>IF(OR(AL300="Cancelled",AH300="Failed"),"Exclude","Include")</f>
        <v>Exclude</v>
      </c>
      <c r="AW300" t="str">
        <f t="shared" si="108"/>
        <v>Match</v>
      </c>
      <c r="AX300" t="str">
        <f t="shared" si="109"/>
        <v>Match</v>
      </c>
    </row>
    <row r="301" spans="1:50">
      <c r="A301" t="s">
        <v>1534</v>
      </c>
      <c r="B301">
        <f t="shared" si="110"/>
        <v>1</v>
      </c>
      <c r="C301" t="str">
        <f t="shared" si="98"/>
        <v/>
      </c>
      <c r="D301" s="3" t="s">
        <v>1526</v>
      </c>
      <c r="E301" s="7">
        <v>45602</v>
      </c>
      <c r="F301" s="3" t="s">
        <v>1535</v>
      </c>
      <c r="G301" s="7">
        <v>45608</v>
      </c>
      <c r="H301" s="7" t="str">
        <f t="shared" si="89"/>
        <v>Valid</v>
      </c>
      <c r="I301" s="9">
        <f t="shared" si="90"/>
        <v>6</v>
      </c>
      <c r="J301" s="9" t="str">
        <f t="shared" si="91"/>
        <v>Valid</v>
      </c>
      <c r="K301" t="s">
        <v>1536</v>
      </c>
      <c r="L301" t="s">
        <v>147</v>
      </c>
      <c r="M301" t="s">
        <v>147</v>
      </c>
      <c r="N301" t="s">
        <v>40</v>
      </c>
      <c r="O301" s="3" t="str">
        <f t="shared" si="92"/>
        <v>Small Business</v>
      </c>
      <c r="P301" t="s">
        <v>72</v>
      </c>
      <c r="Q301" s="3" t="str">
        <f t="shared" si="93"/>
        <v>West</v>
      </c>
      <c r="R301" t="s">
        <v>234</v>
      </c>
      <c r="S301" t="s">
        <v>235</v>
      </c>
      <c r="T301" t="s">
        <v>85</v>
      </c>
      <c r="U301" s="3" t="str">
        <f t="shared" si="94"/>
        <v>Technology</v>
      </c>
      <c r="V301" t="s">
        <v>86</v>
      </c>
      <c r="W301" t="s">
        <v>1537</v>
      </c>
      <c r="X301" t="s">
        <v>66</v>
      </c>
      <c r="Y301" s="3" t="str">
        <f t="shared" si="95"/>
        <v>Standard Class</v>
      </c>
      <c r="Z301">
        <v>7</v>
      </c>
      <c r="AA301">
        <v>1719.05</v>
      </c>
      <c r="AB301">
        <v>0.1</v>
      </c>
      <c r="AC301">
        <f t="shared" si="96"/>
        <v>0.1</v>
      </c>
      <c r="AD301" t="str">
        <f t="shared" si="99"/>
        <v>Valid</v>
      </c>
      <c r="AE301">
        <v>10830.02</v>
      </c>
      <c r="AF301">
        <v>7055.31</v>
      </c>
      <c r="AG301">
        <v>3774.71</v>
      </c>
      <c r="AH301" t="s">
        <v>33</v>
      </c>
      <c r="AI301" t="str">
        <f t="shared" si="100"/>
        <v>Include</v>
      </c>
      <c r="AJ301" t="str">
        <f t="shared" si="101"/>
        <v/>
      </c>
      <c r="AK301" t="s">
        <v>34</v>
      </c>
      <c r="AL301" t="str">
        <f t="shared" si="97"/>
        <v>Completed</v>
      </c>
      <c r="AM301" t="str">
        <f t="shared" si="102"/>
        <v>Include</v>
      </c>
      <c r="AN301">
        <f t="shared" si="103"/>
        <v>10830.015000000001</v>
      </c>
      <c r="AO301">
        <f t="shared" si="104"/>
        <v>3774.7050000000008</v>
      </c>
      <c r="AP301">
        <f>IF(AN301=0,0,AO301/AN301)</f>
        <v>0.34854106850267524</v>
      </c>
      <c r="AQ301" t="str">
        <f t="shared" si="105"/>
        <v>November</v>
      </c>
      <c r="AR301">
        <f t="shared" si="106"/>
        <v>2024</v>
      </c>
      <c r="AS301" t="str">
        <f t="shared" si="107"/>
        <v>Clean</v>
      </c>
      <c r="AT301" t="str">
        <f>IF(OR(AC301&lt;0,AC301&gt;0.5),"Invalid Discount","Valid")</f>
        <v>Valid</v>
      </c>
      <c r="AU301" t="str">
        <f>IF(G301&lt;E301,"Invalid Shipping Record","Valid")</f>
        <v>Valid</v>
      </c>
      <c r="AV301" t="str">
        <f>IF(OR(AL301="Cancelled",AH301="Failed"),"Exclude","Include")</f>
        <v>Include</v>
      </c>
      <c r="AW301" t="str">
        <f t="shared" si="108"/>
        <v>Match</v>
      </c>
      <c r="AX301" t="str">
        <f t="shared" si="109"/>
        <v>Match</v>
      </c>
    </row>
    <row r="302" spans="1:50">
      <c r="A302" t="s">
        <v>1538</v>
      </c>
      <c r="B302">
        <f t="shared" si="110"/>
        <v>1</v>
      </c>
      <c r="C302" t="str">
        <f t="shared" si="98"/>
        <v/>
      </c>
      <c r="D302" s="3" t="s">
        <v>1539</v>
      </c>
      <c r="E302" s="7">
        <v>45397</v>
      </c>
      <c r="F302" s="3" t="s">
        <v>1540</v>
      </c>
      <c r="G302" s="7">
        <v>45405</v>
      </c>
      <c r="H302" s="7" t="str">
        <f t="shared" si="89"/>
        <v>Valid</v>
      </c>
      <c r="I302" s="9">
        <f t="shared" si="90"/>
        <v>8</v>
      </c>
      <c r="J302" s="9" t="str">
        <f t="shared" si="91"/>
        <v>Valid</v>
      </c>
      <c r="K302" t="s">
        <v>1541</v>
      </c>
      <c r="L302" t="s">
        <v>209</v>
      </c>
      <c r="M302" t="s">
        <v>209</v>
      </c>
      <c r="N302" t="s">
        <v>40</v>
      </c>
      <c r="O302" s="3" t="str">
        <f t="shared" si="92"/>
        <v>Small Business</v>
      </c>
      <c r="P302" t="s">
        <v>26</v>
      </c>
      <c r="Q302" s="3" t="str">
        <f t="shared" si="93"/>
        <v>North</v>
      </c>
      <c r="R302" t="s">
        <v>153</v>
      </c>
      <c r="S302" t="s">
        <v>154</v>
      </c>
      <c r="T302" t="s">
        <v>85</v>
      </c>
      <c r="U302" s="3" t="str">
        <f t="shared" si="94"/>
        <v>Technology</v>
      </c>
      <c r="V302" t="s">
        <v>86</v>
      </c>
      <c r="W302" t="s">
        <v>1542</v>
      </c>
      <c r="X302" t="s">
        <v>32</v>
      </c>
      <c r="Y302" s="3" t="str">
        <f t="shared" si="95"/>
        <v>Second Class</v>
      </c>
      <c r="Z302">
        <v>9</v>
      </c>
      <c r="AA302">
        <v>3893.74</v>
      </c>
      <c r="AB302">
        <v>0.1</v>
      </c>
      <c r="AC302">
        <f t="shared" si="96"/>
        <v>0.1</v>
      </c>
      <c r="AD302" t="str">
        <f t="shared" si="99"/>
        <v>Valid</v>
      </c>
      <c r="AE302">
        <v>31539.29</v>
      </c>
      <c r="AF302">
        <v>22100.14</v>
      </c>
      <c r="AG302">
        <v>9439.15</v>
      </c>
      <c r="AH302" t="s">
        <v>33</v>
      </c>
      <c r="AI302" t="str">
        <f t="shared" si="100"/>
        <v>Include</v>
      </c>
      <c r="AJ302" t="str">
        <f t="shared" si="101"/>
        <v/>
      </c>
      <c r="AK302" t="s">
        <v>34</v>
      </c>
      <c r="AL302" t="str">
        <f t="shared" si="97"/>
        <v>Completed</v>
      </c>
      <c r="AM302" t="str">
        <f t="shared" si="102"/>
        <v>Include</v>
      </c>
      <c r="AN302">
        <f t="shared" si="103"/>
        <v>31539.293999999998</v>
      </c>
      <c r="AO302">
        <f t="shared" si="104"/>
        <v>9439.1539999999986</v>
      </c>
      <c r="AP302">
        <f>IF(AN302=0,0,AO302/AN302)</f>
        <v>0.29928234918638313</v>
      </c>
      <c r="AQ302" t="str">
        <f t="shared" si="105"/>
        <v>April</v>
      </c>
      <c r="AR302">
        <f t="shared" si="106"/>
        <v>2024</v>
      </c>
      <c r="AS302" t="str">
        <f t="shared" si="107"/>
        <v>Clean</v>
      </c>
      <c r="AT302" t="str">
        <f>IF(OR(AC302&lt;0,AC302&gt;0.5),"Invalid Discount","Valid")</f>
        <v>Valid</v>
      </c>
      <c r="AU302" t="str">
        <f>IF(G302&lt;E302,"Invalid Shipping Record","Valid")</f>
        <v>Valid</v>
      </c>
      <c r="AV302" t="str">
        <f>IF(OR(AL302="Cancelled",AH302="Failed"),"Exclude","Include")</f>
        <v>Include</v>
      </c>
      <c r="AW302" t="str">
        <f t="shared" si="108"/>
        <v>Match</v>
      </c>
      <c r="AX302" t="str">
        <f t="shared" si="109"/>
        <v>Match</v>
      </c>
    </row>
    <row r="303" spans="1:50">
      <c r="A303" t="s">
        <v>1543</v>
      </c>
      <c r="B303">
        <f t="shared" si="110"/>
        <v>1</v>
      </c>
      <c r="C303" t="str">
        <f t="shared" si="98"/>
        <v/>
      </c>
      <c r="D303" s="3" t="s">
        <v>1017</v>
      </c>
      <c r="E303" s="7">
        <v>45805</v>
      </c>
      <c r="F303" s="3" t="s">
        <v>1544</v>
      </c>
      <c r="G303" s="7">
        <v>45809</v>
      </c>
      <c r="H303" s="7" t="str">
        <f t="shared" si="89"/>
        <v>Valid</v>
      </c>
      <c r="I303" s="9">
        <f t="shared" si="90"/>
        <v>4</v>
      </c>
      <c r="J303" s="9" t="str">
        <f t="shared" si="91"/>
        <v>Valid</v>
      </c>
      <c r="K303" t="s">
        <v>1545</v>
      </c>
      <c r="L303" t="s">
        <v>52</v>
      </c>
      <c r="M303" t="s">
        <v>52</v>
      </c>
      <c r="N303" t="s">
        <v>114</v>
      </c>
      <c r="O303" s="3" t="str">
        <f t="shared" si="92"/>
        <v>Home Office</v>
      </c>
      <c r="P303" t="s">
        <v>41</v>
      </c>
      <c r="Q303" s="3" t="str">
        <f t="shared" si="93"/>
        <v>East</v>
      </c>
      <c r="R303" t="s">
        <v>185</v>
      </c>
      <c r="S303" t="s">
        <v>186</v>
      </c>
      <c r="T303" t="s">
        <v>85</v>
      </c>
      <c r="U303" s="3" t="str">
        <f t="shared" si="94"/>
        <v>Technology</v>
      </c>
      <c r="V303" t="s">
        <v>222</v>
      </c>
      <c r="W303" t="s">
        <v>1546</v>
      </c>
      <c r="X303" t="s">
        <v>47</v>
      </c>
      <c r="Y303" s="3" t="str">
        <f t="shared" si="95"/>
        <v>Same Day</v>
      </c>
      <c r="Z303">
        <v>4</v>
      </c>
      <c r="AA303">
        <v>1654.11</v>
      </c>
      <c r="AB303">
        <v>0.05</v>
      </c>
      <c r="AC303">
        <f t="shared" si="96"/>
        <v>0.05</v>
      </c>
      <c r="AD303" t="str">
        <f t="shared" si="99"/>
        <v>Valid</v>
      </c>
      <c r="AE303">
        <v>6285.62</v>
      </c>
      <c r="AF303">
        <v>3705.38</v>
      </c>
      <c r="AG303">
        <v>2580.2399999999998</v>
      </c>
      <c r="AH303" t="s">
        <v>33</v>
      </c>
      <c r="AI303" t="str">
        <f t="shared" si="100"/>
        <v>Include</v>
      </c>
      <c r="AJ303" t="str">
        <f t="shared" si="101"/>
        <v/>
      </c>
      <c r="AK303" t="s">
        <v>34</v>
      </c>
      <c r="AL303" t="str">
        <f t="shared" si="97"/>
        <v>Completed</v>
      </c>
      <c r="AM303" t="str">
        <f t="shared" si="102"/>
        <v>Include</v>
      </c>
      <c r="AN303">
        <f t="shared" si="103"/>
        <v>6285.6179999999995</v>
      </c>
      <c r="AO303">
        <f t="shared" si="104"/>
        <v>2580.2379999999994</v>
      </c>
      <c r="AP303">
        <f>IF(AN303=0,0,AO303/AN303)</f>
        <v>0.41049869718458865</v>
      </c>
      <c r="AQ303" t="str">
        <f t="shared" si="105"/>
        <v>May</v>
      </c>
      <c r="AR303">
        <f t="shared" si="106"/>
        <v>2025</v>
      </c>
      <c r="AS303" t="str">
        <f t="shared" si="107"/>
        <v>Clean</v>
      </c>
      <c r="AT303" t="str">
        <f>IF(OR(AC303&lt;0,AC303&gt;0.5),"Invalid Discount","Valid")</f>
        <v>Valid</v>
      </c>
      <c r="AU303" t="str">
        <f>IF(G303&lt;E303,"Invalid Shipping Record","Valid")</f>
        <v>Valid</v>
      </c>
      <c r="AV303" t="str">
        <f>IF(OR(AL303="Cancelled",AH303="Failed"),"Exclude","Include")</f>
        <v>Include</v>
      </c>
      <c r="AW303" t="str">
        <f t="shared" si="108"/>
        <v>Match</v>
      </c>
      <c r="AX303" t="str">
        <f t="shared" si="109"/>
        <v>Match</v>
      </c>
    </row>
    <row r="304" spans="1:50">
      <c r="A304" t="s">
        <v>1547</v>
      </c>
      <c r="B304">
        <f t="shared" si="110"/>
        <v>1</v>
      </c>
      <c r="C304" t="str">
        <f t="shared" si="98"/>
        <v/>
      </c>
      <c r="D304" s="3" t="s">
        <v>1388</v>
      </c>
      <c r="E304" s="7">
        <v>45812</v>
      </c>
      <c r="F304" s="3" t="s">
        <v>1548</v>
      </c>
      <c r="G304" s="7">
        <v>45820</v>
      </c>
      <c r="H304" s="7" t="str">
        <f t="shared" si="89"/>
        <v>Valid</v>
      </c>
      <c r="I304" s="9">
        <f t="shared" si="90"/>
        <v>8</v>
      </c>
      <c r="J304" s="9" t="str">
        <f t="shared" si="91"/>
        <v>Valid</v>
      </c>
      <c r="K304" t="s">
        <v>1549</v>
      </c>
      <c r="L304" t="s">
        <v>92</v>
      </c>
      <c r="M304" t="s">
        <v>92</v>
      </c>
      <c r="N304" t="s">
        <v>25</v>
      </c>
      <c r="O304" s="3" t="str">
        <f t="shared" si="92"/>
        <v>Consumer</v>
      </c>
      <c r="P304" t="s">
        <v>72</v>
      </c>
      <c r="Q304" s="3" t="str">
        <f t="shared" si="93"/>
        <v>West</v>
      </c>
      <c r="R304" t="s">
        <v>248</v>
      </c>
      <c r="S304" t="s">
        <v>249</v>
      </c>
      <c r="T304" t="s">
        <v>917</v>
      </c>
      <c r="U304" s="3" t="str">
        <f t="shared" si="94"/>
        <v>Office Supplies</v>
      </c>
      <c r="V304" t="s">
        <v>155</v>
      </c>
      <c r="W304" t="s">
        <v>1550</v>
      </c>
      <c r="X304" t="s">
        <v>47</v>
      </c>
      <c r="Y304" s="3" t="str">
        <f t="shared" si="95"/>
        <v>Same Day</v>
      </c>
      <c r="Z304">
        <v>2</v>
      </c>
      <c r="AA304">
        <v>2703.28</v>
      </c>
      <c r="AB304">
        <v>0.25</v>
      </c>
      <c r="AC304">
        <f t="shared" si="96"/>
        <v>0.25</v>
      </c>
      <c r="AD304" t="str">
        <f t="shared" si="99"/>
        <v>Valid</v>
      </c>
      <c r="AE304">
        <v>4054.92</v>
      </c>
      <c r="AF304">
        <v>2424.83</v>
      </c>
      <c r="AG304">
        <v>1630.09</v>
      </c>
      <c r="AH304" t="s">
        <v>33</v>
      </c>
      <c r="AI304" t="str">
        <f t="shared" si="100"/>
        <v>Include</v>
      </c>
      <c r="AJ304" t="str">
        <f t="shared" si="101"/>
        <v/>
      </c>
      <c r="AK304" t="s">
        <v>34</v>
      </c>
      <c r="AL304" t="str">
        <f t="shared" si="97"/>
        <v>Completed</v>
      </c>
      <c r="AM304" t="str">
        <f t="shared" si="102"/>
        <v>Include</v>
      </c>
      <c r="AN304">
        <f t="shared" si="103"/>
        <v>4054.92</v>
      </c>
      <c r="AO304">
        <f t="shared" si="104"/>
        <v>1630.0900000000001</v>
      </c>
      <c r="AP304">
        <f>IF(AN304=0,0,AO304/AN304)</f>
        <v>0.40200299882611745</v>
      </c>
      <c r="AQ304" t="str">
        <f t="shared" si="105"/>
        <v>June</v>
      </c>
      <c r="AR304">
        <f t="shared" si="106"/>
        <v>2025</v>
      </c>
      <c r="AS304" t="str">
        <f t="shared" si="107"/>
        <v>Clean</v>
      </c>
      <c r="AT304" t="str">
        <f>IF(OR(AC304&lt;0,AC304&gt;0.5),"Invalid Discount","Valid")</f>
        <v>Valid</v>
      </c>
      <c r="AU304" t="str">
        <f>IF(G304&lt;E304,"Invalid Shipping Record","Valid")</f>
        <v>Valid</v>
      </c>
      <c r="AV304" t="str">
        <f>IF(OR(AL304="Cancelled",AH304="Failed"),"Exclude","Include")</f>
        <v>Include</v>
      </c>
      <c r="AW304" t="str">
        <f t="shared" si="108"/>
        <v>Match</v>
      </c>
      <c r="AX304" t="str">
        <f t="shared" si="109"/>
        <v>Match</v>
      </c>
    </row>
    <row r="305" spans="1:50">
      <c r="A305" t="s">
        <v>1551</v>
      </c>
      <c r="B305">
        <f t="shared" si="110"/>
        <v>1</v>
      </c>
      <c r="C305" t="str">
        <f t="shared" si="98"/>
        <v/>
      </c>
      <c r="D305" s="3" t="s">
        <v>1552</v>
      </c>
      <c r="E305" s="7">
        <v>45466</v>
      </c>
      <c r="F305" s="3" t="s">
        <v>1042</v>
      </c>
      <c r="G305" s="7">
        <v>45471</v>
      </c>
      <c r="H305" s="7" t="str">
        <f t="shared" si="89"/>
        <v>Valid</v>
      </c>
      <c r="I305" s="9">
        <f t="shared" si="90"/>
        <v>5</v>
      </c>
      <c r="J305" s="9" t="str">
        <f t="shared" si="91"/>
        <v>Valid</v>
      </c>
      <c r="K305" t="s">
        <v>1553</v>
      </c>
      <c r="L305" t="s">
        <v>209</v>
      </c>
      <c r="M305" t="s">
        <v>209</v>
      </c>
      <c r="N305" t="s">
        <v>114</v>
      </c>
      <c r="O305" s="3" t="str">
        <f t="shared" si="92"/>
        <v>Home Office</v>
      </c>
      <c r="P305" t="s">
        <v>72</v>
      </c>
      <c r="Q305" s="3" t="str">
        <f t="shared" si="93"/>
        <v>West</v>
      </c>
      <c r="R305" t="s">
        <v>234</v>
      </c>
      <c r="S305" t="s">
        <v>235</v>
      </c>
      <c r="T305" t="s">
        <v>44</v>
      </c>
      <c r="U305" s="3" t="str">
        <f t="shared" si="94"/>
        <v>Furniture</v>
      </c>
      <c r="V305" t="s">
        <v>75</v>
      </c>
      <c r="W305" t="s">
        <v>1554</v>
      </c>
      <c r="X305" t="s">
        <v>66</v>
      </c>
      <c r="Y305" s="3" t="str">
        <f t="shared" si="95"/>
        <v>Standard Class</v>
      </c>
      <c r="Z305">
        <v>2</v>
      </c>
      <c r="AA305">
        <v>1313.14</v>
      </c>
      <c r="AB305">
        <v>0.1</v>
      </c>
      <c r="AC305">
        <f t="shared" si="96"/>
        <v>0.1</v>
      </c>
      <c r="AD305" t="str">
        <f t="shared" si="99"/>
        <v>Valid</v>
      </c>
      <c r="AE305">
        <v>2363.65</v>
      </c>
      <c r="AF305">
        <v>1876.1</v>
      </c>
      <c r="AG305">
        <v>487.55</v>
      </c>
      <c r="AH305" t="s">
        <v>136</v>
      </c>
      <c r="AI305" t="str">
        <f t="shared" si="100"/>
        <v>Include</v>
      </c>
      <c r="AJ305" t="str">
        <f t="shared" si="101"/>
        <v/>
      </c>
      <c r="AK305" t="s">
        <v>124</v>
      </c>
      <c r="AL305" t="str">
        <f t="shared" si="97"/>
        <v>Returned</v>
      </c>
      <c r="AM305" t="str">
        <f t="shared" si="102"/>
        <v>Include</v>
      </c>
      <c r="AN305">
        <f t="shared" si="103"/>
        <v>2363.652</v>
      </c>
      <c r="AO305">
        <f t="shared" si="104"/>
        <v>487.55200000000013</v>
      </c>
      <c r="AP305">
        <f>IF(AN305=0,0,AO305/AN305)</f>
        <v>0.20627063544041174</v>
      </c>
      <c r="AQ305" t="str">
        <f t="shared" si="105"/>
        <v>June</v>
      </c>
      <c r="AR305">
        <f t="shared" si="106"/>
        <v>2024</v>
      </c>
      <c r="AS305" t="str">
        <f t="shared" si="107"/>
        <v>Clean</v>
      </c>
      <c r="AT305" t="str">
        <f>IF(OR(AC305&lt;0,AC305&gt;0.5),"Invalid Discount","Valid")</f>
        <v>Valid</v>
      </c>
      <c r="AU305" t="str">
        <f>IF(G305&lt;E305,"Invalid Shipping Record","Valid")</f>
        <v>Valid</v>
      </c>
      <c r="AV305" t="str">
        <f>IF(OR(AL305="Cancelled",AH305="Failed"),"Exclude","Include")</f>
        <v>Include</v>
      </c>
      <c r="AW305" t="str">
        <f t="shared" si="108"/>
        <v>Match</v>
      </c>
      <c r="AX305" t="str">
        <f t="shared" si="109"/>
        <v>Match</v>
      </c>
    </row>
    <row r="306" spans="1:50">
      <c r="A306" t="s">
        <v>1555</v>
      </c>
      <c r="B306">
        <f t="shared" si="110"/>
        <v>1</v>
      </c>
      <c r="C306" t="str">
        <f t="shared" si="98"/>
        <v/>
      </c>
      <c r="D306" s="3" t="s">
        <v>1556</v>
      </c>
      <c r="E306" s="7">
        <v>45357</v>
      </c>
      <c r="F306" s="3" t="s">
        <v>1557</v>
      </c>
      <c r="G306" s="7">
        <v>45364</v>
      </c>
      <c r="H306" s="7" t="str">
        <f t="shared" si="89"/>
        <v>Valid</v>
      </c>
      <c r="I306" s="9">
        <f t="shared" si="90"/>
        <v>7</v>
      </c>
      <c r="J306" s="9" t="str">
        <f t="shared" si="91"/>
        <v>Valid</v>
      </c>
      <c r="K306" t="s">
        <v>1558</v>
      </c>
      <c r="L306" t="s">
        <v>24</v>
      </c>
      <c r="M306" t="s">
        <v>24</v>
      </c>
      <c r="N306" t="s">
        <v>25</v>
      </c>
      <c r="O306" s="3" t="str">
        <f t="shared" si="92"/>
        <v>Consumer</v>
      </c>
      <c r="P306" t="s">
        <v>26</v>
      </c>
      <c r="Q306" s="3" t="str">
        <f t="shared" si="93"/>
        <v>North</v>
      </c>
      <c r="R306" t="s">
        <v>153</v>
      </c>
      <c r="S306" t="s">
        <v>154</v>
      </c>
      <c r="T306" t="s">
        <v>44</v>
      </c>
      <c r="U306" s="3" t="str">
        <f t="shared" si="94"/>
        <v>Furniture</v>
      </c>
      <c r="V306" t="s">
        <v>64</v>
      </c>
      <c r="W306" t="s">
        <v>1559</v>
      </c>
      <c r="X306" t="s">
        <v>66</v>
      </c>
      <c r="Y306" s="3" t="str">
        <f t="shared" si="95"/>
        <v>Standard Class</v>
      </c>
      <c r="Z306">
        <v>6</v>
      </c>
      <c r="AA306">
        <v>2403.0500000000002</v>
      </c>
      <c r="AB306">
        <v>0.1</v>
      </c>
      <c r="AC306">
        <f t="shared" si="96"/>
        <v>0.1</v>
      </c>
      <c r="AD306" t="str">
        <f t="shared" si="99"/>
        <v>Valid</v>
      </c>
      <c r="AE306">
        <v>12976.47</v>
      </c>
      <c r="AF306">
        <v>10019.98</v>
      </c>
      <c r="AG306">
        <v>2956.49</v>
      </c>
      <c r="AH306" t="s">
        <v>33</v>
      </c>
      <c r="AI306" t="str">
        <f t="shared" si="100"/>
        <v>Include</v>
      </c>
      <c r="AJ306" t="str">
        <f t="shared" si="101"/>
        <v/>
      </c>
      <c r="AK306" t="s">
        <v>34</v>
      </c>
      <c r="AL306" t="str">
        <f t="shared" si="97"/>
        <v>Completed</v>
      </c>
      <c r="AM306" t="str">
        <f t="shared" si="102"/>
        <v>Include</v>
      </c>
      <c r="AN306">
        <f t="shared" si="103"/>
        <v>12976.470000000001</v>
      </c>
      <c r="AO306">
        <f t="shared" si="104"/>
        <v>2956.4900000000016</v>
      </c>
      <c r="AP306">
        <f>IF(AN306=0,0,AO306/AN306)</f>
        <v>0.22783468847845378</v>
      </c>
      <c r="AQ306" t="str">
        <f t="shared" si="105"/>
        <v>March</v>
      </c>
      <c r="AR306">
        <f t="shared" si="106"/>
        <v>2024</v>
      </c>
      <c r="AS306" t="str">
        <f t="shared" si="107"/>
        <v>Clean</v>
      </c>
      <c r="AT306" t="str">
        <f>IF(OR(AC306&lt;0,AC306&gt;0.5),"Invalid Discount","Valid")</f>
        <v>Valid</v>
      </c>
      <c r="AU306" t="str">
        <f>IF(G306&lt;E306,"Invalid Shipping Record","Valid")</f>
        <v>Valid</v>
      </c>
      <c r="AV306" t="str">
        <f>IF(OR(AL306="Cancelled",AH306="Failed"),"Exclude","Include")</f>
        <v>Include</v>
      </c>
      <c r="AW306" t="str">
        <f t="shared" si="108"/>
        <v>Match</v>
      </c>
      <c r="AX306" t="str">
        <f t="shared" si="109"/>
        <v>Match</v>
      </c>
    </row>
    <row r="307" spans="1:50">
      <c r="A307" t="s">
        <v>1560</v>
      </c>
      <c r="B307">
        <f t="shared" si="110"/>
        <v>1</v>
      </c>
      <c r="C307" t="str">
        <f t="shared" si="98"/>
        <v/>
      </c>
      <c r="D307" s="3" t="s">
        <v>1561</v>
      </c>
      <c r="E307" s="7">
        <v>45413</v>
      </c>
      <c r="F307" s="3" t="s">
        <v>1224</v>
      </c>
      <c r="G307" s="7">
        <v>45414</v>
      </c>
      <c r="H307" s="7" t="str">
        <f t="shared" si="89"/>
        <v>Valid</v>
      </c>
      <c r="I307" s="9">
        <f t="shared" si="90"/>
        <v>1</v>
      </c>
      <c r="J307" s="9" t="str">
        <f t="shared" si="91"/>
        <v>Valid</v>
      </c>
      <c r="K307" t="s">
        <v>1562</v>
      </c>
      <c r="L307" t="s">
        <v>71</v>
      </c>
      <c r="M307" t="s">
        <v>71</v>
      </c>
      <c r="N307" t="s">
        <v>25</v>
      </c>
      <c r="O307" s="3" t="str">
        <f t="shared" si="92"/>
        <v>Consumer</v>
      </c>
      <c r="P307" t="s">
        <v>41</v>
      </c>
      <c r="Q307" s="3" t="str">
        <f t="shared" si="93"/>
        <v>East</v>
      </c>
      <c r="R307" t="s">
        <v>215</v>
      </c>
      <c r="S307" t="s">
        <v>216</v>
      </c>
      <c r="T307" t="s">
        <v>44</v>
      </c>
      <c r="U307" s="3" t="str">
        <f t="shared" si="94"/>
        <v>Furniture</v>
      </c>
      <c r="V307" t="s">
        <v>75</v>
      </c>
      <c r="W307" t="s">
        <v>1563</v>
      </c>
      <c r="X307" t="s">
        <v>55</v>
      </c>
      <c r="Y307" s="3" t="str">
        <f t="shared" si="95"/>
        <v>First Class</v>
      </c>
      <c r="Z307">
        <v>4</v>
      </c>
      <c r="AA307">
        <v>4156.0600000000004</v>
      </c>
      <c r="AB307">
        <v>0.55000000000000004</v>
      </c>
      <c r="AC307">
        <f t="shared" si="96"/>
        <v>0.55000000000000004</v>
      </c>
      <c r="AD307" t="str">
        <f t="shared" si="99"/>
        <v>Valid</v>
      </c>
      <c r="AE307">
        <v>13299.39</v>
      </c>
      <c r="AF307">
        <v>9851.91</v>
      </c>
      <c r="AG307">
        <v>3447.48</v>
      </c>
      <c r="AH307" t="s">
        <v>33</v>
      </c>
      <c r="AI307" t="str">
        <f t="shared" si="100"/>
        <v>Exclude</v>
      </c>
      <c r="AJ307" t="str">
        <f t="shared" si="101"/>
        <v/>
      </c>
      <c r="AK307" t="s">
        <v>77</v>
      </c>
      <c r="AL307" t="str">
        <f t="shared" si="97"/>
        <v>Cancelled</v>
      </c>
      <c r="AM307" t="str">
        <f t="shared" si="102"/>
        <v>Exclude</v>
      </c>
      <c r="AN307">
        <f t="shared" si="103"/>
        <v>7480.9080000000004</v>
      </c>
      <c r="AO307">
        <f t="shared" si="104"/>
        <v>-2371.0019999999995</v>
      </c>
      <c r="AP307">
        <f>IF(AN307=0,0,AO307/AN307)</f>
        <v>-0.31694040349112695</v>
      </c>
      <c r="AQ307" t="str">
        <f t="shared" si="105"/>
        <v>May</v>
      </c>
      <c r="AR307">
        <f t="shared" si="106"/>
        <v>2024</v>
      </c>
      <c r="AS307" t="str">
        <f t="shared" si="107"/>
        <v>Clean</v>
      </c>
      <c r="AT307" t="str">
        <f>IF(OR(AC307&lt;0,AC307&gt;0.5),"Invalid Discount","Valid")</f>
        <v>Invalid Discount</v>
      </c>
      <c r="AU307" t="str">
        <f>IF(G307&lt;E307,"Invalid Shipping Record","Valid")</f>
        <v>Valid</v>
      </c>
      <c r="AV307" t="str">
        <f>IF(OR(AL307="Cancelled",AH307="Failed"),"Exclude","Include")</f>
        <v>Exclude</v>
      </c>
      <c r="AW307" t="str">
        <f t="shared" si="108"/>
        <v>Mismatch</v>
      </c>
      <c r="AX307" t="str">
        <f t="shared" si="109"/>
        <v>Mismatch</v>
      </c>
    </row>
    <row r="308" spans="1:50">
      <c r="A308" t="s">
        <v>1564</v>
      </c>
      <c r="B308">
        <f t="shared" si="110"/>
        <v>1</v>
      </c>
      <c r="C308" t="str">
        <f t="shared" si="98"/>
        <v/>
      </c>
      <c r="D308" s="3" t="s">
        <v>1565</v>
      </c>
      <c r="E308" s="7">
        <v>45708</v>
      </c>
      <c r="F308" s="3" t="s">
        <v>96</v>
      </c>
      <c r="G308" s="7">
        <v>45711</v>
      </c>
      <c r="H308" s="7" t="str">
        <f t="shared" si="89"/>
        <v>Valid</v>
      </c>
      <c r="I308" s="9">
        <f t="shared" si="90"/>
        <v>3</v>
      </c>
      <c r="J308" s="9" t="str">
        <f t="shared" si="91"/>
        <v>Valid</v>
      </c>
      <c r="K308" t="s">
        <v>1566</v>
      </c>
      <c r="L308" t="s">
        <v>161</v>
      </c>
      <c r="M308" t="s">
        <v>161</v>
      </c>
      <c r="N308" t="s">
        <v>25</v>
      </c>
      <c r="O308" s="3" t="str">
        <f t="shared" si="92"/>
        <v>Consumer</v>
      </c>
      <c r="P308" t="s">
        <v>26</v>
      </c>
      <c r="Q308" s="3" t="str">
        <f t="shared" si="93"/>
        <v>North</v>
      </c>
      <c r="R308" t="s">
        <v>27</v>
      </c>
      <c r="S308" t="s">
        <v>28</v>
      </c>
      <c r="T308" t="s">
        <v>85</v>
      </c>
      <c r="U308" s="3" t="str">
        <f t="shared" si="94"/>
        <v>Technology</v>
      </c>
      <c r="V308" t="s">
        <v>222</v>
      </c>
      <c r="W308" t="s">
        <v>1567</v>
      </c>
      <c r="X308" t="s">
        <v>32</v>
      </c>
      <c r="Y308" s="3" t="str">
        <f t="shared" si="95"/>
        <v>Second Class</v>
      </c>
      <c r="Z308">
        <v>4</v>
      </c>
      <c r="AA308">
        <v>3673.11</v>
      </c>
      <c r="AB308">
        <v>0</v>
      </c>
      <c r="AC308">
        <f t="shared" si="96"/>
        <v>0</v>
      </c>
      <c r="AD308" t="str">
        <f t="shared" si="99"/>
        <v>Valid</v>
      </c>
      <c r="AE308">
        <v>14692.44</v>
      </c>
      <c r="AF308">
        <v>10082.19</v>
      </c>
      <c r="AG308">
        <v>4610.25</v>
      </c>
      <c r="AH308" t="s">
        <v>33</v>
      </c>
      <c r="AI308" t="str">
        <f t="shared" si="100"/>
        <v>Include</v>
      </c>
      <c r="AJ308" t="str">
        <f t="shared" si="101"/>
        <v/>
      </c>
      <c r="AK308" t="s">
        <v>34</v>
      </c>
      <c r="AL308" t="str">
        <f t="shared" si="97"/>
        <v>Completed</v>
      </c>
      <c r="AM308" t="str">
        <f t="shared" si="102"/>
        <v>Include</v>
      </c>
      <c r="AN308">
        <f t="shared" si="103"/>
        <v>14692.44</v>
      </c>
      <c r="AO308">
        <f t="shared" si="104"/>
        <v>4610.25</v>
      </c>
      <c r="AP308">
        <f>IF(AN308=0,0,AO308/AN308)</f>
        <v>0.31378382351740075</v>
      </c>
      <c r="AQ308" t="str">
        <f t="shared" si="105"/>
        <v>February</v>
      </c>
      <c r="AR308">
        <f t="shared" si="106"/>
        <v>2025</v>
      </c>
      <c r="AS308" t="str">
        <f t="shared" si="107"/>
        <v>Clean</v>
      </c>
      <c r="AT308" t="str">
        <f>IF(OR(AC308&lt;0,AC308&gt;0.5),"Invalid Discount","Valid")</f>
        <v>Valid</v>
      </c>
      <c r="AU308" t="str">
        <f>IF(G308&lt;E308,"Invalid Shipping Record","Valid")</f>
        <v>Valid</v>
      </c>
      <c r="AV308" t="str">
        <f>IF(OR(AL308="Cancelled",AH308="Failed"),"Exclude","Include")</f>
        <v>Include</v>
      </c>
      <c r="AW308" t="str">
        <f t="shared" si="108"/>
        <v>Match</v>
      </c>
      <c r="AX308" t="str">
        <f t="shared" si="109"/>
        <v>Match</v>
      </c>
    </row>
    <row r="309" spans="1:50">
      <c r="A309" t="s">
        <v>1568</v>
      </c>
      <c r="B309">
        <f t="shared" si="110"/>
        <v>1</v>
      </c>
      <c r="C309" t="str">
        <f t="shared" si="98"/>
        <v/>
      </c>
      <c r="D309" s="3" t="s">
        <v>1569</v>
      </c>
      <c r="E309" s="7">
        <v>45850</v>
      </c>
      <c r="F309" s="3" t="s">
        <v>1570</v>
      </c>
      <c r="G309" s="7">
        <v>45857</v>
      </c>
      <c r="H309" s="7" t="str">
        <f t="shared" si="89"/>
        <v>Valid</v>
      </c>
      <c r="I309" s="9">
        <f t="shared" si="90"/>
        <v>7</v>
      </c>
      <c r="J309" s="9" t="str">
        <f t="shared" si="91"/>
        <v>Valid</v>
      </c>
      <c r="K309" t="s">
        <v>1571</v>
      </c>
      <c r="L309" t="s">
        <v>71</v>
      </c>
      <c r="M309" t="s">
        <v>71</v>
      </c>
      <c r="N309" t="s">
        <v>107</v>
      </c>
      <c r="O309" s="3" t="str">
        <f t="shared" si="92"/>
        <v>Corporate</v>
      </c>
      <c r="P309" t="s">
        <v>26</v>
      </c>
      <c r="Q309" s="3" t="str">
        <f t="shared" si="93"/>
        <v>North</v>
      </c>
      <c r="R309" t="s">
        <v>173</v>
      </c>
      <c r="S309" t="s">
        <v>174</v>
      </c>
      <c r="T309" t="s">
        <v>44</v>
      </c>
      <c r="U309" s="3" t="str">
        <f t="shared" si="94"/>
        <v>Furniture</v>
      </c>
      <c r="V309" t="s">
        <v>45</v>
      </c>
      <c r="W309" t="s">
        <v>1572</v>
      </c>
      <c r="X309" t="s">
        <v>55</v>
      </c>
      <c r="Y309" s="3" t="str">
        <f t="shared" si="95"/>
        <v>First Class</v>
      </c>
      <c r="Z309">
        <v>9</v>
      </c>
      <c r="AA309">
        <v>4093.04</v>
      </c>
      <c r="AB309">
        <v>0.2</v>
      </c>
      <c r="AC309">
        <f t="shared" si="96"/>
        <v>0.2</v>
      </c>
      <c r="AD309" t="str">
        <f t="shared" si="99"/>
        <v>Valid</v>
      </c>
      <c r="AE309">
        <v>29469.89</v>
      </c>
      <c r="AF309">
        <v>18935.509999999998</v>
      </c>
      <c r="AG309">
        <v>10534.38</v>
      </c>
      <c r="AH309" t="s">
        <v>1573</v>
      </c>
      <c r="AI309" t="str">
        <f t="shared" si="100"/>
        <v>Exclude</v>
      </c>
      <c r="AJ309" t="str">
        <f t="shared" si="101"/>
        <v/>
      </c>
      <c r="AK309" t="s">
        <v>77</v>
      </c>
      <c r="AL309" t="str">
        <f t="shared" si="97"/>
        <v>Cancelled</v>
      </c>
      <c r="AM309" t="str">
        <f t="shared" si="102"/>
        <v>Exclude</v>
      </c>
      <c r="AN309">
        <f t="shared" si="103"/>
        <v>29469.888000000003</v>
      </c>
      <c r="AO309">
        <f t="shared" si="104"/>
        <v>10534.378000000004</v>
      </c>
      <c r="AP309">
        <f>IF(AN309=0,0,AO309/AN309)</f>
        <v>0.3574624375905332</v>
      </c>
      <c r="AQ309" t="str">
        <f t="shared" si="105"/>
        <v>July</v>
      </c>
      <c r="AR309">
        <f t="shared" si="106"/>
        <v>2025</v>
      </c>
      <c r="AS309" t="str">
        <f t="shared" si="107"/>
        <v>Clean</v>
      </c>
      <c r="AT309" t="str">
        <f>IF(OR(AC309&lt;0,AC309&gt;0.5),"Invalid Discount","Valid")</f>
        <v>Valid</v>
      </c>
      <c r="AU309" t="str">
        <f>IF(G309&lt;E309,"Invalid Shipping Record","Valid")</f>
        <v>Valid</v>
      </c>
      <c r="AV309" t="str">
        <f>IF(OR(AL309="Cancelled",AH309="Failed"),"Exclude","Include")</f>
        <v>Exclude</v>
      </c>
      <c r="AW309" t="str">
        <f t="shared" si="108"/>
        <v>Match</v>
      </c>
      <c r="AX309" t="str">
        <f t="shared" si="109"/>
        <v>Match</v>
      </c>
    </row>
    <row r="310" spans="1:50">
      <c r="A310" t="s">
        <v>1574</v>
      </c>
      <c r="B310">
        <f t="shared" si="110"/>
        <v>1</v>
      </c>
      <c r="C310" t="str">
        <f t="shared" si="98"/>
        <v/>
      </c>
      <c r="D310" s="3" t="s">
        <v>1575</v>
      </c>
      <c r="E310" s="7">
        <v>45821</v>
      </c>
      <c r="F310" s="3" t="s">
        <v>1576</v>
      </c>
      <c r="G310" s="7">
        <v>45827</v>
      </c>
      <c r="H310" s="7" t="str">
        <f t="shared" si="89"/>
        <v>Valid</v>
      </c>
      <c r="I310" s="9">
        <f t="shared" si="90"/>
        <v>6</v>
      </c>
      <c r="J310" s="9" t="str">
        <f t="shared" si="91"/>
        <v>Valid</v>
      </c>
      <c r="K310" t="s">
        <v>1577</v>
      </c>
      <c r="L310" t="s">
        <v>179</v>
      </c>
      <c r="M310" t="s">
        <v>179</v>
      </c>
      <c r="N310" t="s">
        <v>25</v>
      </c>
      <c r="O310" s="3" t="str">
        <f t="shared" si="92"/>
        <v>Consumer</v>
      </c>
      <c r="P310" t="s">
        <v>26</v>
      </c>
      <c r="Q310" s="3" t="str">
        <f t="shared" si="93"/>
        <v>North</v>
      </c>
      <c r="R310" t="s">
        <v>27</v>
      </c>
      <c r="S310" t="s">
        <v>28</v>
      </c>
      <c r="T310" t="s">
        <v>44</v>
      </c>
      <c r="U310" s="3" t="str">
        <f t="shared" si="94"/>
        <v>Furniture</v>
      </c>
      <c r="V310" t="s">
        <v>45</v>
      </c>
      <c r="W310" t="s">
        <v>1578</v>
      </c>
      <c r="X310" t="s">
        <v>55</v>
      </c>
      <c r="Y310" s="3" t="str">
        <f t="shared" si="95"/>
        <v>First Class</v>
      </c>
      <c r="Z310">
        <v>4</v>
      </c>
      <c r="AA310">
        <v>731.57</v>
      </c>
      <c r="AB310">
        <v>0.2</v>
      </c>
      <c r="AC310">
        <f t="shared" si="96"/>
        <v>0.2</v>
      </c>
      <c r="AD310" t="str">
        <f t="shared" si="99"/>
        <v>Valid</v>
      </c>
      <c r="AE310">
        <v>2341.02</v>
      </c>
      <c r="AF310">
        <v>1565.49</v>
      </c>
      <c r="AG310">
        <v>775.53</v>
      </c>
      <c r="AH310" t="s">
        <v>33</v>
      </c>
      <c r="AI310" t="str">
        <f t="shared" si="100"/>
        <v>Include</v>
      </c>
      <c r="AJ310" t="str">
        <f t="shared" si="101"/>
        <v/>
      </c>
      <c r="AK310" t="s">
        <v>34</v>
      </c>
      <c r="AL310" t="str">
        <f t="shared" si="97"/>
        <v>Completed</v>
      </c>
      <c r="AM310" t="str">
        <f t="shared" si="102"/>
        <v>Include</v>
      </c>
      <c r="AN310">
        <f t="shared" si="103"/>
        <v>2341.0240000000003</v>
      </c>
      <c r="AO310">
        <f t="shared" si="104"/>
        <v>775.53400000000033</v>
      </c>
      <c r="AP310">
        <f>IF(AN310=0,0,AO310/AN310)</f>
        <v>0.33127981601213835</v>
      </c>
      <c r="AQ310" t="str">
        <f t="shared" si="105"/>
        <v>June</v>
      </c>
      <c r="AR310">
        <f t="shared" si="106"/>
        <v>2025</v>
      </c>
      <c r="AS310" t="str">
        <f t="shared" si="107"/>
        <v>Clean</v>
      </c>
      <c r="AT310" t="str">
        <f>IF(OR(AC310&lt;0,AC310&gt;0.5),"Invalid Discount","Valid")</f>
        <v>Valid</v>
      </c>
      <c r="AU310" t="str">
        <f>IF(G310&lt;E310,"Invalid Shipping Record","Valid")</f>
        <v>Valid</v>
      </c>
      <c r="AV310" t="str">
        <f>IF(OR(AL310="Cancelled",AH310="Failed"),"Exclude","Include")</f>
        <v>Include</v>
      </c>
      <c r="AW310" t="str">
        <f t="shared" si="108"/>
        <v>Match</v>
      </c>
      <c r="AX310" t="str">
        <f t="shared" si="109"/>
        <v>Match</v>
      </c>
    </row>
    <row r="311" spans="1:50">
      <c r="A311" t="s">
        <v>1579</v>
      </c>
      <c r="B311">
        <f t="shared" si="110"/>
        <v>1</v>
      </c>
      <c r="C311" t="str">
        <f t="shared" si="98"/>
        <v/>
      </c>
      <c r="D311" s="3" t="s">
        <v>1580</v>
      </c>
      <c r="E311" s="7">
        <v>45493</v>
      </c>
      <c r="F311" s="3" t="s">
        <v>126</v>
      </c>
      <c r="G311" s="7">
        <v>45495</v>
      </c>
      <c r="H311" s="7" t="str">
        <f t="shared" si="89"/>
        <v>Valid</v>
      </c>
      <c r="I311" s="9">
        <f t="shared" si="90"/>
        <v>2</v>
      </c>
      <c r="J311" s="9" t="str">
        <f t="shared" si="91"/>
        <v>Valid</v>
      </c>
      <c r="K311" t="s">
        <v>1581</v>
      </c>
      <c r="L311" t="s">
        <v>71</v>
      </c>
      <c r="M311" t="s">
        <v>71</v>
      </c>
      <c r="N311" t="s">
        <v>25</v>
      </c>
      <c r="O311" s="3" t="str">
        <f t="shared" si="92"/>
        <v>Consumer</v>
      </c>
      <c r="P311" t="s">
        <v>61</v>
      </c>
      <c r="Q311" s="3" t="str">
        <f t="shared" si="93"/>
        <v>South</v>
      </c>
      <c r="R311" t="s">
        <v>338</v>
      </c>
      <c r="S311" t="s">
        <v>339</v>
      </c>
      <c r="T311" t="s">
        <v>44</v>
      </c>
      <c r="U311" s="3" t="str">
        <f t="shared" si="94"/>
        <v>Furniture</v>
      </c>
      <c r="V311" t="s">
        <v>45</v>
      </c>
      <c r="W311" t="s">
        <v>1582</v>
      </c>
      <c r="X311" t="s">
        <v>55</v>
      </c>
      <c r="Y311" s="3" t="str">
        <f t="shared" si="95"/>
        <v>First Class</v>
      </c>
      <c r="Z311">
        <v>7</v>
      </c>
      <c r="AA311">
        <v>2060.73</v>
      </c>
      <c r="AB311">
        <v>0.1</v>
      </c>
      <c r="AC311">
        <f t="shared" si="96"/>
        <v>0.1</v>
      </c>
      <c r="AD311" t="str">
        <f t="shared" si="99"/>
        <v>Valid</v>
      </c>
      <c r="AE311">
        <v>12982.6</v>
      </c>
      <c r="AF311">
        <v>7246.36</v>
      </c>
      <c r="AG311">
        <v>5736.24</v>
      </c>
      <c r="AH311" t="s">
        <v>33</v>
      </c>
      <c r="AI311" t="str">
        <f t="shared" si="100"/>
        <v>Exclude</v>
      </c>
      <c r="AJ311" t="str">
        <f t="shared" si="101"/>
        <v/>
      </c>
      <c r="AK311" t="s">
        <v>77</v>
      </c>
      <c r="AL311" t="str">
        <f t="shared" si="97"/>
        <v>Cancelled</v>
      </c>
      <c r="AM311" t="str">
        <f t="shared" si="102"/>
        <v>Exclude</v>
      </c>
      <c r="AN311">
        <f t="shared" si="103"/>
        <v>12982.599</v>
      </c>
      <c r="AO311">
        <f t="shared" si="104"/>
        <v>5736.2390000000005</v>
      </c>
      <c r="AP311">
        <f>IF(AN311=0,0,AO311/AN311)</f>
        <v>0.441840574448922</v>
      </c>
      <c r="AQ311" t="str">
        <f t="shared" si="105"/>
        <v>July</v>
      </c>
      <c r="AR311">
        <f t="shared" si="106"/>
        <v>2024</v>
      </c>
      <c r="AS311" t="str">
        <f t="shared" si="107"/>
        <v>Clean</v>
      </c>
      <c r="AT311" t="str">
        <f>IF(OR(AC311&lt;0,AC311&gt;0.5),"Invalid Discount","Valid")</f>
        <v>Valid</v>
      </c>
      <c r="AU311" t="str">
        <f>IF(G311&lt;E311,"Invalid Shipping Record","Valid")</f>
        <v>Valid</v>
      </c>
      <c r="AV311" t="str">
        <f>IF(OR(AL311="Cancelled",AH311="Failed"),"Exclude","Include")</f>
        <v>Exclude</v>
      </c>
      <c r="AW311" t="str">
        <f t="shared" si="108"/>
        <v>Match</v>
      </c>
      <c r="AX311" t="str">
        <f t="shared" si="109"/>
        <v>Match</v>
      </c>
    </row>
    <row r="312" spans="1:50">
      <c r="A312" t="s">
        <v>1583</v>
      </c>
      <c r="B312">
        <f t="shared" si="110"/>
        <v>1</v>
      </c>
      <c r="C312" t="str">
        <f t="shared" si="98"/>
        <v/>
      </c>
      <c r="D312" s="3" t="s">
        <v>1584</v>
      </c>
      <c r="E312" s="7">
        <v>45477</v>
      </c>
      <c r="F312" s="3" t="s">
        <v>1585</v>
      </c>
      <c r="G312" s="7">
        <v>45481</v>
      </c>
      <c r="H312" s="7" t="str">
        <f t="shared" si="89"/>
        <v>Valid</v>
      </c>
      <c r="I312" s="9">
        <f t="shared" si="90"/>
        <v>4</v>
      </c>
      <c r="J312" s="9" t="str">
        <f t="shared" si="91"/>
        <v>Valid</v>
      </c>
      <c r="K312" t="s">
        <v>1586</v>
      </c>
      <c r="L312" t="s">
        <v>179</v>
      </c>
      <c r="M312" t="s">
        <v>179</v>
      </c>
      <c r="N312" t="s">
        <v>40</v>
      </c>
      <c r="O312" s="3" t="str">
        <f t="shared" si="92"/>
        <v>Small Business</v>
      </c>
      <c r="P312" t="s">
        <v>61</v>
      </c>
      <c r="Q312" s="3" t="str">
        <f t="shared" si="93"/>
        <v>South</v>
      </c>
      <c r="R312" t="s">
        <v>338</v>
      </c>
      <c r="S312" t="s">
        <v>339</v>
      </c>
      <c r="T312" t="s">
        <v>85</v>
      </c>
      <c r="U312" s="3" t="str">
        <f t="shared" si="94"/>
        <v>Technology</v>
      </c>
      <c r="V312" t="s">
        <v>381</v>
      </c>
      <c r="W312" t="s">
        <v>1587</v>
      </c>
      <c r="X312" t="s">
        <v>55</v>
      </c>
      <c r="Y312" s="3" t="str">
        <f t="shared" si="95"/>
        <v>First Class</v>
      </c>
      <c r="Z312">
        <v>8</v>
      </c>
      <c r="AA312">
        <v>2034.25</v>
      </c>
      <c r="AB312">
        <v>0</v>
      </c>
      <c r="AC312">
        <f t="shared" si="96"/>
        <v>0</v>
      </c>
      <c r="AD312" t="str">
        <f t="shared" si="99"/>
        <v>Valid</v>
      </c>
      <c r="AE312">
        <v>16274</v>
      </c>
      <c r="AF312">
        <v>9424.25</v>
      </c>
      <c r="AG312">
        <v>6849.75</v>
      </c>
      <c r="AH312" t="s">
        <v>33</v>
      </c>
      <c r="AI312" t="str">
        <f t="shared" si="100"/>
        <v>Include</v>
      </c>
      <c r="AJ312" t="str">
        <f t="shared" si="101"/>
        <v/>
      </c>
      <c r="AK312" t="s">
        <v>34</v>
      </c>
      <c r="AL312" t="str">
        <f t="shared" si="97"/>
        <v>Completed</v>
      </c>
      <c r="AM312" t="str">
        <f t="shared" si="102"/>
        <v>Include</v>
      </c>
      <c r="AN312">
        <f t="shared" si="103"/>
        <v>16274</v>
      </c>
      <c r="AO312">
        <f t="shared" si="104"/>
        <v>6849.75</v>
      </c>
      <c r="AP312">
        <f>IF(AN312=0,0,AO312/AN312)</f>
        <v>0.42090143787636719</v>
      </c>
      <c r="AQ312" t="str">
        <f t="shared" si="105"/>
        <v>July</v>
      </c>
      <c r="AR312">
        <f t="shared" si="106"/>
        <v>2024</v>
      </c>
      <c r="AS312" t="str">
        <f t="shared" si="107"/>
        <v>Clean</v>
      </c>
      <c r="AT312" t="str">
        <f>IF(OR(AC312&lt;0,AC312&gt;0.5),"Invalid Discount","Valid")</f>
        <v>Valid</v>
      </c>
      <c r="AU312" t="str">
        <f>IF(G312&lt;E312,"Invalid Shipping Record","Valid")</f>
        <v>Valid</v>
      </c>
      <c r="AV312" t="str">
        <f>IF(OR(AL312="Cancelled",AH312="Failed"),"Exclude","Include")</f>
        <v>Include</v>
      </c>
      <c r="AW312" t="str">
        <f t="shared" si="108"/>
        <v>Match</v>
      </c>
      <c r="AX312" t="str">
        <f t="shared" si="109"/>
        <v>Match</v>
      </c>
    </row>
    <row r="313" spans="1:50">
      <c r="A313" t="s">
        <v>1588</v>
      </c>
      <c r="B313">
        <f t="shared" si="110"/>
        <v>1</v>
      </c>
      <c r="C313" t="str">
        <f t="shared" si="98"/>
        <v/>
      </c>
      <c r="D313" s="3" t="s">
        <v>1589</v>
      </c>
      <c r="E313" s="7">
        <v>45409</v>
      </c>
      <c r="F313" s="3" t="s">
        <v>947</v>
      </c>
      <c r="G313" s="7">
        <v>45414</v>
      </c>
      <c r="H313" s="7" t="str">
        <f t="shared" si="89"/>
        <v>Valid</v>
      </c>
      <c r="I313" s="9">
        <f t="shared" si="90"/>
        <v>5</v>
      </c>
      <c r="J313" s="9" t="str">
        <f t="shared" si="91"/>
        <v>Valid</v>
      </c>
      <c r="K313" t="s">
        <v>1590</v>
      </c>
      <c r="L313" t="s">
        <v>39</v>
      </c>
      <c r="M313" t="s">
        <v>39</v>
      </c>
      <c r="N313" t="s">
        <v>107</v>
      </c>
      <c r="O313" s="3" t="str">
        <f t="shared" si="92"/>
        <v>Corporate</v>
      </c>
      <c r="P313" t="s">
        <v>61</v>
      </c>
      <c r="Q313" s="3" t="str">
        <f t="shared" si="93"/>
        <v>South</v>
      </c>
      <c r="R313" t="s">
        <v>228</v>
      </c>
      <c r="S313" t="s">
        <v>229</v>
      </c>
      <c r="T313" t="s">
        <v>29</v>
      </c>
      <c r="U313" s="3" t="str">
        <f t="shared" si="94"/>
        <v>Office Supplies</v>
      </c>
      <c r="V313" t="s">
        <v>197</v>
      </c>
      <c r="W313" t="s">
        <v>1591</v>
      </c>
      <c r="X313" t="s">
        <v>32</v>
      </c>
      <c r="Y313" s="3" t="str">
        <f t="shared" si="95"/>
        <v>Second Class</v>
      </c>
      <c r="Z313">
        <v>5</v>
      </c>
      <c r="AA313">
        <v>554.04</v>
      </c>
      <c r="AB313">
        <v>0.1</v>
      </c>
      <c r="AC313">
        <f t="shared" si="96"/>
        <v>0.1</v>
      </c>
      <c r="AD313" t="str">
        <f t="shared" si="99"/>
        <v>Valid</v>
      </c>
      <c r="AE313">
        <v>2493.1799999999998</v>
      </c>
      <c r="AF313">
        <v>1764</v>
      </c>
      <c r="AG313">
        <v>729.18</v>
      </c>
      <c r="AH313" t="s">
        <v>33</v>
      </c>
      <c r="AI313" t="str">
        <f t="shared" si="100"/>
        <v>Include</v>
      </c>
      <c r="AJ313" t="str">
        <f t="shared" si="101"/>
        <v/>
      </c>
      <c r="AK313" t="s">
        <v>34</v>
      </c>
      <c r="AL313" t="str">
        <f t="shared" si="97"/>
        <v>Completed</v>
      </c>
      <c r="AM313" t="str">
        <f t="shared" si="102"/>
        <v>Include</v>
      </c>
      <c r="AN313">
        <f t="shared" si="103"/>
        <v>2493.1799999999998</v>
      </c>
      <c r="AO313">
        <f t="shared" si="104"/>
        <v>729.17999999999984</v>
      </c>
      <c r="AP313">
        <f>IF(AN313=0,0,AO313/AN313)</f>
        <v>0.29246985777200196</v>
      </c>
      <c r="AQ313" t="str">
        <f t="shared" si="105"/>
        <v>April</v>
      </c>
      <c r="AR313">
        <f t="shared" si="106"/>
        <v>2024</v>
      </c>
      <c r="AS313" t="str">
        <f t="shared" si="107"/>
        <v>Clean</v>
      </c>
      <c r="AT313" t="str">
        <f>IF(OR(AC313&lt;0,AC313&gt;0.5),"Invalid Discount","Valid")</f>
        <v>Valid</v>
      </c>
      <c r="AU313" t="str">
        <f>IF(G313&lt;E313,"Invalid Shipping Record","Valid")</f>
        <v>Valid</v>
      </c>
      <c r="AV313" t="str">
        <f>IF(OR(AL313="Cancelled",AH313="Failed"),"Exclude","Include")</f>
        <v>Include</v>
      </c>
      <c r="AW313" t="str">
        <f t="shared" si="108"/>
        <v>Match</v>
      </c>
      <c r="AX313" t="str">
        <f t="shared" si="109"/>
        <v>Match</v>
      </c>
    </row>
    <row r="314" spans="1:50">
      <c r="A314" t="s">
        <v>1592</v>
      </c>
      <c r="B314">
        <f t="shared" si="110"/>
        <v>1</v>
      </c>
      <c r="C314" t="str">
        <f t="shared" si="98"/>
        <v/>
      </c>
      <c r="D314" s="3" t="s">
        <v>1593</v>
      </c>
      <c r="E314" s="7">
        <v>45504</v>
      </c>
      <c r="F314" s="3" t="s">
        <v>515</v>
      </c>
      <c r="G314" s="7">
        <v>45508</v>
      </c>
      <c r="H314" s="7" t="str">
        <f t="shared" si="89"/>
        <v>Valid</v>
      </c>
      <c r="I314" s="9">
        <f t="shared" si="90"/>
        <v>4</v>
      </c>
      <c r="J314" s="9" t="str">
        <f t="shared" si="91"/>
        <v>Valid</v>
      </c>
      <c r="K314" t="s">
        <v>1594</v>
      </c>
      <c r="L314" t="s">
        <v>24</v>
      </c>
      <c r="M314" t="s">
        <v>24</v>
      </c>
      <c r="N314" t="s">
        <v>40</v>
      </c>
      <c r="O314" s="3" t="str">
        <f t="shared" si="92"/>
        <v>Small Business</v>
      </c>
      <c r="P314" t="s">
        <v>41</v>
      </c>
      <c r="Q314" s="3" t="str">
        <f t="shared" si="93"/>
        <v>East</v>
      </c>
      <c r="R314" t="s">
        <v>215</v>
      </c>
      <c r="S314" t="s">
        <v>216</v>
      </c>
      <c r="T314" t="s">
        <v>85</v>
      </c>
      <c r="U314" s="3" t="str">
        <f t="shared" si="94"/>
        <v>Technology</v>
      </c>
      <c r="V314" t="s">
        <v>222</v>
      </c>
      <c r="W314" t="s">
        <v>1595</v>
      </c>
      <c r="X314" t="s">
        <v>66</v>
      </c>
      <c r="Y314" s="3" t="str">
        <f t="shared" si="95"/>
        <v>Standard Class</v>
      </c>
      <c r="Z314">
        <v>8</v>
      </c>
      <c r="AA314">
        <v>2614.7399999999998</v>
      </c>
      <c r="AC314">
        <f t="shared" si="96"/>
        <v>0</v>
      </c>
      <c r="AD314" t="str">
        <f t="shared" si="99"/>
        <v>Valid</v>
      </c>
      <c r="AE314">
        <v>15688.44</v>
      </c>
      <c r="AF314">
        <v>10047.33</v>
      </c>
      <c r="AG314">
        <v>5641.11</v>
      </c>
      <c r="AH314" t="s">
        <v>33</v>
      </c>
      <c r="AI314" t="str">
        <f t="shared" si="100"/>
        <v>Exclude</v>
      </c>
      <c r="AJ314" t="str">
        <f t="shared" si="101"/>
        <v/>
      </c>
      <c r="AK314" t="s">
        <v>77</v>
      </c>
      <c r="AL314" t="str">
        <f t="shared" si="97"/>
        <v>Cancelled</v>
      </c>
      <c r="AM314" t="str">
        <f t="shared" si="102"/>
        <v>Exclude</v>
      </c>
      <c r="AN314">
        <f t="shared" si="103"/>
        <v>20917.919999999998</v>
      </c>
      <c r="AO314">
        <f t="shared" si="104"/>
        <v>10870.589999999998</v>
      </c>
      <c r="AP314">
        <f>IF(AN314=0,0,AO314/AN314)</f>
        <v>0.5196783427797792</v>
      </c>
      <c r="AQ314" t="str">
        <f t="shared" si="105"/>
        <v>July</v>
      </c>
      <c r="AR314">
        <f t="shared" si="106"/>
        <v>2024</v>
      </c>
      <c r="AS314" t="str">
        <f t="shared" si="107"/>
        <v>Clean</v>
      </c>
      <c r="AT314" t="str">
        <f>IF(OR(AC314&lt;0,AC314&gt;0.5),"Invalid Discount","Valid")</f>
        <v>Valid</v>
      </c>
      <c r="AU314" t="str">
        <f>IF(G314&lt;E314,"Invalid Shipping Record","Valid")</f>
        <v>Valid</v>
      </c>
      <c r="AV314" t="str">
        <f>IF(OR(AL314="Cancelled",AH314="Failed"),"Exclude","Include")</f>
        <v>Exclude</v>
      </c>
      <c r="AW314" t="str">
        <f t="shared" si="108"/>
        <v>Mismatch</v>
      </c>
      <c r="AX314" t="str">
        <f t="shared" si="109"/>
        <v>Mismatch</v>
      </c>
    </row>
    <row r="315" spans="1:50">
      <c r="A315" t="s">
        <v>1596</v>
      </c>
      <c r="B315">
        <f t="shared" si="110"/>
        <v>1</v>
      </c>
      <c r="C315" t="str">
        <f t="shared" si="98"/>
        <v/>
      </c>
      <c r="D315" s="3" t="s">
        <v>1597</v>
      </c>
      <c r="E315" s="7">
        <v>45807</v>
      </c>
      <c r="F315" s="3" t="s">
        <v>1598</v>
      </c>
      <c r="G315" s="7">
        <v>45808</v>
      </c>
      <c r="H315" s="7" t="str">
        <f t="shared" si="89"/>
        <v>Valid</v>
      </c>
      <c r="I315" s="9">
        <f t="shared" si="90"/>
        <v>1</v>
      </c>
      <c r="J315" s="9" t="str">
        <f t="shared" si="91"/>
        <v>Valid</v>
      </c>
      <c r="K315" t="s">
        <v>1599</v>
      </c>
      <c r="L315" t="s">
        <v>147</v>
      </c>
      <c r="M315" t="s">
        <v>147</v>
      </c>
      <c r="N315" t="s">
        <v>107</v>
      </c>
      <c r="O315" s="3" t="str">
        <f t="shared" si="92"/>
        <v>Corporate</v>
      </c>
      <c r="P315" t="s">
        <v>26</v>
      </c>
      <c r="Q315" s="3" t="str">
        <f t="shared" si="93"/>
        <v>North</v>
      </c>
      <c r="R315" t="s">
        <v>173</v>
      </c>
      <c r="S315" t="s">
        <v>174</v>
      </c>
      <c r="T315" t="s">
        <v>85</v>
      </c>
      <c r="U315" s="3" t="str">
        <f t="shared" si="94"/>
        <v>Technology</v>
      </c>
      <c r="V315" t="s">
        <v>222</v>
      </c>
      <c r="W315" t="s">
        <v>1600</v>
      </c>
      <c r="X315" t="s">
        <v>55</v>
      </c>
      <c r="Y315" s="3" t="str">
        <f t="shared" si="95"/>
        <v>First Class</v>
      </c>
      <c r="Z315">
        <v>8</v>
      </c>
      <c r="AA315">
        <v>2081.4299999999998</v>
      </c>
      <c r="AB315">
        <v>0.25</v>
      </c>
      <c r="AC315">
        <f t="shared" si="96"/>
        <v>0.25</v>
      </c>
      <c r="AD315" t="str">
        <f t="shared" si="99"/>
        <v>Valid</v>
      </c>
      <c r="AE315">
        <v>12488.58</v>
      </c>
      <c r="AF315">
        <v>10717.4</v>
      </c>
      <c r="AG315">
        <v>1771.18</v>
      </c>
      <c r="AH315" t="s">
        <v>123</v>
      </c>
      <c r="AI315" t="str">
        <f t="shared" si="100"/>
        <v>Exclude</v>
      </c>
      <c r="AJ315" t="str">
        <f t="shared" si="101"/>
        <v>Refunded Order</v>
      </c>
      <c r="AK315" t="s">
        <v>77</v>
      </c>
      <c r="AL315" t="str">
        <f t="shared" si="97"/>
        <v>Cancelled</v>
      </c>
      <c r="AM315" t="str">
        <f t="shared" si="102"/>
        <v>Exclude</v>
      </c>
      <c r="AN315">
        <f t="shared" si="103"/>
        <v>12488.579999999998</v>
      </c>
      <c r="AO315">
        <f t="shared" si="104"/>
        <v>1771.1799999999985</v>
      </c>
      <c r="AP315">
        <f>IF(AN315=0,0,AO315/AN315)</f>
        <v>0.14182397037933847</v>
      </c>
      <c r="AQ315" t="str">
        <f t="shared" si="105"/>
        <v>May</v>
      </c>
      <c r="AR315">
        <f t="shared" si="106"/>
        <v>2025</v>
      </c>
      <c r="AS315" t="str">
        <f t="shared" si="107"/>
        <v>Clean</v>
      </c>
      <c r="AT315" t="str">
        <f>IF(OR(AC315&lt;0,AC315&gt;0.5),"Invalid Discount","Valid")</f>
        <v>Valid</v>
      </c>
      <c r="AU315" t="str">
        <f>IF(G315&lt;E315,"Invalid Shipping Record","Valid")</f>
        <v>Valid</v>
      </c>
      <c r="AV315" t="str">
        <f>IF(OR(AL315="Cancelled",AH315="Failed"),"Exclude","Include")</f>
        <v>Exclude</v>
      </c>
      <c r="AW315" t="str">
        <f t="shared" si="108"/>
        <v>Match</v>
      </c>
      <c r="AX315" t="str">
        <f t="shared" si="109"/>
        <v>Match</v>
      </c>
    </row>
    <row r="316" spans="1:50">
      <c r="A316" t="s">
        <v>1676</v>
      </c>
      <c r="B316">
        <f t="shared" si="110"/>
        <v>2</v>
      </c>
      <c r="C316" t="str">
        <f t="shared" si="98"/>
        <v>Review Required</v>
      </c>
      <c r="D316" s="3" t="s">
        <v>704</v>
      </c>
      <c r="E316" s="7">
        <v>45630</v>
      </c>
      <c r="F316" s="3" t="s">
        <v>1677</v>
      </c>
      <c r="G316" s="7">
        <v>45632</v>
      </c>
      <c r="H316" s="7" t="str">
        <f t="shared" si="89"/>
        <v>Valid</v>
      </c>
      <c r="I316" s="9">
        <f t="shared" si="90"/>
        <v>2</v>
      </c>
      <c r="J316" s="9" t="str">
        <f t="shared" si="91"/>
        <v>Valid</v>
      </c>
      <c r="K316" t="s">
        <v>1678</v>
      </c>
      <c r="L316" t="s">
        <v>167</v>
      </c>
      <c r="M316" t="s">
        <v>167</v>
      </c>
      <c r="N316" t="s">
        <v>114</v>
      </c>
      <c r="O316" s="3" t="str">
        <f t="shared" si="92"/>
        <v>Home Office</v>
      </c>
      <c r="P316" t="s">
        <v>41</v>
      </c>
      <c r="Q316" s="3" t="str">
        <f t="shared" si="93"/>
        <v>East</v>
      </c>
      <c r="R316" t="s">
        <v>42</v>
      </c>
      <c r="S316" t="s">
        <v>43</v>
      </c>
      <c r="T316" t="s">
        <v>29</v>
      </c>
      <c r="U316" s="3" t="str">
        <f t="shared" si="94"/>
        <v>Office Supplies</v>
      </c>
      <c r="V316" t="s">
        <v>197</v>
      </c>
      <c r="W316" t="s">
        <v>1679</v>
      </c>
      <c r="X316" t="s">
        <v>32</v>
      </c>
      <c r="Y316" s="3" t="str">
        <f t="shared" si="95"/>
        <v>Second Class</v>
      </c>
      <c r="Z316">
        <v>4</v>
      </c>
      <c r="AA316">
        <v>2685.66</v>
      </c>
      <c r="AB316">
        <v>0</v>
      </c>
      <c r="AC316">
        <f t="shared" si="96"/>
        <v>0</v>
      </c>
      <c r="AD316" t="str">
        <f t="shared" si="99"/>
        <v>Valid</v>
      </c>
      <c r="AE316">
        <v>10742.64</v>
      </c>
      <c r="AF316">
        <v>6477.37</v>
      </c>
      <c r="AG316">
        <v>4265.2700000000004</v>
      </c>
      <c r="AH316" t="s">
        <v>33</v>
      </c>
      <c r="AI316" t="str">
        <f t="shared" si="100"/>
        <v>Include</v>
      </c>
      <c r="AJ316" t="str">
        <f t="shared" si="101"/>
        <v/>
      </c>
      <c r="AK316" t="s">
        <v>124</v>
      </c>
      <c r="AL316" t="str">
        <f t="shared" si="97"/>
        <v>Returned</v>
      </c>
      <c r="AM316" t="str">
        <f t="shared" si="102"/>
        <v>Include</v>
      </c>
      <c r="AN316">
        <f t="shared" si="103"/>
        <v>10742.64</v>
      </c>
      <c r="AO316">
        <f t="shared" si="104"/>
        <v>4265.2699999999995</v>
      </c>
      <c r="AP316">
        <f>IF(AN316=0,0,AO316/AN316)</f>
        <v>0.39704113700170535</v>
      </c>
      <c r="AQ316" t="str">
        <f t="shared" si="105"/>
        <v>December</v>
      </c>
      <c r="AR316">
        <f t="shared" si="106"/>
        <v>2024</v>
      </c>
      <c r="AS316" t="str">
        <f t="shared" si="107"/>
        <v>Clean</v>
      </c>
      <c r="AT316" t="str">
        <f>IF(OR(AC316&lt;0,AC316&gt;0.5),"Invalid Discount","Valid")</f>
        <v>Valid</v>
      </c>
      <c r="AU316" t="str">
        <f>IF(G316&lt;E316,"Invalid Shipping Record","Valid")</f>
        <v>Valid</v>
      </c>
      <c r="AV316" t="str">
        <f>IF(OR(AL316="Cancelled",AH316="Failed"),"Exclude","Include")</f>
        <v>Include</v>
      </c>
      <c r="AW316" t="str">
        <f t="shared" si="108"/>
        <v>Match</v>
      </c>
      <c r="AX316" t="str">
        <f t="shared" si="109"/>
        <v>Match</v>
      </c>
    </row>
    <row r="317" spans="1:50">
      <c r="A317" t="s">
        <v>1604</v>
      </c>
      <c r="B317">
        <f t="shared" si="110"/>
        <v>1</v>
      </c>
      <c r="C317" t="str">
        <f t="shared" si="98"/>
        <v/>
      </c>
      <c r="D317" s="3" t="s">
        <v>1605</v>
      </c>
      <c r="E317" s="7">
        <v>45475</v>
      </c>
      <c r="F317" s="3" t="s">
        <v>1606</v>
      </c>
      <c r="G317" s="7">
        <v>45481</v>
      </c>
      <c r="H317" s="7" t="str">
        <f t="shared" si="89"/>
        <v>Valid</v>
      </c>
      <c r="I317" s="9">
        <f t="shared" si="90"/>
        <v>6</v>
      </c>
      <c r="J317" s="9" t="str">
        <f t="shared" si="91"/>
        <v>Valid</v>
      </c>
      <c r="K317" t="s">
        <v>1607</v>
      </c>
      <c r="L317" t="s">
        <v>179</v>
      </c>
      <c r="M317" t="s">
        <v>179</v>
      </c>
      <c r="N317" t="s">
        <v>25</v>
      </c>
      <c r="O317" s="3" t="str">
        <f t="shared" si="92"/>
        <v>Consumer</v>
      </c>
      <c r="P317" t="s">
        <v>26</v>
      </c>
      <c r="Q317" s="3" t="str">
        <f t="shared" si="93"/>
        <v>North</v>
      </c>
      <c r="R317" t="s">
        <v>505</v>
      </c>
      <c r="S317" t="s">
        <v>506</v>
      </c>
      <c r="T317" t="s">
        <v>29</v>
      </c>
      <c r="U317" s="3" t="str">
        <f t="shared" si="94"/>
        <v>Office Supplies</v>
      </c>
      <c r="V317" t="s">
        <v>30</v>
      </c>
      <c r="W317" t="s">
        <v>1608</v>
      </c>
      <c r="X317" t="s">
        <v>66</v>
      </c>
      <c r="Y317" s="3" t="str">
        <f t="shared" si="95"/>
        <v>Standard Class</v>
      </c>
      <c r="Z317">
        <v>9</v>
      </c>
      <c r="AA317">
        <v>3450.4</v>
      </c>
      <c r="AB317">
        <v>0.05</v>
      </c>
      <c r="AC317">
        <f t="shared" si="96"/>
        <v>0.05</v>
      </c>
      <c r="AD317" t="str">
        <f t="shared" si="99"/>
        <v>Valid</v>
      </c>
      <c r="AE317">
        <v>29500.92</v>
      </c>
      <c r="AF317">
        <v>17989.68</v>
      </c>
      <c r="AG317">
        <v>11511.24</v>
      </c>
      <c r="AH317" t="s">
        <v>136</v>
      </c>
      <c r="AI317" t="str">
        <f t="shared" si="100"/>
        <v>Include</v>
      </c>
      <c r="AJ317" t="str">
        <f t="shared" si="101"/>
        <v/>
      </c>
      <c r="AK317" t="s">
        <v>124</v>
      </c>
      <c r="AL317" t="str">
        <f t="shared" si="97"/>
        <v>Returned</v>
      </c>
      <c r="AM317" t="str">
        <f t="shared" si="102"/>
        <v>Include</v>
      </c>
      <c r="AN317">
        <f t="shared" si="103"/>
        <v>29500.920000000002</v>
      </c>
      <c r="AO317">
        <f t="shared" si="104"/>
        <v>11511.240000000002</v>
      </c>
      <c r="AP317">
        <f>IF(AN317=0,0,AO317/AN317)</f>
        <v>0.39019935649464493</v>
      </c>
      <c r="AQ317" t="str">
        <f t="shared" si="105"/>
        <v>July</v>
      </c>
      <c r="AR317">
        <f t="shared" si="106"/>
        <v>2024</v>
      </c>
      <c r="AS317" t="str">
        <f t="shared" si="107"/>
        <v>Clean</v>
      </c>
      <c r="AT317" t="str">
        <f>IF(OR(AC317&lt;0,AC317&gt;0.5),"Invalid Discount","Valid")</f>
        <v>Valid</v>
      </c>
      <c r="AU317" t="str">
        <f>IF(G317&lt;E317,"Invalid Shipping Record","Valid")</f>
        <v>Valid</v>
      </c>
      <c r="AV317" t="str">
        <f>IF(OR(AL317="Cancelled",AH317="Failed"),"Exclude","Include")</f>
        <v>Include</v>
      </c>
      <c r="AW317" t="str">
        <f t="shared" si="108"/>
        <v>Match</v>
      </c>
      <c r="AX317" t="str">
        <f t="shared" si="109"/>
        <v>Match</v>
      </c>
    </row>
    <row r="318" spans="1:50">
      <c r="A318" t="s">
        <v>1609</v>
      </c>
      <c r="B318">
        <f t="shared" si="110"/>
        <v>1</v>
      </c>
      <c r="C318" t="str">
        <f t="shared" si="98"/>
        <v/>
      </c>
      <c r="D318" s="3" t="s">
        <v>1610</v>
      </c>
      <c r="E318" s="7">
        <v>45338</v>
      </c>
      <c r="F318" s="3" t="s">
        <v>1611</v>
      </c>
      <c r="G318" s="7">
        <v>45340</v>
      </c>
      <c r="H318" s="7" t="str">
        <f t="shared" si="89"/>
        <v>Valid</v>
      </c>
      <c r="I318" s="9">
        <f t="shared" si="90"/>
        <v>2</v>
      </c>
      <c r="J318" s="9" t="str">
        <f t="shared" si="91"/>
        <v>Valid</v>
      </c>
      <c r="K318" t="s">
        <v>1612</v>
      </c>
      <c r="L318" t="s">
        <v>24</v>
      </c>
      <c r="M318" t="s">
        <v>24</v>
      </c>
      <c r="N318" t="s">
        <v>107</v>
      </c>
      <c r="O318" s="3" t="str">
        <f t="shared" si="92"/>
        <v>Corporate</v>
      </c>
      <c r="P318" t="s">
        <v>26</v>
      </c>
      <c r="Q318" s="3" t="str">
        <f t="shared" si="93"/>
        <v>North</v>
      </c>
      <c r="R318" t="s">
        <v>153</v>
      </c>
      <c r="S318" t="s">
        <v>154</v>
      </c>
      <c r="T318" t="s">
        <v>29</v>
      </c>
      <c r="U318" s="3" t="str">
        <f t="shared" si="94"/>
        <v>Office Supplies</v>
      </c>
      <c r="V318" t="s">
        <v>108</v>
      </c>
      <c r="W318" t="s">
        <v>1613</v>
      </c>
      <c r="X318" t="s">
        <v>66</v>
      </c>
      <c r="Y318" s="3" t="str">
        <f t="shared" si="95"/>
        <v>Standard Class</v>
      </c>
      <c r="Z318">
        <v>2</v>
      </c>
      <c r="AA318">
        <v>1947.53</v>
      </c>
      <c r="AB318">
        <v>0.2</v>
      </c>
      <c r="AC318">
        <f t="shared" si="96"/>
        <v>0.2</v>
      </c>
      <c r="AD318" t="str">
        <f t="shared" si="99"/>
        <v>Valid</v>
      </c>
      <c r="AE318">
        <v>3116.05</v>
      </c>
      <c r="AF318">
        <v>1956.63</v>
      </c>
      <c r="AG318">
        <v>1159.42</v>
      </c>
      <c r="AH318" t="s">
        <v>33</v>
      </c>
      <c r="AI318" t="str">
        <f t="shared" si="100"/>
        <v>Exclude</v>
      </c>
      <c r="AJ318" t="str">
        <f t="shared" si="101"/>
        <v/>
      </c>
      <c r="AK318" t="s">
        <v>77</v>
      </c>
      <c r="AL318" t="str">
        <f t="shared" si="97"/>
        <v>Cancelled</v>
      </c>
      <c r="AM318" t="str">
        <f t="shared" si="102"/>
        <v>Exclude</v>
      </c>
      <c r="AN318">
        <f t="shared" si="103"/>
        <v>3116.0480000000002</v>
      </c>
      <c r="AO318">
        <f t="shared" si="104"/>
        <v>1159.4180000000001</v>
      </c>
      <c r="AP318">
        <f>IF(AN318=0,0,AO318/AN318)</f>
        <v>0.37207963420332424</v>
      </c>
      <c r="AQ318" t="str">
        <f t="shared" si="105"/>
        <v>February</v>
      </c>
      <c r="AR318">
        <f t="shared" si="106"/>
        <v>2024</v>
      </c>
      <c r="AS318" t="str">
        <f t="shared" si="107"/>
        <v>Clean</v>
      </c>
      <c r="AT318" t="str">
        <f>IF(OR(AC318&lt;0,AC318&gt;0.5),"Invalid Discount","Valid")</f>
        <v>Valid</v>
      </c>
      <c r="AU318" t="str">
        <f>IF(G318&lt;E318,"Invalid Shipping Record","Valid")</f>
        <v>Valid</v>
      </c>
      <c r="AV318" t="str">
        <f>IF(OR(AL318="Cancelled",AH318="Failed"),"Exclude","Include")</f>
        <v>Exclude</v>
      </c>
      <c r="AW318" t="str">
        <f t="shared" si="108"/>
        <v>Match</v>
      </c>
      <c r="AX318" t="str">
        <f t="shared" si="109"/>
        <v>Match</v>
      </c>
    </row>
    <row r="319" spans="1:50">
      <c r="A319" t="s">
        <v>1614</v>
      </c>
      <c r="B319">
        <f t="shared" si="110"/>
        <v>1</v>
      </c>
      <c r="C319" t="str">
        <f t="shared" si="98"/>
        <v/>
      </c>
      <c r="D319" s="3" t="s">
        <v>1615</v>
      </c>
      <c r="E319" s="7">
        <v>45898</v>
      </c>
      <c r="F319" s="3" t="s">
        <v>1616</v>
      </c>
      <c r="G319" s="7">
        <v>45904</v>
      </c>
      <c r="H319" s="7" t="str">
        <f t="shared" si="89"/>
        <v>Valid</v>
      </c>
      <c r="I319" s="9">
        <f t="shared" si="90"/>
        <v>6</v>
      </c>
      <c r="J319" s="9" t="str">
        <f t="shared" si="91"/>
        <v>Valid</v>
      </c>
      <c r="K319" t="s">
        <v>1617</v>
      </c>
      <c r="L319" t="s">
        <v>92</v>
      </c>
      <c r="M319" t="s">
        <v>92</v>
      </c>
      <c r="N319" t="s">
        <v>107</v>
      </c>
      <c r="O319" s="3" t="str">
        <f t="shared" si="92"/>
        <v>Corporate</v>
      </c>
      <c r="P319" t="s">
        <v>61</v>
      </c>
      <c r="Q319" s="3" t="str">
        <f t="shared" si="93"/>
        <v>South</v>
      </c>
      <c r="R319" t="s">
        <v>241</v>
      </c>
      <c r="S319" t="s">
        <v>242</v>
      </c>
      <c r="T319" t="s">
        <v>44</v>
      </c>
      <c r="U319" s="3" t="str">
        <f t="shared" si="94"/>
        <v>Furniture</v>
      </c>
      <c r="V319" t="s">
        <v>45</v>
      </c>
      <c r="W319" t="s">
        <v>1618</v>
      </c>
      <c r="X319" t="s">
        <v>55</v>
      </c>
      <c r="Y319" s="3" t="str">
        <f t="shared" si="95"/>
        <v>First Class</v>
      </c>
      <c r="Z319">
        <v>9</v>
      </c>
      <c r="AA319">
        <v>2996.97</v>
      </c>
      <c r="AB319">
        <v>0.15</v>
      </c>
      <c r="AC319">
        <f t="shared" si="96"/>
        <v>0.15</v>
      </c>
      <c r="AD319" t="str">
        <f t="shared" si="99"/>
        <v>Valid</v>
      </c>
      <c r="AE319">
        <v>22926.82</v>
      </c>
      <c r="AF319">
        <v>14621.59</v>
      </c>
      <c r="AG319">
        <v>8305.23</v>
      </c>
      <c r="AH319" t="s">
        <v>33</v>
      </c>
      <c r="AI319" t="str">
        <f t="shared" si="100"/>
        <v>Include</v>
      </c>
      <c r="AJ319" t="str">
        <f t="shared" si="101"/>
        <v/>
      </c>
      <c r="AK319" t="s">
        <v>34</v>
      </c>
      <c r="AL319" t="str">
        <f t="shared" si="97"/>
        <v>Completed</v>
      </c>
      <c r="AM319" t="str">
        <f t="shared" si="102"/>
        <v>Include</v>
      </c>
      <c r="AN319">
        <f t="shared" si="103"/>
        <v>22926.820499999998</v>
      </c>
      <c r="AO319">
        <f t="shared" si="104"/>
        <v>8305.2304999999978</v>
      </c>
      <c r="AP319">
        <f>IF(AN319=0,0,AO319/AN319)</f>
        <v>0.36224955396671765</v>
      </c>
      <c r="AQ319" t="str">
        <f t="shared" si="105"/>
        <v>August</v>
      </c>
      <c r="AR319">
        <f t="shared" si="106"/>
        <v>2025</v>
      </c>
      <c r="AS319" t="str">
        <f t="shared" si="107"/>
        <v>Clean</v>
      </c>
      <c r="AT319" t="str">
        <f>IF(OR(AC319&lt;0,AC319&gt;0.5),"Invalid Discount","Valid")</f>
        <v>Valid</v>
      </c>
      <c r="AU319" t="str">
        <f>IF(G319&lt;E319,"Invalid Shipping Record","Valid")</f>
        <v>Valid</v>
      </c>
      <c r="AV319" t="str">
        <f>IF(OR(AL319="Cancelled",AH319="Failed"),"Exclude","Include")</f>
        <v>Include</v>
      </c>
      <c r="AW319" t="str">
        <f t="shared" si="108"/>
        <v>Match</v>
      </c>
      <c r="AX319" t="str">
        <f t="shared" si="109"/>
        <v>Match</v>
      </c>
    </row>
    <row r="320" spans="1:50">
      <c r="A320" t="s">
        <v>1619</v>
      </c>
      <c r="B320">
        <f t="shared" si="110"/>
        <v>1</v>
      </c>
      <c r="C320" t="str">
        <f t="shared" si="98"/>
        <v/>
      </c>
      <c r="D320" s="3" t="s">
        <v>1620</v>
      </c>
      <c r="E320" s="7">
        <v>45407</v>
      </c>
      <c r="F320" s="3" t="s">
        <v>1621</v>
      </c>
      <c r="G320" s="7">
        <v>45412</v>
      </c>
      <c r="H320" s="7" t="str">
        <f t="shared" si="89"/>
        <v>Valid</v>
      </c>
      <c r="I320" s="9">
        <f t="shared" si="90"/>
        <v>5</v>
      </c>
      <c r="J320" s="9" t="str">
        <f t="shared" si="91"/>
        <v>Valid</v>
      </c>
      <c r="K320" t="s">
        <v>1622</v>
      </c>
      <c r="L320" t="s">
        <v>39</v>
      </c>
      <c r="M320" t="s">
        <v>39</v>
      </c>
      <c r="N320" t="s">
        <v>40</v>
      </c>
      <c r="O320" s="3" t="str">
        <f t="shared" si="92"/>
        <v>Small Business</v>
      </c>
      <c r="P320" t="s">
        <v>61</v>
      </c>
      <c r="Q320" s="3" t="str">
        <f t="shared" si="93"/>
        <v>South</v>
      </c>
      <c r="R320" t="s">
        <v>228</v>
      </c>
      <c r="S320" t="s">
        <v>229</v>
      </c>
      <c r="T320" t="s">
        <v>85</v>
      </c>
      <c r="U320" s="3" t="str">
        <f t="shared" si="94"/>
        <v>Technology</v>
      </c>
      <c r="V320" t="s">
        <v>222</v>
      </c>
      <c r="W320" t="s">
        <v>1623</v>
      </c>
      <c r="X320" t="s">
        <v>66</v>
      </c>
      <c r="Y320" s="3" t="str">
        <f t="shared" si="95"/>
        <v>Standard Class</v>
      </c>
      <c r="Z320">
        <v>3</v>
      </c>
      <c r="AA320">
        <v>4149.46</v>
      </c>
      <c r="AB320">
        <v>0.1</v>
      </c>
      <c r="AC320">
        <f t="shared" si="96"/>
        <v>0.1</v>
      </c>
      <c r="AD320" t="str">
        <f t="shared" si="99"/>
        <v>Valid</v>
      </c>
      <c r="AE320">
        <v>11203.54</v>
      </c>
      <c r="AF320">
        <v>8452.93</v>
      </c>
      <c r="AG320">
        <v>2750.61</v>
      </c>
      <c r="AH320" t="s">
        <v>33</v>
      </c>
      <c r="AI320" t="str">
        <f t="shared" si="100"/>
        <v>Include</v>
      </c>
      <c r="AJ320" t="str">
        <f t="shared" si="101"/>
        <v/>
      </c>
      <c r="AK320" t="s">
        <v>34</v>
      </c>
      <c r="AL320" t="str">
        <f t="shared" si="97"/>
        <v>Completed</v>
      </c>
      <c r="AM320" t="str">
        <f t="shared" si="102"/>
        <v>Include</v>
      </c>
      <c r="AN320">
        <f t="shared" si="103"/>
        <v>11203.542000000001</v>
      </c>
      <c r="AO320">
        <f t="shared" si="104"/>
        <v>2750.612000000001</v>
      </c>
      <c r="AP320">
        <f>IF(AN320=0,0,AO320/AN320)</f>
        <v>0.24551271374713468</v>
      </c>
      <c r="AQ320" t="str">
        <f t="shared" si="105"/>
        <v>April</v>
      </c>
      <c r="AR320">
        <f t="shared" si="106"/>
        <v>2024</v>
      </c>
      <c r="AS320" t="str">
        <f t="shared" si="107"/>
        <v>Clean</v>
      </c>
      <c r="AT320" t="str">
        <f>IF(OR(AC320&lt;0,AC320&gt;0.5),"Invalid Discount","Valid")</f>
        <v>Valid</v>
      </c>
      <c r="AU320" t="str">
        <f>IF(G320&lt;E320,"Invalid Shipping Record","Valid")</f>
        <v>Valid</v>
      </c>
      <c r="AV320" t="str">
        <f>IF(OR(AL320="Cancelled",AH320="Failed"),"Exclude","Include")</f>
        <v>Include</v>
      </c>
      <c r="AW320" t="str">
        <f t="shared" si="108"/>
        <v>Match</v>
      </c>
      <c r="AX320" t="str">
        <f t="shared" si="109"/>
        <v>Match</v>
      </c>
    </row>
    <row r="321" spans="1:50">
      <c r="A321" t="s">
        <v>1624</v>
      </c>
      <c r="B321">
        <f t="shared" si="110"/>
        <v>1</v>
      </c>
      <c r="C321" t="str">
        <f t="shared" si="98"/>
        <v/>
      </c>
      <c r="D321" s="3" t="s">
        <v>1625</v>
      </c>
      <c r="E321" s="7">
        <v>45525</v>
      </c>
      <c r="F321" s="3" t="s">
        <v>1626</v>
      </c>
      <c r="G321" s="7">
        <v>45529</v>
      </c>
      <c r="H321" s="7" t="str">
        <f t="shared" si="89"/>
        <v>Valid</v>
      </c>
      <c r="I321" s="9">
        <f t="shared" si="90"/>
        <v>4</v>
      </c>
      <c r="J321" s="9" t="str">
        <f t="shared" si="91"/>
        <v>Valid</v>
      </c>
      <c r="K321" t="s">
        <v>1627</v>
      </c>
      <c r="L321" t="s">
        <v>209</v>
      </c>
      <c r="M321" t="s">
        <v>209</v>
      </c>
      <c r="N321" t="s">
        <v>25</v>
      </c>
      <c r="O321" s="3" t="str">
        <f t="shared" si="92"/>
        <v>Consumer</v>
      </c>
      <c r="P321" t="s">
        <v>72</v>
      </c>
      <c r="Q321" s="3" t="str">
        <f t="shared" si="93"/>
        <v>West</v>
      </c>
      <c r="R321" t="s">
        <v>234</v>
      </c>
      <c r="S321" t="s">
        <v>235</v>
      </c>
      <c r="T321" t="s">
        <v>29</v>
      </c>
      <c r="U321" s="3" t="str">
        <f t="shared" si="94"/>
        <v>Office Supplies</v>
      </c>
      <c r="V321" t="s">
        <v>197</v>
      </c>
      <c r="W321" t="s">
        <v>1628</v>
      </c>
      <c r="X321" t="s">
        <v>55</v>
      </c>
      <c r="Y321" s="3" t="str">
        <f t="shared" si="95"/>
        <v>First Class</v>
      </c>
      <c r="Z321">
        <v>1</v>
      </c>
      <c r="AA321">
        <v>270.27999999999997</v>
      </c>
      <c r="AB321">
        <v>0</v>
      </c>
      <c r="AC321">
        <f t="shared" si="96"/>
        <v>0</v>
      </c>
      <c r="AD321" t="str">
        <f t="shared" si="99"/>
        <v>Valid</v>
      </c>
      <c r="AE321">
        <v>270.27999999999997</v>
      </c>
      <c r="AF321">
        <v>156.34</v>
      </c>
      <c r="AG321">
        <v>113.94</v>
      </c>
      <c r="AH321" t="s">
        <v>33</v>
      </c>
      <c r="AI321" t="str">
        <f t="shared" si="100"/>
        <v>Include</v>
      </c>
      <c r="AJ321" t="str">
        <f t="shared" si="101"/>
        <v/>
      </c>
      <c r="AK321" t="s">
        <v>34</v>
      </c>
      <c r="AL321" t="str">
        <f t="shared" si="97"/>
        <v>Completed</v>
      </c>
      <c r="AM321" t="str">
        <f t="shared" si="102"/>
        <v>Include</v>
      </c>
      <c r="AN321">
        <f t="shared" si="103"/>
        <v>270.27999999999997</v>
      </c>
      <c r="AO321">
        <f t="shared" si="104"/>
        <v>113.93999999999997</v>
      </c>
      <c r="AP321">
        <f>IF(AN321=0,0,AO321/AN321)</f>
        <v>0.42156282373834536</v>
      </c>
      <c r="AQ321" t="str">
        <f t="shared" si="105"/>
        <v>August</v>
      </c>
      <c r="AR321">
        <f t="shared" si="106"/>
        <v>2024</v>
      </c>
      <c r="AS321" t="str">
        <f t="shared" si="107"/>
        <v>Clean</v>
      </c>
      <c r="AT321" t="str">
        <f>IF(OR(AC321&lt;0,AC321&gt;0.5),"Invalid Discount","Valid")</f>
        <v>Valid</v>
      </c>
      <c r="AU321" t="str">
        <f>IF(G321&lt;E321,"Invalid Shipping Record","Valid")</f>
        <v>Valid</v>
      </c>
      <c r="AV321" t="str">
        <f>IF(OR(AL321="Cancelled",AH321="Failed"),"Exclude","Include")</f>
        <v>Include</v>
      </c>
      <c r="AW321" t="str">
        <f t="shared" si="108"/>
        <v>Match</v>
      </c>
      <c r="AX321" t="str">
        <f t="shared" si="109"/>
        <v>Match</v>
      </c>
    </row>
    <row r="322" spans="1:50">
      <c r="A322" t="s">
        <v>1629</v>
      </c>
      <c r="B322">
        <f t="shared" si="110"/>
        <v>1</v>
      </c>
      <c r="C322" t="str">
        <f t="shared" si="98"/>
        <v/>
      </c>
      <c r="D322" s="3" t="s">
        <v>1630</v>
      </c>
      <c r="E322" s="7">
        <v>45630</v>
      </c>
      <c r="F322" s="3" t="s">
        <v>1631</v>
      </c>
      <c r="G322" s="7">
        <v>45632</v>
      </c>
      <c r="H322" s="7" t="str">
        <f t="shared" ref="H322:H385" si="111">IF(G322&lt;E322,"Invalid Shipping Record","Valid")</f>
        <v>Valid</v>
      </c>
      <c r="I322" s="9">
        <f t="shared" ref="I322:I385" si="112">G322-E322</f>
        <v>2</v>
      </c>
      <c r="J322" s="9" t="str">
        <f t="shared" ref="J322:J385" si="113">IF(OR(E322="",G322=""),"Missing Date",IF(OR(NOT(ISNUMBER(E322)),NOT(ISNUMBER(G322))),"Invalid Date",IF(G322&lt;E322,"Invalid Shipping Record","Valid")))</f>
        <v>Valid</v>
      </c>
      <c r="K322" t="s">
        <v>1632</v>
      </c>
      <c r="L322" t="s">
        <v>161</v>
      </c>
      <c r="M322" t="s">
        <v>161</v>
      </c>
      <c r="N322" t="s">
        <v>114</v>
      </c>
      <c r="O322" s="3" t="str">
        <f t="shared" ref="O322:O385" si="114">PROPER(TRIM(N322))</f>
        <v>Home Office</v>
      </c>
      <c r="P322" t="s">
        <v>41</v>
      </c>
      <c r="Q322" s="3" t="str">
        <f t="shared" ref="Q322:Q385" si="115">IF(TRIM(P322)="","Unknown",PROPER(TRIM(P322)))</f>
        <v>East</v>
      </c>
      <c r="R322" t="s">
        <v>120</v>
      </c>
      <c r="S322" t="s">
        <v>121</v>
      </c>
      <c r="T322" t="s">
        <v>29</v>
      </c>
      <c r="U322" s="3" t="str">
        <f t="shared" ref="U322:U385" si="116">PROPER(TRIM(T322))</f>
        <v>Office Supplies</v>
      </c>
      <c r="V322" t="s">
        <v>53</v>
      </c>
      <c r="W322" t="s">
        <v>1633</v>
      </c>
      <c r="X322" t="s">
        <v>32</v>
      </c>
      <c r="Y322" s="3" t="str">
        <f t="shared" ref="Y322:Y385" si="117">IF(TRIM(X322)="","Unknown",PROPER(TRIM(X322)))</f>
        <v>Second Class</v>
      </c>
      <c r="Z322">
        <v>3</v>
      </c>
      <c r="AA322">
        <v>876.14</v>
      </c>
      <c r="AB322" t="s">
        <v>680</v>
      </c>
      <c r="AC322" t="str">
        <f t="shared" ref="AC322:AC385" si="118">IF(AND(AB322=" ",Z322=" ",AA322=" ",AF322=" "),0,AB322)</f>
        <v>70%</v>
      </c>
      <c r="AD322" t="str">
        <f t="shared" si="99"/>
        <v>Valid</v>
      </c>
      <c r="AE322">
        <v>2628.42</v>
      </c>
      <c r="AF322">
        <v>1541.54</v>
      </c>
      <c r="AG322">
        <v>1086.8800000000001</v>
      </c>
      <c r="AH322" t="s">
        <v>136</v>
      </c>
      <c r="AI322" t="str">
        <f t="shared" si="100"/>
        <v>Include</v>
      </c>
      <c r="AJ322" t="str">
        <f t="shared" si="101"/>
        <v/>
      </c>
      <c r="AK322" t="s">
        <v>124</v>
      </c>
      <c r="AL322" t="str">
        <f t="shared" ref="AL322:AL385" si="119">PROPER(TRIM(AK322))</f>
        <v>Returned</v>
      </c>
      <c r="AM322" t="str">
        <f t="shared" si="102"/>
        <v>Include</v>
      </c>
      <c r="AN322">
        <f t="shared" si="103"/>
        <v>788.52600000000018</v>
      </c>
      <c r="AO322">
        <f t="shared" si="104"/>
        <v>-753.01399999999978</v>
      </c>
      <c r="AP322">
        <f>IF(AN322=0,0,AO322/AN322)</f>
        <v>-0.95496407220560842</v>
      </c>
      <c r="AQ322" t="str">
        <f t="shared" si="105"/>
        <v>December</v>
      </c>
      <c r="AR322">
        <f t="shared" si="106"/>
        <v>2024</v>
      </c>
      <c r="AS322" t="str">
        <f t="shared" si="107"/>
        <v>Invalid</v>
      </c>
      <c r="AT322" t="str">
        <f>IF(OR(AC322&lt;0,AC322&gt;0.5),"Invalid Discount","Valid")</f>
        <v>Invalid Discount</v>
      </c>
      <c r="AU322" t="str">
        <f>IF(G322&lt;E322,"Invalid Shipping Record","Valid")</f>
        <v>Valid</v>
      </c>
      <c r="AV322" t="str">
        <f>IF(OR(AL322="Cancelled",AH322="Failed"),"Exclude","Include")</f>
        <v>Include</v>
      </c>
      <c r="AW322" t="str">
        <f t="shared" si="108"/>
        <v>Mismatch</v>
      </c>
      <c r="AX322" t="str">
        <f t="shared" si="109"/>
        <v>Mismatch</v>
      </c>
    </row>
    <row r="323" spans="1:50">
      <c r="A323" t="s">
        <v>1634</v>
      </c>
      <c r="B323">
        <f t="shared" si="110"/>
        <v>1</v>
      </c>
      <c r="C323" t="str">
        <f t="shared" ref="C323:C386" si="120">IF(B323&gt;1,"Review Required","")</f>
        <v/>
      </c>
      <c r="D323" s="3" t="s">
        <v>1635</v>
      </c>
      <c r="E323" s="7">
        <v>45466</v>
      </c>
      <c r="F323" s="3" t="s">
        <v>1636</v>
      </c>
      <c r="G323" s="7">
        <v>45473</v>
      </c>
      <c r="H323" s="7" t="str">
        <f t="shared" si="111"/>
        <v>Valid</v>
      </c>
      <c r="I323" s="9">
        <f t="shared" si="112"/>
        <v>7</v>
      </c>
      <c r="J323" s="9" t="str">
        <f t="shared" si="113"/>
        <v>Valid</v>
      </c>
      <c r="K323" t="s">
        <v>1637</v>
      </c>
      <c r="L323" t="s">
        <v>92</v>
      </c>
      <c r="M323" t="s">
        <v>92</v>
      </c>
      <c r="N323" t="s">
        <v>40</v>
      </c>
      <c r="O323" s="3" t="str">
        <f t="shared" si="114"/>
        <v>Small Business</v>
      </c>
      <c r="P323" t="s">
        <v>72</v>
      </c>
      <c r="Q323" s="3" t="str">
        <f t="shared" si="115"/>
        <v>West</v>
      </c>
      <c r="R323" t="s">
        <v>248</v>
      </c>
      <c r="S323" t="s">
        <v>249</v>
      </c>
      <c r="T323" t="s">
        <v>85</v>
      </c>
      <c r="U323" s="3" t="str">
        <f t="shared" si="116"/>
        <v>Technology</v>
      </c>
      <c r="V323" t="s">
        <v>86</v>
      </c>
      <c r="W323" t="s">
        <v>1638</v>
      </c>
      <c r="X323" t="s">
        <v>47</v>
      </c>
      <c r="Y323" s="3" t="str">
        <f t="shared" si="117"/>
        <v>Same Day</v>
      </c>
      <c r="Z323">
        <v>4</v>
      </c>
      <c r="AA323">
        <v>674.82</v>
      </c>
      <c r="AB323">
        <v>0</v>
      </c>
      <c r="AC323">
        <f t="shared" si="118"/>
        <v>0</v>
      </c>
      <c r="AD323" t="str">
        <f t="shared" ref="AD323:AD386" si="121">IF(AC323&lt;0,"Invalid Discount","Valid")</f>
        <v>Valid</v>
      </c>
      <c r="AE323">
        <v>2699.28</v>
      </c>
      <c r="AF323">
        <v>1759.76</v>
      </c>
      <c r="AG323">
        <v>939.52</v>
      </c>
      <c r="AH323" t="s">
        <v>199</v>
      </c>
      <c r="AI323" t="str">
        <f t="shared" ref="AI323:AI386" si="122">IF(OR(AH323="Failed",AL323="Cancelled"),"Exclude","Include")</f>
        <v>Exclude</v>
      </c>
      <c r="AJ323" t="str">
        <f t="shared" ref="AJ323:AJ386" si="123">IF(AH323="Refunded","Refunded Order","")</f>
        <v/>
      </c>
      <c r="AK323" t="s">
        <v>77</v>
      </c>
      <c r="AL323" t="str">
        <f t="shared" si="119"/>
        <v>Cancelled</v>
      </c>
      <c r="AM323" t="str">
        <f t="shared" ref="AM323:AM386" si="124">IF(AL323="Cancelled","Exclude","Include")</f>
        <v>Exclude</v>
      </c>
      <c r="AN323">
        <f t="shared" ref="AN323:AN386" si="125">Z323*AA323*(1-AC323)</f>
        <v>2699.28</v>
      </c>
      <c r="AO323">
        <f t="shared" ref="AO323:AO386" si="126">AN323-AF323</f>
        <v>939.52000000000021</v>
      </c>
      <c r="AP323">
        <f>IF(AN323=0,0,AO323/AN323)</f>
        <v>0.34806318722029583</v>
      </c>
      <c r="AQ323" t="str">
        <f t="shared" ref="AQ323:AQ386" si="127">TEXT(E323,"mmmm")</f>
        <v>June</v>
      </c>
      <c r="AR323">
        <f t="shared" ref="AR323:AR386" si="128">YEAR(E323)</f>
        <v>2024</v>
      </c>
      <c r="AS323" t="str">
        <f t="shared" ref="AS323:AS386" si="129">IF(OR(AC323&lt;0,AC323&gt;1,G323&lt;E323),"Invalid",IF(OR(Q323="Unknown",Y323="Unknown"),"Warning","Clean"))</f>
        <v>Clean</v>
      </c>
      <c r="AT323" t="str">
        <f>IF(OR(AC323&lt;0,AC323&gt;0.5),"Invalid Discount","Valid")</f>
        <v>Valid</v>
      </c>
      <c r="AU323" t="str">
        <f>IF(G323&lt;E323,"Invalid Shipping Record","Valid")</f>
        <v>Valid</v>
      </c>
      <c r="AV323" t="str">
        <f>IF(OR(AL323="Cancelled",AH323="Failed"),"Exclude","Include")</f>
        <v>Exclude</v>
      </c>
      <c r="AW323" t="str">
        <f t="shared" ref="AW323:AW386" si="130">IF(ROUND(AE323,2)=ROUND(AN323,2),"Match","Mismatch")</f>
        <v>Match</v>
      </c>
      <c r="AX323" t="str">
        <f t="shared" ref="AX323:AX386" si="131">IF(ROUND(AG323,2)=ROUND(AO323,2),"Match","Mismatch")</f>
        <v>Match</v>
      </c>
    </row>
    <row r="324" spans="1:50">
      <c r="A324" t="s">
        <v>1639</v>
      </c>
      <c r="B324">
        <f t="shared" si="110"/>
        <v>1</v>
      </c>
      <c r="C324" t="str">
        <f t="shared" si="120"/>
        <v/>
      </c>
      <c r="D324" s="3" t="s">
        <v>1535</v>
      </c>
      <c r="E324" s="7">
        <v>45608</v>
      </c>
      <c r="F324" s="3" t="s">
        <v>1640</v>
      </c>
      <c r="G324" s="7">
        <v>45608</v>
      </c>
      <c r="H324" s="7" t="str">
        <f t="shared" si="111"/>
        <v>Valid</v>
      </c>
      <c r="I324" s="9">
        <f t="shared" si="112"/>
        <v>0</v>
      </c>
      <c r="J324" s="9" t="str">
        <f t="shared" si="113"/>
        <v>Valid</v>
      </c>
      <c r="K324" t="s">
        <v>1641</v>
      </c>
      <c r="L324" t="s">
        <v>52</v>
      </c>
      <c r="M324" t="s">
        <v>52</v>
      </c>
      <c r="N324" t="s">
        <v>25</v>
      </c>
      <c r="O324" s="3" t="str">
        <f t="shared" si="114"/>
        <v>Consumer</v>
      </c>
      <c r="P324" t="s">
        <v>26</v>
      </c>
      <c r="Q324" s="3" t="str">
        <f t="shared" si="115"/>
        <v>North</v>
      </c>
      <c r="R324" t="s">
        <v>173</v>
      </c>
      <c r="S324" t="s">
        <v>174</v>
      </c>
      <c r="T324" t="s">
        <v>85</v>
      </c>
      <c r="U324" s="3" t="str">
        <f t="shared" si="116"/>
        <v>Technology</v>
      </c>
      <c r="V324" t="s">
        <v>222</v>
      </c>
      <c r="W324" t="s">
        <v>1642</v>
      </c>
      <c r="X324" t="s">
        <v>32</v>
      </c>
      <c r="Y324" s="3" t="str">
        <f t="shared" si="117"/>
        <v>Second Class</v>
      </c>
      <c r="Z324">
        <v>6</v>
      </c>
      <c r="AA324">
        <v>1369.48</v>
      </c>
      <c r="AB324">
        <v>0.15</v>
      </c>
      <c r="AC324">
        <f t="shared" si="118"/>
        <v>0.15</v>
      </c>
      <c r="AD324" t="str">
        <f t="shared" si="121"/>
        <v>Valid</v>
      </c>
      <c r="AE324">
        <v>6984.35</v>
      </c>
      <c r="AF324">
        <v>4023.63</v>
      </c>
      <c r="AG324">
        <v>2960.72</v>
      </c>
      <c r="AH324" t="s">
        <v>33</v>
      </c>
      <c r="AI324" t="str">
        <f t="shared" si="122"/>
        <v>Include</v>
      </c>
      <c r="AJ324" t="str">
        <f t="shared" si="123"/>
        <v/>
      </c>
      <c r="AK324" t="s">
        <v>34</v>
      </c>
      <c r="AL324" t="str">
        <f t="shared" si="119"/>
        <v>Completed</v>
      </c>
      <c r="AM324" t="str">
        <f t="shared" si="124"/>
        <v>Include</v>
      </c>
      <c r="AN324">
        <f t="shared" si="125"/>
        <v>6984.3480000000009</v>
      </c>
      <c r="AO324">
        <f t="shared" si="126"/>
        <v>2960.7180000000008</v>
      </c>
      <c r="AP324">
        <f>IF(AN324=0,0,AO324/AN324)</f>
        <v>0.42390757161584736</v>
      </c>
      <c r="AQ324" t="str">
        <f t="shared" si="127"/>
        <v>November</v>
      </c>
      <c r="AR324">
        <f t="shared" si="128"/>
        <v>2024</v>
      </c>
      <c r="AS324" t="str">
        <f t="shared" si="129"/>
        <v>Clean</v>
      </c>
      <c r="AT324" t="str">
        <f>IF(OR(AC324&lt;0,AC324&gt;0.5),"Invalid Discount","Valid")</f>
        <v>Valid</v>
      </c>
      <c r="AU324" t="str">
        <f>IF(G324&lt;E324,"Invalid Shipping Record","Valid")</f>
        <v>Valid</v>
      </c>
      <c r="AV324" t="str">
        <f>IF(OR(AL324="Cancelled",AH324="Failed"),"Exclude","Include")</f>
        <v>Include</v>
      </c>
      <c r="AW324" t="str">
        <f t="shared" si="130"/>
        <v>Match</v>
      </c>
      <c r="AX324" t="str">
        <f t="shared" si="131"/>
        <v>Match</v>
      </c>
    </row>
    <row r="325" spans="1:50">
      <c r="A325" t="s">
        <v>1643</v>
      </c>
      <c r="B325">
        <f t="shared" si="110"/>
        <v>1</v>
      </c>
      <c r="C325" t="str">
        <f t="shared" si="120"/>
        <v/>
      </c>
      <c r="D325" s="3" t="s">
        <v>1644</v>
      </c>
      <c r="E325" s="7">
        <v>45347</v>
      </c>
      <c r="F325" s="3" t="s">
        <v>1645</v>
      </c>
      <c r="G325" s="7">
        <v>45351</v>
      </c>
      <c r="H325" s="7" t="str">
        <f t="shared" si="111"/>
        <v>Valid</v>
      </c>
      <c r="I325" s="9">
        <f t="shared" si="112"/>
        <v>4</v>
      </c>
      <c r="J325" s="9" t="str">
        <f t="shared" si="113"/>
        <v>Valid</v>
      </c>
      <c r="K325" t="s">
        <v>1646</v>
      </c>
      <c r="L325" t="s">
        <v>52</v>
      </c>
      <c r="M325" t="s">
        <v>52</v>
      </c>
      <c r="N325" t="s">
        <v>40</v>
      </c>
      <c r="O325" s="3" t="str">
        <f t="shared" si="114"/>
        <v>Small Business</v>
      </c>
      <c r="P325" t="s">
        <v>72</v>
      </c>
      <c r="Q325" s="3" t="str">
        <f t="shared" si="115"/>
        <v>West</v>
      </c>
      <c r="R325" t="s">
        <v>248</v>
      </c>
      <c r="S325" t="s">
        <v>249</v>
      </c>
      <c r="T325" t="s">
        <v>44</v>
      </c>
      <c r="U325" s="3" t="str">
        <f t="shared" si="116"/>
        <v>Furniture</v>
      </c>
      <c r="V325" t="s">
        <v>64</v>
      </c>
      <c r="W325" t="s">
        <v>192</v>
      </c>
      <c r="X325" t="s">
        <v>66</v>
      </c>
      <c r="Y325" s="3" t="str">
        <f t="shared" si="117"/>
        <v>Standard Class</v>
      </c>
      <c r="Z325">
        <v>9</v>
      </c>
      <c r="AA325">
        <v>1331.46</v>
      </c>
      <c r="AB325">
        <v>0.15</v>
      </c>
      <c r="AC325">
        <f t="shared" si="118"/>
        <v>0.15</v>
      </c>
      <c r="AD325" t="str">
        <f t="shared" si="121"/>
        <v>Valid</v>
      </c>
      <c r="AE325">
        <v>10185.67</v>
      </c>
      <c r="AF325">
        <v>6479.31</v>
      </c>
      <c r="AG325">
        <v>3706.36</v>
      </c>
      <c r="AH325" t="s">
        <v>33</v>
      </c>
      <c r="AI325" t="str">
        <f t="shared" si="122"/>
        <v>Include</v>
      </c>
      <c r="AJ325" t="str">
        <f t="shared" si="123"/>
        <v/>
      </c>
      <c r="AK325" t="s">
        <v>34</v>
      </c>
      <c r="AL325" t="str">
        <f t="shared" si="119"/>
        <v>Completed</v>
      </c>
      <c r="AM325" t="str">
        <f t="shared" si="124"/>
        <v>Include</v>
      </c>
      <c r="AN325">
        <f t="shared" si="125"/>
        <v>10185.669</v>
      </c>
      <c r="AO325">
        <f t="shared" si="126"/>
        <v>3706.3589999999995</v>
      </c>
      <c r="AP325">
        <f>IF(AN325=0,0,AO325/AN325)</f>
        <v>0.36387978050337189</v>
      </c>
      <c r="AQ325" t="str">
        <f t="shared" si="127"/>
        <v>February</v>
      </c>
      <c r="AR325">
        <f t="shared" si="128"/>
        <v>2024</v>
      </c>
      <c r="AS325" t="str">
        <f t="shared" si="129"/>
        <v>Clean</v>
      </c>
      <c r="AT325" t="str">
        <f>IF(OR(AC325&lt;0,AC325&gt;0.5),"Invalid Discount","Valid")</f>
        <v>Valid</v>
      </c>
      <c r="AU325" t="str">
        <f>IF(G325&lt;E325,"Invalid Shipping Record","Valid")</f>
        <v>Valid</v>
      </c>
      <c r="AV325" t="str">
        <f>IF(OR(AL325="Cancelled",AH325="Failed"),"Exclude","Include")</f>
        <v>Include</v>
      </c>
      <c r="AW325" t="str">
        <f t="shared" si="130"/>
        <v>Match</v>
      </c>
      <c r="AX325" t="str">
        <f t="shared" si="131"/>
        <v>Match</v>
      </c>
    </row>
    <row r="326" spans="1:50">
      <c r="A326" t="s">
        <v>1647</v>
      </c>
      <c r="B326">
        <f t="shared" si="110"/>
        <v>1</v>
      </c>
      <c r="C326" t="str">
        <f t="shared" si="120"/>
        <v/>
      </c>
      <c r="D326" s="3" t="s">
        <v>1648</v>
      </c>
      <c r="E326" s="7">
        <v>45869</v>
      </c>
      <c r="F326" s="3" t="s">
        <v>942</v>
      </c>
      <c r="G326" s="7">
        <v>45871</v>
      </c>
      <c r="H326" s="7" t="str">
        <f t="shared" si="111"/>
        <v>Valid</v>
      </c>
      <c r="I326" s="9">
        <f t="shared" si="112"/>
        <v>2</v>
      </c>
      <c r="J326" s="9" t="str">
        <f t="shared" si="113"/>
        <v>Valid</v>
      </c>
      <c r="K326" t="s">
        <v>1649</v>
      </c>
      <c r="L326" t="s">
        <v>179</v>
      </c>
      <c r="M326" t="s">
        <v>179</v>
      </c>
      <c r="N326" t="s">
        <v>114</v>
      </c>
      <c r="O326" s="3" t="str">
        <f t="shared" si="114"/>
        <v>Home Office</v>
      </c>
      <c r="P326" t="s">
        <v>61</v>
      </c>
      <c r="Q326" s="3" t="str">
        <f t="shared" si="115"/>
        <v>South</v>
      </c>
      <c r="R326" t="s">
        <v>99</v>
      </c>
      <c r="S326" t="s">
        <v>100</v>
      </c>
      <c r="T326" t="s">
        <v>29</v>
      </c>
      <c r="U326" s="3" t="str">
        <f t="shared" si="116"/>
        <v>Office Supplies</v>
      </c>
      <c r="V326" t="s">
        <v>108</v>
      </c>
      <c r="W326" t="s">
        <v>1650</v>
      </c>
      <c r="X326" t="s">
        <v>47</v>
      </c>
      <c r="Y326" s="3" t="str">
        <f t="shared" si="117"/>
        <v>Same Day</v>
      </c>
      <c r="Z326">
        <v>1</v>
      </c>
      <c r="AA326">
        <v>1947.88</v>
      </c>
      <c r="AB326">
        <v>0.15</v>
      </c>
      <c r="AC326">
        <f t="shared" si="118"/>
        <v>0.15</v>
      </c>
      <c r="AD326" t="str">
        <f t="shared" si="121"/>
        <v>Valid</v>
      </c>
      <c r="AE326">
        <v>1655.7</v>
      </c>
      <c r="AF326">
        <v>1354.8</v>
      </c>
      <c r="AG326">
        <v>300.89999999999998</v>
      </c>
      <c r="AH326" t="s">
        <v>33</v>
      </c>
      <c r="AI326" t="str">
        <f t="shared" si="122"/>
        <v>Include</v>
      </c>
      <c r="AJ326" t="str">
        <f t="shared" si="123"/>
        <v/>
      </c>
      <c r="AK326" t="s">
        <v>124</v>
      </c>
      <c r="AL326" t="str">
        <f t="shared" si="119"/>
        <v>Returned</v>
      </c>
      <c r="AM326" t="str">
        <f t="shared" si="124"/>
        <v>Include</v>
      </c>
      <c r="AN326">
        <f t="shared" si="125"/>
        <v>1655.6980000000001</v>
      </c>
      <c r="AO326">
        <f t="shared" si="126"/>
        <v>300.89800000000014</v>
      </c>
      <c r="AP326">
        <f>IF(AN326=0,0,AO326/AN326)</f>
        <v>0.1817348332848141</v>
      </c>
      <c r="AQ326" t="str">
        <f t="shared" si="127"/>
        <v>July</v>
      </c>
      <c r="AR326">
        <f t="shared" si="128"/>
        <v>2025</v>
      </c>
      <c r="AS326" t="str">
        <f t="shared" si="129"/>
        <v>Clean</v>
      </c>
      <c r="AT326" t="str">
        <f>IF(OR(AC326&lt;0,AC326&gt;0.5),"Invalid Discount","Valid")</f>
        <v>Valid</v>
      </c>
      <c r="AU326" t="str">
        <f>IF(G326&lt;E326,"Invalid Shipping Record","Valid")</f>
        <v>Valid</v>
      </c>
      <c r="AV326" t="str">
        <f>IF(OR(AL326="Cancelled",AH326="Failed"),"Exclude","Include")</f>
        <v>Include</v>
      </c>
      <c r="AW326" t="str">
        <f t="shared" si="130"/>
        <v>Match</v>
      </c>
      <c r="AX326" t="str">
        <f t="shared" si="131"/>
        <v>Match</v>
      </c>
    </row>
    <row r="327" spans="1:50">
      <c r="A327" t="s">
        <v>1651</v>
      </c>
      <c r="B327">
        <f t="shared" si="110"/>
        <v>1</v>
      </c>
      <c r="C327" t="str">
        <f t="shared" si="120"/>
        <v/>
      </c>
      <c r="D327" s="3" t="s">
        <v>1652</v>
      </c>
      <c r="E327" s="7">
        <v>45916</v>
      </c>
      <c r="F327" s="3" t="s">
        <v>1653</v>
      </c>
      <c r="G327" s="7">
        <v>45922</v>
      </c>
      <c r="H327" s="7" t="str">
        <f t="shared" si="111"/>
        <v>Valid</v>
      </c>
      <c r="I327" s="9">
        <f t="shared" si="112"/>
        <v>6</v>
      </c>
      <c r="J327" s="9" t="str">
        <f t="shared" si="113"/>
        <v>Valid</v>
      </c>
      <c r="K327" t="s">
        <v>1654</v>
      </c>
      <c r="L327" t="s">
        <v>167</v>
      </c>
      <c r="M327" t="s">
        <v>167</v>
      </c>
      <c r="N327" t="s">
        <v>114</v>
      </c>
      <c r="O327" s="3" t="str">
        <f t="shared" si="114"/>
        <v>Home Office</v>
      </c>
      <c r="P327" t="s">
        <v>41</v>
      </c>
      <c r="Q327" s="3" t="str">
        <f t="shared" si="115"/>
        <v>East</v>
      </c>
      <c r="R327" t="s">
        <v>120</v>
      </c>
      <c r="S327" t="s">
        <v>121</v>
      </c>
      <c r="T327" t="s">
        <v>85</v>
      </c>
      <c r="U327" s="3" t="str">
        <f t="shared" si="116"/>
        <v>Technology</v>
      </c>
      <c r="V327" t="s">
        <v>93</v>
      </c>
      <c r="W327" t="s">
        <v>1655</v>
      </c>
      <c r="X327" t="s">
        <v>32</v>
      </c>
      <c r="Y327" s="3" t="str">
        <f t="shared" si="117"/>
        <v>Second Class</v>
      </c>
      <c r="Z327">
        <v>5</v>
      </c>
      <c r="AA327">
        <v>3671.2</v>
      </c>
      <c r="AB327">
        <v>0.15</v>
      </c>
      <c r="AC327">
        <f t="shared" si="118"/>
        <v>0.15</v>
      </c>
      <c r="AD327" t="str">
        <f t="shared" si="121"/>
        <v>Valid</v>
      </c>
      <c r="AE327">
        <v>15602.6</v>
      </c>
      <c r="AF327">
        <v>11908.52</v>
      </c>
      <c r="AG327">
        <v>3694.08</v>
      </c>
      <c r="AH327" t="s">
        <v>33</v>
      </c>
      <c r="AI327" t="str">
        <f t="shared" si="122"/>
        <v>Include</v>
      </c>
      <c r="AJ327" t="str">
        <f t="shared" si="123"/>
        <v/>
      </c>
      <c r="AK327" t="s">
        <v>34</v>
      </c>
      <c r="AL327" t="str">
        <f t="shared" si="119"/>
        <v>Completed</v>
      </c>
      <c r="AM327" t="str">
        <f t="shared" si="124"/>
        <v>Include</v>
      </c>
      <c r="AN327">
        <f t="shared" si="125"/>
        <v>15602.6</v>
      </c>
      <c r="AO327">
        <f t="shared" si="126"/>
        <v>3694.08</v>
      </c>
      <c r="AP327">
        <f>IF(AN327=0,0,AO327/AN327)</f>
        <v>0.236760539910015</v>
      </c>
      <c r="AQ327" t="str">
        <f t="shared" si="127"/>
        <v>September</v>
      </c>
      <c r="AR327">
        <f t="shared" si="128"/>
        <v>2025</v>
      </c>
      <c r="AS327" t="str">
        <f t="shared" si="129"/>
        <v>Clean</v>
      </c>
      <c r="AT327" t="str">
        <f>IF(OR(AC327&lt;0,AC327&gt;0.5),"Invalid Discount","Valid")</f>
        <v>Valid</v>
      </c>
      <c r="AU327" t="str">
        <f>IF(G327&lt;E327,"Invalid Shipping Record","Valid")</f>
        <v>Valid</v>
      </c>
      <c r="AV327" t="str">
        <f>IF(OR(AL327="Cancelled",AH327="Failed"),"Exclude","Include")</f>
        <v>Include</v>
      </c>
      <c r="AW327" t="str">
        <f t="shared" si="130"/>
        <v>Match</v>
      </c>
      <c r="AX327" t="str">
        <f t="shared" si="131"/>
        <v>Match</v>
      </c>
    </row>
    <row r="328" spans="1:50">
      <c r="A328" t="s">
        <v>1656</v>
      </c>
      <c r="B328">
        <f t="shared" si="110"/>
        <v>1</v>
      </c>
      <c r="C328" t="str">
        <f t="shared" si="120"/>
        <v/>
      </c>
      <c r="D328" s="3" t="s">
        <v>1657</v>
      </c>
      <c r="E328" s="7">
        <v>45860</v>
      </c>
      <c r="F328" s="3" t="s">
        <v>1511</v>
      </c>
      <c r="G328" s="7">
        <v>45860</v>
      </c>
      <c r="H328" s="7" t="str">
        <f t="shared" si="111"/>
        <v>Valid</v>
      </c>
      <c r="I328" s="9">
        <f t="shared" si="112"/>
        <v>0</v>
      </c>
      <c r="J328" s="9" t="str">
        <f t="shared" si="113"/>
        <v>Valid</v>
      </c>
      <c r="K328" t="s">
        <v>1658</v>
      </c>
      <c r="L328" t="s">
        <v>167</v>
      </c>
      <c r="M328" t="s">
        <v>167</v>
      </c>
      <c r="N328" t="s">
        <v>107</v>
      </c>
      <c r="O328" s="3" t="str">
        <f t="shared" si="114"/>
        <v>Corporate</v>
      </c>
      <c r="P328" t="s">
        <v>41</v>
      </c>
      <c r="Q328" s="3" t="str">
        <f t="shared" si="115"/>
        <v>East</v>
      </c>
      <c r="R328" t="s">
        <v>310</v>
      </c>
      <c r="S328" t="s">
        <v>311</v>
      </c>
      <c r="T328" t="s">
        <v>44</v>
      </c>
      <c r="U328" s="3" t="str">
        <f t="shared" si="116"/>
        <v>Furniture</v>
      </c>
      <c r="V328" t="s">
        <v>64</v>
      </c>
      <c r="W328" t="s">
        <v>1659</v>
      </c>
      <c r="X328" t="s">
        <v>47</v>
      </c>
      <c r="Y328" s="3" t="str">
        <f t="shared" si="117"/>
        <v>Same Day</v>
      </c>
      <c r="Z328">
        <v>5</v>
      </c>
      <c r="AA328">
        <v>3187.05</v>
      </c>
      <c r="AB328">
        <v>0.05</v>
      </c>
      <c r="AC328">
        <f t="shared" si="118"/>
        <v>0.05</v>
      </c>
      <c r="AD328" t="str">
        <f t="shared" si="121"/>
        <v>Valid</v>
      </c>
      <c r="AE328">
        <v>15138.49</v>
      </c>
      <c r="AF328">
        <v>11235.72</v>
      </c>
      <c r="AG328">
        <v>3902.77</v>
      </c>
      <c r="AH328" t="s">
        <v>33</v>
      </c>
      <c r="AI328" t="str">
        <f t="shared" si="122"/>
        <v>Include</v>
      </c>
      <c r="AJ328" t="str">
        <f t="shared" si="123"/>
        <v/>
      </c>
      <c r="AK328" t="s">
        <v>34</v>
      </c>
      <c r="AL328" t="str">
        <f t="shared" si="119"/>
        <v>Completed</v>
      </c>
      <c r="AM328" t="str">
        <f t="shared" si="124"/>
        <v>Include</v>
      </c>
      <c r="AN328">
        <f t="shared" si="125"/>
        <v>15138.487499999999</v>
      </c>
      <c r="AO328">
        <f t="shared" si="126"/>
        <v>3902.7674999999999</v>
      </c>
      <c r="AP328">
        <f>IF(AN328=0,0,AO328/AN328)</f>
        <v>0.25780432160082045</v>
      </c>
      <c r="AQ328" t="str">
        <f t="shared" si="127"/>
        <v>July</v>
      </c>
      <c r="AR328">
        <f t="shared" si="128"/>
        <v>2025</v>
      </c>
      <c r="AS328" t="str">
        <f t="shared" si="129"/>
        <v>Clean</v>
      </c>
      <c r="AT328" t="str">
        <f>IF(OR(AC328&lt;0,AC328&gt;0.5),"Invalid Discount","Valid")</f>
        <v>Valid</v>
      </c>
      <c r="AU328" t="str">
        <f>IF(G328&lt;E328,"Invalid Shipping Record","Valid")</f>
        <v>Valid</v>
      </c>
      <c r="AV328" t="str">
        <f>IF(OR(AL328="Cancelled",AH328="Failed"),"Exclude","Include")</f>
        <v>Include</v>
      </c>
      <c r="AW328" t="str">
        <f t="shared" si="130"/>
        <v>Match</v>
      </c>
      <c r="AX328" t="str">
        <f t="shared" si="131"/>
        <v>Match</v>
      </c>
    </row>
    <row r="329" spans="1:50">
      <c r="A329" t="s">
        <v>1660</v>
      </c>
      <c r="B329">
        <f t="shared" si="110"/>
        <v>1</v>
      </c>
      <c r="C329" t="str">
        <f t="shared" si="120"/>
        <v/>
      </c>
      <c r="D329" s="3" t="s">
        <v>1661</v>
      </c>
      <c r="E329" s="7">
        <v>45497</v>
      </c>
      <c r="F329" s="3" t="s">
        <v>263</v>
      </c>
      <c r="G329" s="7">
        <v>45500</v>
      </c>
      <c r="H329" s="7" t="str">
        <f t="shared" si="111"/>
        <v>Valid</v>
      </c>
      <c r="I329" s="9">
        <f t="shared" si="112"/>
        <v>3</v>
      </c>
      <c r="J329" s="9" t="str">
        <f t="shared" si="113"/>
        <v>Valid</v>
      </c>
      <c r="K329" t="s">
        <v>1662</v>
      </c>
      <c r="L329" t="s">
        <v>52</v>
      </c>
      <c r="M329" t="s">
        <v>52</v>
      </c>
      <c r="N329" t="s">
        <v>25</v>
      </c>
      <c r="O329" s="3" t="str">
        <f t="shared" si="114"/>
        <v>Consumer</v>
      </c>
      <c r="P329" t="s">
        <v>72</v>
      </c>
      <c r="Q329" s="3" t="str">
        <f t="shared" si="115"/>
        <v>West</v>
      </c>
      <c r="R329" t="s">
        <v>27</v>
      </c>
      <c r="S329" t="s">
        <v>134</v>
      </c>
      <c r="T329" t="s">
        <v>85</v>
      </c>
      <c r="U329" s="3" t="str">
        <f t="shared" si="116"/>
        <v>Technology</v>
      </c>
      <c r="V329" t="s">
        <v>86</v>
      </c>
      <c r="W329" t="s">
        <v>1663</v>
      </c>
      <c r="X329" t="s">
        <v>32</v>
      </c>
      <c r="Y329" s="3" t="str">
        <f t="shared" si="117"/>
        <v>Second Class</v>
      </c>
      <c r="Z329">
        <v>3</v>
      </c>
      <c r="AA329">
        <v>1834.55</v>
      </c>
      <c r="AB329">
        <v>0.2</v>
      </c>
      <c r="AC329">
        <f t="shared" si="118"/>
        <v>0.2</v>
      </c>
      <c r="AD329" t="str">
        <f t="shared" si="121"/>
        <v>Valid</v>
      </c>
      <c r="AE329">
        <v>4402.92</v>
      </c>
      <c r="AF329">
        <v>2993.94</v>
      </c>
      <c r="AG329">
        <v>1408.98</v>
      </c>
      <c r="AH329" t="s">
        <v>136</v>
      </c>
      <c r="AI329" t="str">
        <f t="shared" si="122"/>
        <v>Exclude</v>
      </c>
      <c r="AJ329" t="str">
        <f t="shared" si="123"/>
        <v/>
      </c>
      <c r="AK329" t="s">
        <v>77</v>
      </c>
      <c r="AL329" t="str">
        <f t="shared" si="119"/>
        <v>Cancelled</v>
      </c>
      <c r="AM329" t="str">
        <f t="shared" si="124"/>
        <v>Exclude</v>
      </c>
      <c r="AN329">
        <f t="shared" si="125"/>
        <v>4402.92</v>
      </c>
      <c r="AO329">
        <f t="shared" si="126"/>
        <v>1408.98</v>
      </c>
      <c r="AP329">
        <f>IF(AN329=0,0,AO329/AN329)</f>
        <v>0.32001035676323897</v>
      </c>
      <c r="AQ329" t="str">
        <f t="shared" si="127"/>
        <v>July</v>
      </c>
      <c r="AR329">
        <f t="shared" si="128"/>
        <v>2024</v>
      </c>
      <c r="AS329" t="str">
        <f t="shared" si="129"/>
        <v>Clean</v>
      </c>
      <c r="AT329" t="str">
        <f>IF(OR(AC329&lt;0,AC329&gt;0.5),"Invalid Discount","Valid")</f>
        <v>Valid</v>
      </c>
      <c r="AU329" t="str">
        <f>IF(G329&lt;E329,"Invalid Shipping Record","Valid")</f>
        <v>Valid</v>
      </c>
      <c r="AV329" t="str">
        <f>IF(OR(AL329="Cancelled",AH329="Failed"),"Exclude","Include")</f>
        <v>Exclude</v>
      </c>
      <c r="AW329" t="str">
        <f t="shared" si="130"/>
        <v>Match</v>
      </c>
      <c r="AX329" t="str">
        <f t="shared" si="131"/>
        <v>Match</v>
      </c>
    </row>
    <row r="330" spans="1:50">
      <c r="A330" t="s">
        <v>1664</v>
      </c>
      <c r="B330">
        <f t="shared" si="110"/>
        <v>1</v>
      </c>
      <c r="C330" t="str">
        <f t="shared" si="120"/>
        <v/>
      </c>
      <c r="D330" s="3" t="s">
        <v>1665</v>
      </c>
      <c r="E330" s="7">
        <v>45806</v>
      </c>
      <c r="F330" s="3" t="s">
        <v>1431</v>
      </c>
      <c r="G330" s="7">
        <v>45812</v>
      </c>
      <c r="H330" s="7" t="str">
        <f t="shared" si="111"/>
        <v>Valid</v>
      </c>
      <c r="I330" s="9">
        <f t="shared" si="112"/>
        <v>6</v>
      </c>
      <c r="J330" s="9" t="str">
        <f t="shared" si="113"/>
        <v>Valid</v>
      </c>
      <c r="K330" t="s">
        <v>1666</v>
      </c>
      <c r="L330" t="s">
        <v>209</v>
      </c>
      <c r="M330" t="s">
        <v>209</v>
      </c>
      <c r="N330" t="s">
        <v>25</v>
      </c>
      <c r="O330" s="3" t="str">
        <f t="shared" si="114"/>
        <v>Consumer</v>
      </c>
      <c r="P330" t="s">
        <v>72</v>
      </c>
      <c r="Q330" s="3" t="str">
        <f t="shared" si="115"/>
        <v>West</v>
      </c>
      <c r="R330" t="s">
        <v>73</v>
      </c>
      <c r="S330" t="s">
        <v>74</v>
      </c>
      <c r="T330" t="s">
        <v>29</v>
      </c>
      <c r="U330" s="3" t="str">
        <f t="shared" si="116"/>
        <v>Office Supplies</v>
      </c>
      <c r="V330" t="s">
        <v>155</v>
      </c>
      <c r="W330" t="s">
        <v>1667</v>
      </c>
      <c r="X330" t="s">
        <v>55</v>
      </c>
      <c r="Y330" s="3" t="str">
        <f t="shared" si="117"/>
        <v>First Class</v>
      </c>
      <c r="Z330">
        <v>6</v>
      </c>
      <c r="AA330">
        <v>3100.68</v>
      </c>
      <c r="AB330">
        <v>0</v>
      </c>
      <c r="AC330">
        <f t="shared" si="118"/>
        <v>0</v>
      </c>
      <c r="AD330" t="str">
        <f t="shared" si="121"/>
        <v>Valid</v>
      </c>
      <c r="AE330">
        <v>18604.080000000002</v>
      </c>
      <c r="AF330">
        <v>15834.3</v>
      </c>
      <c r="AG330">
        <v>2769.78</v>
      </c>
      <c r="AH330" t="s">
        <v>33</v>
      </c>
      <c r="AI330" t="str">
        <f t="shared" si="122"/>
        <v>Include</v>
      </c>
      <c r="AJ330" t="str">
        <f t="shared" si="123"/>
        <v/>
      </c>
      <c r="AK330" t="s">
        <v>34</v>
      </c>
      <c r="AL330" t="str">
        <f t="shared" si="119"/>
        <v>Completed</v>
      </c>
      <c r="AM330" t="str">
        <f t="shared" si="124"/>
        <v>Include</v>
      </c>
      <c r="AN330">
        <f t="shared" si="125"/>
        <v>18604.079999999998</v>
      </c>
      <c r="AO330">
        <f t="shared" si="126"/>
        <v>2769.7799999999988</v>
      </c>
      <c r="AP330">
        <f>IF(AN330=0,0,AO330/AN330)</f>
        <v>0.1488802456235406</v>
      </c>
      <c r="AQ330" t="str">
        <f t="shared" si="127"/>
        <v>May</v>
      </c>
      <c r="AR330">
        <f t="shared" si="128"/>
        <v>2025</v>
      </c>
      <c r="AS330" t="str">
        <f t="shared" si="129"/>
        <v>Clean</v>
      </c>
      <c r="AT330" t="str">
        <f>IF(OR(AC330&lt;0,AC330&gt;0.5),"Invalid Discount","Valid")</f>
        <v>Valid</v>
      </c>
      <c r="AU330" t="str">
        <f>IF(G330&lt;E330,"Invalid Shipping Record","Valid")</f>
        <v>Valid</v>
      </c>
      <c r="AV330" t="str">
        <f>IF(OR(AL330="Cancelled",AH330="Failed"),"Exclude","Include")</f>
        <v>Include</v>
      </c>
      <c r="AW330" t="str">
        <f t="shared" si="130"/>
        <v>Match</v>
      </c>
      <c r="AX330" t="str">
        <f t="shared" si="131"/>
        <v>Match</v>
      </c>
    </row>
    <row r="331" spans="1:50">
      <c r="A331" t="s">
        <v>1668</v>
      </c>
      <c r="B331">
        <f t="shared" si="110"/>
        <v>1</v>
      </c>
      <c r="C331" t="str">
        <f t="shared" si="120"/>
        <v/>
      </c>
      <c r="D331" s="3" t="s">
        <v>1669</v>
      </c>
      <c r="E331" s="7">
        <v>45789</v>
      </c>
      <c r="F331" s="3" t="s">
        <v>1670</v>
      </c>
      <c r="G331" s="7">
        <v>45795</v>
      </c>
      <c r="H331" s="7" t="str">
        <f t="shared" si="111"/>
        <v>Valid</v>
      </c>
      <c r="I331" s="9">
        <f t="shared" si="112"/>
        <v>6</v>
      </c>
      <c r="J331" s="9" t="str">
        <f t="shared" si="113"/>
        <v>Valid</v>
      </c>
      <c r="K331" t="s">
        <v>1671</v>
      </c>
      <c r="L331" t="s">
        <v>92</v>
      </c>
      <c r="M331" t="s">
        <v>92</v>
      </c>
      <c r="N331" t="s">
        <v>40</v>
      </c>
      <c r="O331" s="3" t="str">
        <f t="shared" si="114"/>
        <v>Small Business</v>
      </c>
      <c r="P331" t="s">
        <v>72</v>
      </c>
      <c r="Q331" s="3" t="str">
        <f t="shared" si="115"/>
        <v>West</v>
      </c>
      <c r="R331" t="s">
        <v>73</v>
      </c>
      <c r="S331" t="s">
        <v>74</v>
      </c>
      <c r="T331" t="s">
        <v>29</v>
      </c>
      <c r="U331" s="3" t="str">
        <f t="shared" si="116"/>
        <v>Office Supplies</v>
      </c>
      <c r="V331" t="s">
        <v>155</v>
      </c>
      <c r="W331" t="s">
        <v>1672</v>
      </c>
      <c r="X331" t="s">
        <v>66</v>
      </c>
      <c r="Y331" s="3" t="str">
        <f t="shared" si="117"/>
        <v>Standard Class</v>
      </c>
      <c r="Z331">
        <v>4</v>
      </c>
      <c r="AA331">
        <v>4053.03</v>
      </c>
      <c r="AB331">
        <v>0.05</v>
      </c>
      <c r="AC331">
        <f t="shared" si="118"/>
        <v>0.05</v>
      </c>
      <c r="AD331" t="str">
        <f t="shared" si="121"/>
        <v>Valid</v>
      </c>
      <c r="AE331">
        <v>15401.51</v>
      </c>
      <c r="AF331">
        <v>8650.42</v>
      </c>
      <c r="AG331">
        <v>6751.09</v>
      </c>
      <c r="AH331" t="s">
        <v>33</v>
      </c>
      <c r="AI331" t="str">
        <f t="shared" si="122"/>
        <v>Include</v>
      </c>
      <c r="AJ331" t="str">
        <f t="shared" si="123"/>
        <v/>
      </c>
      <c r="AK331" t="s">
        <v>34</v>
      </c>
      <c r="AL331" t="str">
        <f t="shared" si="119"/>
        <v>Completed</v>
      </c>
      <c r="AM331" t="str">
        <f t="shared" si="124"/>
        <v>Include</v>
      </c>
      <c r="AN331">
        <f t="shared" si="125"/>
        <v>15401.513999999999</v>
      </c>
      <c r="AO331">
        <f t="shared" si="126"/>
        <v>6751.0939999999991</v>
      </c>
      <c r="AP331">
        <f>IF(AN331=0,0,AO331/AN331)</f>
        <v>0.43833963336331738</v>
      </c>
      <c r="AQ331" t="str">
        <f t="shared" si="127"/>
        <v>May</v>
      </c>
      <c r="AR331">
        <f t="shared" si="128"/>
        <v>2025</v>
      </c>
      <c r="AS331" t="str">
        <f t="shared" si="129"/>
        <v>Clean</v>
      </c>
      <c r="AT331" t="str">
        <f>IF(OR(AC331&lt;0,AC331&gt;0.5),"Invalid Discount","Valid")</f>
        <v>Valid</v>
      </c>
      <c r="AU331" t="str">
        <f>IF(G331&lt;E331,"Invalid Shipping Record","Valid")</f>
        <v>Valid</v>
      </c>
      <c r="AV331" t="str">
        <f>IF(OR(AL331="Cancelled",AH331="Failed"),"Exclude","Include")</f>
        <v>Include</v>
      </c>
      <c r="AW331" t="str">
        <f t="shared" si="130"/>
        <v>Match</v>
      </c>
      <c r="AX331" t="str">
        <f t="shared" si="131"/>
        <v>Match</v>
      </c>
    </row>
    <row r="332" spans="1:50">
      <c r="A332" t="s">
        <v>1673</v>
      </c>
      <c r="B332">
        <f t="shared" si="110"/>
        <v>1</v>
      </c>
      <c r="C332" t="str">
        <f t="shared" si="120"/>
        <v/>
      </c>
      <c r="D332" s="3" t="s">
        <v>1127</v>
      </c>
      <c r="E332" s="7">
        <v>45428</v>
      </c>
      <c r="F332" s="3" t="s">
        <v>708</v>
      </c>
      <c r="G332" s="7">
        <v>45436</v>
      </c>
      <c r="H332" s="7" t="str">
        <f t="shared" si="111"/>
        <v>Valid</v>
      </c>
      <c r="I332" s="9">
        <f t="shared" si="112"/>
        <v>8</v>
      </c>
      <c r="J332" s="9" t="str">
        <f t="shared" si="113"/>
        <v>Valid</v>
      </c>
      <c r="K332" t="s">
        <v>1674</v>
      </c>
      <c r="L332" t="s">
        <v>60</v>
      </c>
      <c r="M332" t="s">
        <v>60</v>
      </c>
      <c r="N332" t="s">
        <v>114</v>
      </c>
      <c r="O332" s="3" t="str">
        <f t="shared" si="114"/>
        <v>Home Office</v>
      </c>
      <c r="P332" t="s">
        <v>26</v>
      </c>
      <c r="Q332" s="3" t="str">
        <f t="shared" si="115"/>
        <v>North</v>
      </c>
      <c r="R332" t="s">
        <v>153</v>
      </c>
      <c r="S332" t="s">
        <v>154</v>
      </c>
      <c r="T332" t="s">
        <v>85</v>
      </c>
      <c r="U332" s="3" t="str">
        <f t="shared" si="116"/>
        <v>Technology</v>
      </c>
      <c r="V332" t="s">
        <v>86</v>
      </c>
      <c r="W332" t="s">
        <v>1675</v>
      </c>
      <c r="X332" t="s">
        <v>47</v>
      </c>
      <c r="Y332" s="3" t="str">
        <f t="shared" si="117"/>
        <v>Same Day</v>
      </c>
      <c r="Z332">
        <v>1</v>
      </c>
      <c r="AA332">
        <v>783.09</v>
      </c>
      <c r="AB332">
        <v>0</v>
      </c>
      <c r="AC332">
        <f t="shared" si="118"/>
        <v>0</v>
      </c>
      <c r="AD332" t="str">
        <f t="shared" si="121"/>
        <v>Valid</v>
      </c>
      <c r="AE332">
        <v>783.09</v>
      </c>
      <c r="AF332">
        <v>503.89</v>
      </c>
      <c r="AG332">
        <v>279.2</v>
      </c>
      <c r="AH332" t="s">
        <v>199</v>
      </c>
      <c r="AI332" t="str">
        <f t="shared" si="122"/>
        <v>Exclude</v>
      </c>
      <c r="AJ332" t="str">
        <f t="shared" si="123"/>
        <v/>
      </c>
      <c r="AK332" t="s">
        <v>77</v>
      </c>
      <c r="AL332" t="str">
        <f t="shared" si="119"/>
        <v>Cancelled</v>
      </c>
      <c r="AM332" t="str">
        <f t="shared" si="124"/>
        <v>Exclude</v>
      </c>
      <c r="AN332">
        <f t="shared" si="125"/>
        <v>783.09</v>
      </c>
      <c r="AO332">
        <f t="shared" si="126"/>
        <v>279.20000000000005</v>
      </c>
      <c r="AP332">
        <f>IF(AN332=0,0,AO332/AN332)</f>
        <v>0.3565362857398256</v>
      </c>
      <c r="AQ332" t="str">
        <f t="shared" si="127"/>
        <v>May</v>
      </c>
      <c r="AR332">
        <f t="shared" si="128"/>
        <v>2024</v>
      </c>
      <c r="AS332" t="str">
        <f t="shared" si="129"/>
        <v>Clean</v>
      </c>
      <c r="AT332" t="str">
        <f>IF(OR(AC332&lt;0,AC332&gt;0.5),"Invalid Discount","Valid")</f>
        <v>Valid</v>
      </c>
      <c r="AU332" t="str">
        <f>IF(G332&lt;E332,"Invalid Shipping Record","Valid")</f>
        <v>Valid</v>
      </c>
      <c r="AV332" t="str">
        <f>IF(OR(AL332="Cancelled",AH332="Failed"),"Exclude","Include")</f>
        <v>Exclude</v>
      </c>
      <c r="AW332" t="str">
        <f t="shared" si="130"/>
        <v>Match</v>
      </c>
      <c r="AX332" t="str">
        <f t="shared" si="131"/>
        <v>Match</v>
      </c>
    </row>
    <row r="333" spans="1:50">
      <c r="A333" t="s">
        <v>1676</v>
      </c>
      <c r="B333">
        <f t="shared" si="110"/>
        <v>2</v>
      </c>
      <c r="C333" t="str">
        <f t="shared" si="120"/>
        <v>Review Required</v>
      </c>
      <c r="D333" s="3" t="s">
        <v>704</v>
      </c>
      <c r="E333" s="7">
        <v>45630</v>
      </c>
      <c r="F333" s="3" t="s">
        <v>1677</v>
      </c>
      <c r="G333" s="7">
        <v>45632</v>
      </c>
      <c r="H333" s="7" t="str">
        <f t="shared" si="111"/>
        <v>Valid</v>
      </c>
      <c r="I333" s="9">
        <f t="shared" si="112"/>
        <v>2</v>
      </c>
      <c r="J333" s="9" t="str">
        <f t="shared" si="113"/>
        <v>Valid</v>
      </c>
      <c r="K333" t="s">
        <v>1678</v>
      </c>
      <c r="L333" t="s">
        <v>167</v>
      </c>
      <c r="M333" t="s">
        <v>167</v>
      </c>
      <c r="N333" t="s">
        <v>114</v>
      </c>
      <c r="O333" s="3" t="str">
        <f t="shared" si="114"/>
        <v>Home Office</v>
      </c>
      <c r="P333" t="s">
        <v>41</v>
      </c>
      <c r="Q333" s="3" t="str">
        <f t="shared" si="115"/>
        <v>East</v>
      </c>
      <c r="R333" t="s">
        <v>42</v>
      </c>
      <c r="S333" t="s">
        <v>43</v>
      </c>
      <c r="T333" t="s">
        <v>29</v>
      </c>
      <c r="U333" s="3" t="str">
        <f t="shared" si="116"/>
        <v>Office Supplies</v>
      </c>
      <c r="V333" t="s">
        <v>197</v>
      </c>
      <c r="W333" t="s">
        <v>1679</v>
      </c>
      <c r="X333" t="s">
        <v>32</v>
      </c>
      <c r="Y333" s="3" t="str">
        <f t="shared" si="117"/>
        <v>Second Class</v>
      </c>
      <c r="Z333">
        <v>4</v>
      </c>
      <c r="AA333">
        <v>2685.66</v>
      </c>
      <c r="AB333">
        <v>0</v>
      </c>
      <c r="AC333">
        <f t="shared" si="118"/>
        <v>0</v>
      </c>
      <c r="AD333" t="str">
        <f t="shared" si="121"/>
        <v>Valid</v>
      </c>
      <c r="AE333">
        <v>10989.89</v>
      </c>
      <c r="AF333">
        <v>6477.37</v>
      </c>
      <c r="AG333">
        <v>4265.2700000000004</v>
      </c>
      <c r="AH333" t="s">
        <v>33</v>
      </c>
      <c r="AI333" t="str">
        <f t="shared" si="122"/>
        <v>Include</v>
      </c>
      <c r="AJ333" t="str">
        <f t="shared" si="123"/>
        <v/>
      </c>
      <c r="AK333" t="s">
        <v>34</v>
      </c>
      <c r="AL333" t="str">
        <f t="shared" si="119"/>
        <v>Completed</v>
      </c>
      <c r="AM333" t="str">
        <f t="shared" si="124"/>
        <v>Include</v>
      </c>
      <c r="AN333">
        <f t="shared" si="125"/>
        <v>10742.64</v>
      </c>
      <c r="AO333">
        <f t="shared" si="126"/>
        <v>4265.2699999999995</v>
      </c>
      <c r="AP333">
        <f>IF(AN333=0,0,AO333/AN333)</f>
        <v>0.39704113700170535</v>
      </c>
      <c r="AQ333" t="str">
        <f t="shared" si="127"/>
        <v>December</v>
      </c>
      <c r="AR333">
        <f t="shared" si="128"/>
        <v>2024</v>
      </c>
      <c r="AS333" t="str">
        <f t="shared" si="129"/>
        <v>Clean</v>
      </c>
      <c r="AT333" t="str">
        <f>IF(OR(AC333&lt;0,AC333&gt;0.5),"Invalid Discount","Valid")</f>
        <v>Valid</v>
      </c>
      <c r="AU333" t="str">
        <f>IF(G333&lt;E333,"Invalid Shipping Record","Valid")</f>
        <v>Valid</v>
      </c>
      <c r="AV333" t="str">
        <f>IF(OR(AL333="Cancelled",AH333="Failed"),"Exclude","Include")</f>
        <v>Include</v>
      </c>
      <c r="AW333" t="str">
        <f t="shared" si="130"/>
        <v>Mismatch</v>
      </c>
      <c r="AX333" t="str">
        <f t="shared" si="131"/>
        <v>Match</v>
      </c>
    </row>
    <row r="334" spans="1:50">
      <c r="A334" t="s">
        <v>1680</v>
      </c>
      <c r="B334">
        <f t="shared" si="110"/>
        <v>1</v>
      </c>
      <c r="C334" t="str">
        <f t="shared" si="120"/>
        <v/>
      </c>
      <c r="D334" s="3" t="s">
        <v>1681</v>
      </c>
      <c r="E334" s="7">
        <v>45804</v>
      </c>
      <c r="F334" s="3" t="s">
        <v>1682</v>
      </c>
      <c r="G334" s="7">
        <v>45805</v>
      </c>
      <c r="H334" s="7" t="str">
        <f t="shared" si="111"/>
        <v>Valid</v>
      </c>
      <c r="I334" s="9">
        <f t="shared" si="112"/>
        <v>1</v>
      </c>
      <c r="J334" s="9" t="str">
        <f t="shared" si="113"/>
        <v>Valid</v>
      </c>
      <c r="K334" t="s">
        <v>1683</v>
      </c>
      <c r="L334" t="s">
        <v>161</v>
      </c>
      <c r="M334" t="s">
        <v>161</v>
      </c>
      <c r="N334" t="s">
        <v>25</v>
      </c>
      <c r="O334" s="3" t="str">
        <f t="shared" si="114"/>
        <v>Consumer</v>
      </c>
      <c r="P334" t="s">
        <v>61</v>
      </c>
      <c r="Q334" s="3" t="str">
        <f t="shared" si="115"/>
        <v>South</v>
      </c>
      <c r="R334" t="s">
        <v>99</v>
      </c>
      <c r="S334" t="s">
        <v>100</v>
      </c>
      <c r="T334" t="s">
        <v>85</v>
      </c>
      <c r="U334" s="3" t="str">
        <f t="shared" si="116"/>
        <v>Technology</v>
      </c>
      <c r="V334" t="s">
        <v>1684</v>
      </c>
      <c r="W334" t="s">
        <v>1685</v>
      </c>
      <c r="X334" t="s">
        <v>32</v>
      </c>
      <c r="Y334" s="3" t="str">
        <f t="shared" si="117"/>
        <v>Second Class</v>
      </c>
      <c r="Z334">
        <v>2</v>
      </c>
      <c r="AA334">
        <v>3911.96</v>
      </c>
      <c r="AB334">
        <v>0</v>
      </c>
      <c r="AC334">
        <f t="shared" si="118"/>
        <v>0</v>
      </c>
      <c r="AD334" t="str">
        <f t="shared" si="121"/>
        <v>Valid</v>
      </c>
      <c r="AE334">
        <v>7823.92</v>
      </c>
      <c r="AF334">
        <v>6034.63</v>
      </c>
      <c r="AG334">
        <v>1789.29</v>
      </c>
      <c r="AH334" t="s">
        <v>33</v>
      </c>
      <c r="AI334" t="str">
        <f t="shared" si="122"/>
        <v>Include</v>
      </c>
      <c r="AJ334" t="str">
        <f t="shared" si="123"/>
        <v/>
      </c>
      <c r="AK334" t="s">
        <v>34</v>
      </c>
      <c r="AL334" t="str">
        <f t="shared" si="119"/>
        <v>Completed</v>
      </c>
      <c r="AM334" t="str">
        <f t="shared" si="124"/>
        <v>Include</v>
      </c>
      <c r="AN334">
        <f t="shared" si="125"/>
        <v>7823.92</v>
      </c>
      <c r="AO334">
        <f t="shared" si="126"/>
        <v>1789.29</v>
      </c>
      <c r="AP334">
        <f>IF(AN334=0,0,AO334/AN334)</f>
        <v>0.22869482305545047</v>
      </c>
      <c r="AQ334" t="str">
        <f t="shared" si="127"/>
        <v>May</v>
      </c>
      <c r="AR334">
        <f t="shared" si="128"/>
        <v>2025</v>
      </c>
      <c r="AS334" t="str">
        <f t="shared" si="129"/>
        <v>Clean</v>
      </c>
      <c r="AT334" t="str">
        <f>IF(OR(AC334&lt;0,AC334&gt;0.5),"Invalid Discount","Valid")</f>
        <v>Valid</v>
      </c>
      <c r="AU334" t="str">
        <f>IF(G334&lt;E334,"Invalid Shipping Record","Valid")</f>
        <v>Valid</v>
      </c>
      <c r="AV334" t="str">
        <f>IF(OR(AL334="Cancelled",AH334="Failed"),"Exclude","Include")</f>
        <v>Include</v>
      </c>
      <c r="AW334" t="str">
        <f t="shared" si="130"/>
        <v>Match</v>
      </c>
      <c r="AX334" t="str">
        <f t="shared" si="131"/>
        <v>Match</v>
      </c>
    </row>
    <row r="335" spans="1:50">
      <c r="A335" t="s">
        <v>1686</v>
      </c>
      <c r="B335">
        <f t="shared" si="110"/>
        <v>1</v>
      </c>
      <c r="C335" t="str">
        <f t="shared" si="120"/>
        <v/>
      </c>
      <c r="D335" s="3" t="s">
        <v>1687</v>
      </c>
      <c r="E335" s="7">
        <v>45830</v>
      </c>
      <c r="F335" s="3" t="s">
        <v>1688</v>
      </c>
      <c r="G335" s="7">
        <v>45835</v>
      </c>
      <c r="H335" s="7" t="str">
        <f t="shared" si="111"/>
        <v>Valid</v>
      </c>
      <c r="I335" s="9">
        <f t="shared" si="112"/>
        <v>5</v>
      </c>
      <c r="J335" s="9" t="str">
        <f t="shared" si="113"/>
        <v>Valid</v>
      </c>
      <c r="K335" t="s">
        <v>1689</v>
      </c>
      <c r="L335" t="s">
        <v>179</v>
      </c>
      <c r="M335" t="s">
        <v>179</v>
      </c>
      <c r="N335" t="s">
        <v>114</v>
      </c>
      <c r="O335" s="3" t="str">
        <f t="shared" si="114"/>
        <v>Home Office</v>
      </c>
      <c r="Q335" s="3" t="str">
        <f t="shared" si="115"/>
        <v>Unknown</v>
      </c>
      <c r="R335" t="s">
        <v>505</v>
      </c>
      <c r="S335" t="s">
        <v>506</v>
      </c>
      <c r="T335" t="s">
        <v>85</v>
      </c>
      <c r="U335" s="3" t="str">
        <f t="shared" si="116"/>
        <v>Technology</v>
      </c>
      <c r="V335" t="s">
        <v>222</v>
      </c>
      <c r="W335" t="s">
        <v>1690</v>
      </c>
      <c r="X335" t="s">
        <v>55</v>
      </c>
      <c r="Y335" s="3" t="str">
        <f t="shared" si="117"/>
        <v>First Class</v>
      </c>
      <c r="Z335">
        <v>2</v>
      </c>
      <c r="AA335">
        <v>1468.05</v>
      </c>
      <c r="AB335">
        <v>0</v>
      </c>
      <c r="AC335">
        <f t="shared" si="118"/>
        <v>0</v>
      </c>
      <c r="AD335" t="str">
        <f t="shared" si="121"/>
        <v>Valid</v>
      </c>
      <c r="AE335">
        <v>2936.1</v>
      </c>
      <c r="AF335">
        <v>1923.1</v>
      </c>
      <c r="AG335">
        <v>1013</v>
      </c>
      <c r="AH335" t="s">
        <v>33</v>
      </c>
      <c r="AI335" t="str">
        <f t="shared" si="122"/>
        <v>Include</v>
      </c>
      <c r="AJ335" t="str">
        <f t="shared" si="123"/>
        <v/>
      </c>
      <c r="AK335" t="s">
        <v>34</v>
      </c>
      <c r="AL335" t="str">
        <f t="shared" si="119"/>
        <v>Completed</v>
      </c>
      <c r="AM335" t="str">
        <f t="shared" si="124"/>
        <v>Include</v>
      </c>
      <c r="AN335">
        <f t="shared" si="125"/>
        <v>2936.1</v>
      </c>
      <c r="AO335">
        <f t="shared" si="126"/>
        <v>1013</v>
      </c>
      <c r="AP335">
        <f>IF(AN335=0,0,AO335/AN335)</f>
        <v>0.34501549674738602</v>
      </c>
      <c r="AQ335" t="str">
        <f t="shared" si="127"/>
        <v>June</v>
      </c>
      <c r="AR335">
        <f t="shared" si="128"/>
        <v>2025</v>
      </c>
      <c r="AS335" t="str">
        <f t="shared" si="129"/>
        <v>Warning</v>
      </c>
      <c r="AT335" t="str">
        <f>IF(OR(AC335&lt;0,AC335&gt;0.5),"Invalid Discount","Valid")</f>
        <v>Valid</v>
      </c>
      <c r="AU335" t="str">
        <f>IF(G335&lt;E335,"Invalid Shipping Record","Valid")</f>
        <v>Valid</v>
      </c>
      <c r="AV335" t="str">
        <f>IF(OR(AL335="Cancelled",AH335="Failed"),"Exclude","Include")</f>
        <v>Include</v>
      </c>
      <c r="AW335" t="str">
        <f t="shared" si="130"/>
        <v>Match</v>
      </c>
      <c r="AX335" t="str">
        <f t="shared" si="131"/>
        <v>Match</v>
      </c>
    </row>
    <row r="336" spans="1:50">
      <c r="A336" t="s">
        <v>1691</v>
      </c>
      <c r="B336">
        <f t="shared" si="110"/>
        <v>1</v>
      </c>
      <c r="C336" t="str">
        <f t="shared" si="120"/>
        <v/>
      </c>
      <c r="D336" s="3" t="s">
        <v>1692</v>
      </c>
      <c r="E336" s="7">
        <v>45547</v>
      </c>
      <c r="F336" s="3" t="s">
        <v>1693</v>
      </c>
      <c r="G336" s="7">
        <v>45552</v>
      </c>
      <c r="H336" s="7" t="str">
        <f t="shared" si="111"/>
        <v>Valid</v>
      </c>
      <c r="I336" s="9">
        <f t="shared" si="112"/>
        <v>5</v>
      </c>
      <c r="J336" s="9" t="str">
        <f t="shared" si="113"/>
        <v>Valid</v>
      </c>
      <c r="K336" t="s">
        <v>1694</v>
      </c>
      <c r="L336" t="s">
        <v>71</v>
      </c>
      <c r="M336" t="s">
        <v>71</v>
      </c>
      <c r="N336" t="s">
        <v>25</v>
      </c>
      <c r="O336" s="3" t="str">
        <f t="shared" si="114"/>
        <v>Consumer</v>
      </c>
      <c r="P336" t="s">
        <v>41</v>
      </c>
      <c r="Q336" s="3" t="str">
        <f t="shared" si="115"/>
        <v>East</v>
      </c>
      <c r="R336" t="s">
        <v>310</v>
      </c>
      <c r="S336" t="s">
        <v>311</v>
      </c>
      <c r="T336" t="s">
        <v>29</v>
      </c>
      <c r="U336" s="3" t="str">
        <f t="shared" si="116"/>
        <v>Office Supplies</v>
      </c>
      <c r="V336" t="s">
        <v>155</v>
      </c>
      <c r="W336" t="s">
        <v>1695</v>
      </c>
      <c r="X336" t="s">
        <v>55</v>
      </c>
      <c r="Y336" s="3" t="str">
        <f t="shared" si="117"/>
        <v>First Class</v>
      </c>
      <c r="Z336">
        <v>9</v>
      </c>
      <c r="AA336">
        <v>1921.47</v>
      </c>
      <c r="AB336">
        <v>0.25</v>
      </c>
      <c r="AC336">
        <f t="shared" si="118"/>
        <v>0.25</v>
      </c>
      <c r="AD336" t="str">
        <f t="shared" si="121"/>
        <v>Valid</v>
      </c>
      <c r="AE336">
        <v>12969.92</v>
      </c>
      <c r="AF336">
        <v>9398.4599999999991</v>
      </c>
      <c r="AG336">
        <v>3571.46</v>
      </c>
      <c r="AH336" t="s">
        <v>33</v>
      </c>
      <c r="AI336" t="str">
        <f t="shared" si="122"/>
        <v>Include</v>
      </c>
      <c r="AJ336" t="str">
        <f t="shared" si="123"/>
        <v/>
      </c>
      <c r="AK336" t="s">
        <v>34</v>
      </c>
      <c r="AL336" t="str">
        <f t="shared" si="119"/>
        <v>Completed</v>
      </c>
      <c r="AM336" t="str">
        <f t="shared" si="124"/>
        <v>Include</v>
      </c>
      <c r="AN336">
        <f t="shared" si="125"/>
        <v>12969.922500000001</v>
      </c>
      <c r="AO336">
        <f t="shared" si="126"/>
        <v>3571.4625000000015</v>
      </c>
      <c r="AP336">
        <f>IF(AN336=0,0,AO336/AN336)</f>
        <v>0.27536498386941027</v>
      </c>
      <c r="AQ336" t="str">
        <f t="shared" si="127"/>
        <v>September</v>
      </c>
      <c r="AR336">
        <f t="shared" si="128"/>
        <v>2024</v>
      </c>
      <c r="AS336" t="str">
        <f t="shared" si="129"/>
        <v>Clean</v>
      </c>
      <c r="AT336" t="str">
        <f>IF(OR(AC336&lt;0,AC336&gt;0.5),"Invalid Discount","Valid")</f>
        <v>Valid</v>
      </c>
      <c r="AU336" t="str">
        <f>IF(G336&lt;E336,"Invalid Shipping Record","Valid")</f>
        <v>Valid</v>
      </c>
      <c r="AV336" t="str">
        <f>IF(OR(AL336="Cancelled",AH336="Failed"),"Exclude","Include")</f>
        <v>Include</v>
      </c>
      <c r="AW336" t="str">
        <f t="shared" si="130"/>
        <v>Match</v>
      </c>
      <c r="AX336" t="str">
        <f t="shared" si="131"/>
        <v>Match</v>
      </c>
    </row>
    <row r="337" spans="1:50">
      <c r="A337" t="s">
        <v>2086</v>
      </c>
      <c r="B337">
        <f t="shared" si="110"/>
        <v>2</v>
      </c>
      <c r="C337" t="str">
        <f t="shared" si="120"/>
        <v>Review Required</v>
      </c>
      <c r="D337" s="3" t="s">
        <v>2087</v>
      </c>
      <c r="E337" s="7">
        <v>45342</v>
      </c>
      <c r="F337" s="3" t="s">
        <v>2088</v>
      </c>
      <c r="G337" s="7">
        <v>45349</v>
      </c>
      <c r="H337" s="7" t="str">
        <f t="shared" si="111"/>
        <v>Valid</v>
      </c>
      <c r="I337" s="9">
        <f t="shared" si="112"/>
        <v>7</v>
      </c>
      <c r="J337" s="9" t="str">
        <f t="shared" si="113"/>
        <v>Valid</v>
      </c>
      <c r="K337" t="s">
        <v>2089</v>
      </c>
      <c r="L337" t="s">
        <v>209</v>
      </c>
      <c r="M337" t="s">
        <v>209</v>
      </c>
      <c r="N337" t="s">
        <v>25</v>
      </c>
      <c r="O337" s="3" t="str">
        <f t="shared" si="114"/>
        <v>Consumer</v>
      </c>
      <c r="P337" t="s">
        <v>61</v>
      </c>
      <c r="Q337" s="3" t="str">
        <f t="shared" si="115"/>
        <v>South</v>
      </c>
      <c r="R337" t="s">
        <v>241</v>
      </c>
      <c r="S337" t="s">
        <v>242</v>
      </c>
      <c r="T337" t="s">
        <v>85</v>
      </c>
      <c r="U337" s="3" t="str">
        <f t="shared" si="116"/>
        <v>Technology</v>
      </c>
      <c r="V337" t="s">
        <v>86</v>
      </c>
      <c r="W337" t="s">
        <v>2090</v>
      </c>
      <c r="X337" t="s">
        <v>2091</v>
      </c>
      <c r="Y337" s="3" t="str">
        <f t="shared" si="117"/>
        <v>First Class</v>
      </c>
      <c r="Z337">
        <v>9</v>
      </c>
      <c r="AA337">
        <v>3779.31</v>
      </c>
      <c r="AB337">
        <v>0.2</v>
      </c>
      <c r="AC337">
        <f t="shared" si="118"/>
        <v>0.2</v>
      </c>
      <c r="AD337" t="str">
        <f t="shared" si="121"/>
        <v>Valid</v>
      </c>
      <c r="AE337">
        <v>27211.03</v>
      </c>
      <c r="AF337">
        <v>17940.43</v>
      </c>
      <c r="AG337">
        <v>9270.6</v>
      </c>
      <c r="AH337" t="s">
        <v>33</v>
      </c>
      <c r="AI337" t="str">
        <f t="shared" si="122"/>
        <v>Include</v>
      </c>
      <c r="AJ337" t="str">
        <f t="shared" si="123"/>
        <v/>
      </c>
      <c r="AK337" t="s">
        <v>34</v>
      </c>
      <c r="AL337" t="str">
        <f t="shared" si="119"/>
        <v>Completed</v>
      </c>
      <c r="AM337" t="str">
        <f t="shared" si="124"/>
        <v>Include</v>
      </c>
      <c r="AN337">
        <f t="shared" si="125"/>
        <v>27211.032000000003</v>
      </c>
      <c r="AO337">
        <f t="shared" si="126"/>
        <v>9270.6020000000026</v>
      </c>
      <c r="AP337">
        <f>IF(AN337=0,0,AO337/AN337)</f>
        <v>0.34069277490100347</v>
      </c>
      <c r="AQ337" t="str">
        <f t="shared" si="127"/>
        <v>February</v>
      </c>
      <c r="AR337">
        <f t="shared" si="128"/>
        <v>2024</v>
      </c>
      <c r="AS337" t="str">
        <f t="shared" si="129"/>
        <v>Clean</v>
      </c>
      <c r="AT337" t="str">
        <f>IF(OR(AC337&lt;0,AC337&gt;0.5),"Invalid Discount","Valid")</f>
        <v>Valid</v>
      </c>
      <c r="AU337" t="str">
        <f>IF(G337&lt;E337,"Invalid Shipping Record","Valid")</f>
        <v>Valid</v>
      </c>
      <c r="AV337" t="str">
        <f>IF(OR(AL337="Cancelled",AH337="Failed"),"Exclude","Include")</f>
        <v>Include</v>
      </c>
      <c r="AW337" t="str">
        <f t="shared" si="130"/>
        <v>Match</v>
      </c>
      <c r="AX337" t="str">
        <f t="shared" si="131"/>
        <v>Match</v>
      </c>
    </row>
    <row r="338" spans="1:50">
      <c r="A338" t="s">
        <v>1701</v>
      </c>
      <c r="B338">
        <f t="shared" si="110"/>
        <v>1</v>
      </c>
      <c r="C338" t="str">
        <f t="shared" si="120"/>
        <v/>
      </c>
      <c r="D338" s="3" t="s">
        <v>303</v>
      </c>
      <c r="E338" s="7">
        <v>45368</v>
      </c>
      <c r="F338" s="3" t="s">
        <v>1702</v>
      </c>
      <c r="G338" s="7">
        <v>45372</v>
      </c>
      <c r="H338" s="7" t="str">
        <f t="shared" si="111"/>
        <v>Valid</v>
      </c>
      <c r="I338" s="9">
        <f t="shared" si="112"/>
        <v>4</v>
      </c>
      <c r="J338" s="9" t="str">
        <f t="shared" si="113"/>
        <v>Valid</v>
      </c>
      <c r="K338" t="s">
        <v>1320</v>
      </c>
      <c r="L338" t="s">
        <v>161</v>
      </c>
      <c r="M338" t="s">
        <v>161</v>
      </c>
      <c r="N338" t="s">
        <v>25</v>
      </c>
      <c r="O338" s="3" t="str">
        <f t="shared" si="114"/>
        <v>Consumer</v>
      </c>
      <c r="P338" t="s">
        <v>26</v>
      </c>
      <c r="Q338" s="3" t="str">
        <f t="shared" si="115"/>
        <v>North</v>
      </c>
      <c r="R338" t="s">
        <v>27</v>
      </c>
      <c r="S338" t="s">
        <v>28</v>
      </c>
      <c r="T338" t="s">
        <v>85</v>
      </c>
      <c r="U338" s="3" t="str">
        <f t="shared" si="116"/>
        <v>Technology</v>
      </c>
      <c r="V338" t="s">
        <v>93</v>
      </c>
      <c r="W338" t="s">
        <v>1703</v>
      </c>
      <c r="X338" t="s">
        <v>55</v>
      </c>
      <c r="Y338" s="3" t="str">
        <f t="shared" si="117"/>
        <v>First Class</v>
      </c>
      <c r="Z338">
        <v>8</v>
      </c>
      <c r="AA338">
        <v>1992.57</v>
      </c>
      <c r="AB338">
        <v>0</v>
      </c>
      <c r="AC338">
        <f t="shared" si="118"/>
        <v>0</v>
      </c>
      <c r="AD338" t="str">
        <f t="shared" si="121"/>
        <v>Valid</v>
      </c>
      <c r="AE338">
        <v>15940.56</v>
      </c>
      <c r="AF338">
        <v>12347.15</v>
      </c>
      <c r="AG338">
        <v>3593.41</v>
      </c>
      <c r="AH338" t="s">
        <v>33</v>
      </c>
      <c r="AI338" t="str">
        <f t="shared" si="122"/>
        <v>Include</v>
      </c>
      <c r="AJ338" t="str">
        <f t="shared" si="123"/>
        <v/>
      </c>
      <c r="AK338" t="s">
        <v>34</v>
      </c>
      <c r="AL338" t="str">
        <f t="shared" si="119"/>
        <v>Completed</v>
      </c>
      <c r="AM338" t="str">
        <f t="shared" si="124"/>
        <v>Include</v>
      </c>
      <c r="AN338">
        <f t="shared" si="125"/>
        <v>15940.56</v>
      </c>
      <c r="AO338">
        <f t="shared" si="126"/>
        <v>3593.41</v>
      </c>
      <c r="AP338">
        <f>IF(AN338=0,0,AO338/AN338)</f>
        <v>0.2254255810335396</v>
      </c>
      <c r="AQ338" t="str">
        <f t="shared" si="127"/>
        <v>March</v>
      </c>
      <c r="AR338">
        <f t="shared" si="128"/>
        <v>2024</v>
      </c>
      <c r="AS338" t="str">
        <f t="shared" si="129"/>
        <v>Clean</v>
      </c>
      <c r="AT338" t="str">
        <f>IF(OR(AC338&lt;0,AC338&gt;0.5),"Invalid Discount","Valid")</f>
        <v>Valid</v>
      </c>
      <c r="AU338" t="str">
        <f>IF(G338&lt;E338,"Invalid Shipping Record","Valid")</f>
        <v>Valid</v>
      </c>
      <c r="AV338" t="str">
        <f>IF(OR(AL338="Cancelled",AH338="Failed"),"Exclude","Include")</f>
        <v>Include</v>
      </c>
      <c r="AW338" t="str">
        <f t="shared" si="130"/>
        <v>Match</v>
      </c>
      <c r="AX338" t="str">
        <f t="shared" si="131"/>
        <v>Match</v>
      </c>
    </row>
    <row r="339" spans="1:50">
      <c r="A339" t="s">
        <v>1704</v>
      </c>
      <c r="B339">
        <f t="shared" si="110"/>
        <v>1</v>
      </c>
      <c r="C339" t="str">
        <f t="shared" si="120"/>
        <v/>
      </c>
      <c r="D339" s="3" t="s">
        <v>1705</v>
      </c>
      <c r="E339" s="7">
        <v>45516</v>
      </c>
      <c r="F339" s="3" t="s">
        <v>1706</v>
      </c>
      <c r="G339" s="7">
        <v>45522</v>
      </c>
      <c r="H339" s="7" t="str">
        <f t="shared" si="111"/>
        <v>Valid</v>
      </c>
      <c r="I339" s="9">
        <f t="shared" si="112"/>
        <v>6</v>
      </c>
      <c r="J339" s="9" t="str">
        <f t="shared" si="113"/>
        <v>Valid</v>
      </c>
      <c r="K339" t="s">
        <v>1707</v>
      </c>
      <c r="L339" t="s">
        <v>71</v>
      </c>
      <c r="M339" t="s">
        <v>71</v>
      </c>
      <c r="N339" t="s">
        <v>25</v>
      </c>
      <c r="O339" s="3" t="str">
        <f t="shared" si="114"/>
        <v>Consumer</v>
      </c>
      <c r="P339" t="s">
        <v>41</v>
      </c>
      <c r="Q339" s="3" t="str">
        <f t="shared" si="115"/>
        <v>East</v>
      </c>
      <c r="R339" t="s">
        <v>215</v>
      </c>
      <c r="S339" t="s">
        <v>216</v>
      </c>
      <c r="T339" t="s">
        <v>29</v>
      </c>
      <c r="U339" s="3" t="str">
        <f t="shared" si="116"/>
        <v>Office Supplies</v>
      </c>
      <c r="V339" t="s">
        <v>108</v>
      </c>
      <c r="W339" t="s">
        <v>1708</v>
      </c>
      <c r="X339" t="s">
        <v>47</v>
      </c>
      <c r="Y339" s="3" t="str">
        <f t="shared" si="117"/>
        <v>Same Day</v>
      </c>
      <c r="Z339">
        <v>6</v>
      </c>
      <c r="AA339">
        <v>1181.74</v>
      </c>
      <c r="AB339">
        <v>0</v>
      </c>
      <c r="AC339">
        <f t="shared" si="118"/>
        <v>0</v>
      </c>
      <c r="AD339" t="str">
        <f t="shared" si="121"/>
        <v>Valid</v>
      </c>
      <c r="AE339">
        <v>7090.44</v>
      </c>
      <c r="AF339">
        <v>5672.27</v>
      </c>
      <c r="AG339">
        <v>1262.8699999999999</v>
      </c>
      <c r="AH339" t="s">
        <v>33</v>
      </c>
      <c r="AI339" t="str">
        <f t="shared" si="122"/>
        <v>Include</v>
      </c>
      <c r="AJ339" t="str">
        <f t="shared" si="123"/>
        <v/>
      </c>
      <c r="AK339" t="s">
        <v>34</v>
      </c>
      <c r="AL339" t="str">
        <f t="shared" si="119"/>
        <v>Completed</v>
      </c>
      <c r="AM339" t="str">
        <f t="shared" si="124"/>
        <v>Include</v>
      </c>
      <c r="AN339">
        <f t="shared" si="125"/>
        <v>7090.4400000000005</v>
      </c>
      <c r="AO339">
        <f t="shared" si="126"/>
        <v>1418.17</v>
      </c>
      <c r="AP339">
        <f>IF(AN339=0,0,AO339/AN339)</f>
        <v>0.20001156486762456</v>
      </c>
      <c r="AQ339" t="str">
        <f t="shared" si="127"/>
        <v>August</v>
      </c>
      <c r="AR339">
        <f t="shared" si="128"/>
        <v>2024</v>
      </c>
      <c r="AS339" t="str">
        <f t="shared" si="129"/>
        <v>Clean</v>
      </c>
      <c r="AT339" t="str">
        <f>IF(OR(AC339&lt;0,AC339&gt;0.5),"Invalid Discount","Valid")</f>
        <v>Valid</v>
      </c>
      <c r="AU339" t="str">
        <f>IF(G339&lt;E339,"Invalid Shipping Record","Valid")</f>
        <v>Valid</v>
      </c>
      <c r="AV339" t="str">
        <f>IF(OR(AL339="Cancelled",AH339="Failed"),"Exclude","Include")</f>
        <v>Include</v>
      </c>
      <c r="AW339" t="str">
        <f t="shared" si="130"/>
        <v>Match</v>
      </c>
      <c r="AX339" t="str">
        <f t="shared" si="131"/>
        <v>Mismatch</v>
      </c>
    </row>
    <row r="340" spans="1:50">
      <c r="A340" t="s">
        <v>1709</v>
      </c>
      <c r="B340">
        <f t="shared" si="110"/>
        <v>1</v>
      </c>
      <c r="C340" t="str">
        <f t="shared" si="120"/>
        <v/>
      </c>
      <c r="D340" s="3" t="s">
        <v>1710</v>
      </c>
      <c r="E340" s="7">
        <v>45634</v>
      </c>
      <c r="F340" s="3" t="s">
        <v>1463</v>
      </c>
      <c r="G340" s="7">
        <v>45634</v>
      </c>
      <c r="H340" s="7" t="str">
        <f t="shared" si="111"/>
        <v>Valid</v>
      </c>
      <c r="I340" s="9">
        <f t="shared" si="112"/>
        <v>0</v>
      </c>
      <c r="J340" s="9" t="str">
        <f t="shared" si="113"/>
        <v>Valid</v>
      </c>
      <c r="K340" t="s">
        <v>1711</v>
      </c>
      <c r="L340" t="s">
        <v>60</v>
      </c>
      <c r="M340" t="s">
        <v>60</v>
      </c>
      <c r="N340" t="s">
        <v>40</v>
      </c>
      <c r="O340" s="3" t="str">
        <f t="shared" si="114"/>
        <v>Small Business</v>
      </c>
      <c r="P340" t="s">
        <v>61</v>
      </c>
      <c r="Q340" s="3" t="str">
        <f t="shared" si="115"/>
        <v>South</v>
      </c>
      <c r="R340" t="s">
        <v>99</v>
      </c>
      <c r="S340" t="s">
        <v>100</v>
      </c>
      <c r="T340" t="s">
        <v>85</v>
      </c>
      <c r="U340" s="3" t="str">
        <f t="shared" si="116"/>
        <v>Technology</v>
      </c>
      <c r="V340" t="s">
        <v>86</v>
      </c>
      <c r="W340" t="s">
        <v>1712</v>
      </c>
      <c r="X340" t="s">
        <v>55</v>
      </c>
      <c r="Y340" s="3" t="str">
        <f t="shared" si="117"/>
        <v>First Class</v>
      </c>
      <c r="Z340">
        <v>8</v>
      </c>
      <c r="AA340">
        <v>4402.3599999999997</v>
      </c>
      <c r="AB340">
        <v>0.25</v>
      </c>
      <c r="AC340">
        <f t="shared" si="118"/>
        <v>0.25</v>
      </c>
      <c r="AD340" t="str">
        <f t="shared" si="121"/>
        <v>Valid</v>
      </c>
      <c r="AE340">
        <v>26414.16</v>
      </c>
      <c r="AF340">
        <v>21822.53</v>
      </c>
      <c r="AG340">
        <v>4591.63</v>
      </c>
      <c r="AH340" t="s">
        <v>33</v>
      </c>
      <c r="AI340" t="str">
        <f t="shared" si="122"/>
        <v>Include</v>
      </c>
      <c r="AJ340" t="str">
        <f t="shared" si="123"/>
        <v/>
      </c>
      <c r="AK340" t="s">
        <v>34</v>
      </c>
      <c r="AL340" t="str">
        <f t="shared" si="119"/>
        <v>Completed</v>
      </c>
      <c r="AM340" t="str">
        <f t="shared" si="124"/>
        <v>Include</v>
      </c>
      <c r="AN340">
        <f t="shared" si="125"/>
        <v>26414.159999999996</v>
      </c>
      <c r="AO340">
        <f t="shared" si="126"/>
        <v>4591.6299999999974</v>
      </c>
      <c r="AP340">
        <f>IF(AN340=0,0,AO340/AN340)</f>
        <v>0.17383214154832097</v>
      </c>
      <c r="AQ340" t="str">
        <f t="shared" si="127"/>
        <v>December</v>
      </c>
      <c r="AR340">
        <f t="shared" si="128"/>
        <v>2024</v>
      </c>
      <c r="AS340" t="str">
        <f t="shared" si="129"/>
        <v>Clean</v>
      </c>
      <c r="AT340" t="str">
        <f>IF(OR(AC340&lt;0,AC340&gt;0.5),"Invalid Discount","Valid")</f>
        <v>Valid</v>
      </c>
      <c r="AU340" t="str">
        <f>IF(G340&lt;E340,"Invalid Shipping Record","Valid")</f>
        <v>Valid</v>
      </c>
      <c r="AV340" t="str">
        <f>IF(OR(AL340="Cancelled",AH340="Failed"),"Exclude","Include")</f>
        <v>Include</v>
      </c>
      <c r="AW340" t="str">
        <f t="shared" si="130"/>
        <v>Match</v>
      </c>
      <c r="AX340" t="str">
        <f t="shared" si="131"/>
        <v>Match</v>
      </c>
    </row>
    <row r="341" spans="1:50">
      <c r="A341" t="s">
        <v>1713</v>
      </c>
      <c r="B341">
        <f t="shared" si="110"/>
        <v>1</v>
      </c>
      <c r="C341" t="str">
        <f t="shared" si="120"/>
        <v/>
      </c>
      <c r="D341" s="3" t="s">
        <v>915</v>
      </c>
      <c r="E341" s="7">
        <v>45708</v>
      </c>
      <c r="F341" s="3" t="s">
        <v>1714</v>
      </c>
      <c r="G341" s="7">
        <v>45710</v>
      </c>
      <c r="H341" s="7" t="str">
        <f t="shared" si="111"/>
        <v>Valid</v>
      </c>
      <c r="I341" s="9">
        <f t="shared" si="112"/>
        <v>2</v>
      </c>
      <c r="J341" s="9" t="str">
        <f t="shared" si="113"/>
        <v>Valid</v>
      </c>
      <c r="K341" t="s">
        <v>1715</v>
      </c>
      <c r="L341" t="s">
        <v>92</v>
      </c>
      <c r="M341" t="s">
        <v>92</v>
      </c>
      <c r="N341" t="s">
        <v>107</v>
      </c>
      <c r="O341" s="3" t="str">
        <f t="shared" si="114"/>
        <v>Corporate</v>
      </c>
      <c r="P341" t="s">
        <v>41</v>
      </c>
      <c r="Q341" s="3" t="str">
        <f t="shared" si="115"/>
        <v>East</v>
      </c>
      <c r="R341" t="s">
        <v>310</v>
      </c>
      <c r="S341" t="s">
        <v>311</v>
      </c>
      <c r="T341" t="s">
        <v>44</v>
      </c>
      <c r="U341" s="3" t="str">
        <f t="shared" si="116"/>
        <v>Furniture</v>
      </c>
      <c r="V341" t="s">
        <v>203</v>
      </c>
      <c r="W341" t="s">
        <v>1716</v>
      </c>
      <c r="X341" t="s">
        <v>66</v>
      </c>
      <c r="Y341" s="3" t="str">
        <f t="shared" si="117"/>
        <v>Standard Class</v>
      </c>
      <c r="Z341">
        <v>8</v>
      </c>
      <c r="AA341">
        <v>3265.76</v>
      </c>
      <c r="AB341">
        <v>0.2</v>
      </c>
      <c r="AC341">
        <f t="shared" si="118"/>
        <v>0.2</v>
      </c>
      <c r="AD341" t="str">
        <f t="shared" si="121"/>
        <v>Valid</v>
      </c>
      <c r="AE341">
        <v>20900.86</v>
      </c>
      <c r="AF341">
        <v>12513.14</v>
      </c>
      <c r="AG341">
        <v>8387.7199999999993</v>
      </c>
      <c r="AH341" t="s">
        <v>33</v>
      </c>
      <c r="AI341" t="str">
        <f t="shared" si="122"/>
        <v>Include</v>
      </c>
      <c r="AJ341" t="str">
        <f t="shared" si="123"/>
        <v/>
      </c>
      <c r="AK341" t="s">
        <v>34</v>
      </c>
      <c r="AL341" t="str">
        <f t="shared" si="119"/>
        <v>Completed</v>
      </c>
      <c r="AM341" t="str">
        <f t="shared" si="124"/>
        <v>Include</v>
      </c>
      <c r="AN341">
        <f t="shared" si="125"/>
        <v>20900.864000000001</v>
      </c>
      <c r="AO341">
        <f t="shared" si="126"/>
        <v>8387.724000000002</v>
      </c>
      <c r="AP341">
        <f>IF(AN341=0,0,AO341/AN341)</f>
        <v>0.40130991714026759</v>
      </c>
      <c r="AQ341" t="str">
        <f t="shared" si="127"/>
        <v>February</v>
      </c>
      <c r="AR341">
        <f t="shared" si="128"/>
        <v>2025</v>
      </c>
      <c r="AS341" t="str">
        <f t="shared" si="129"/>
        <v>Clean</v>
      </c>
      <c r="AT341" t="str">
        <f>IF(OR(AC341&lt;0,AC341&gt;0.5),"Invalid Discount","Valid")</f>
        <v>Valid</v>
      </c>
      <c r="AU341" t="str">
        <f>IF(G341&lt;E341,"Invalid Shipping Record","Valid")</f>
        <v>Valid</v>
      </c>
      <c r="AV341" t="str">
        <f>IF(OR(AL341="Cancelled",AH341="Failed"),"Exclude","Include")</f>
        <v>Include</v>
      </c>
      <c r="AW341" t="str">
        <f t="shared" si="130"/>
        <v>Match</v>
      </c>
      <c r="AX341" t="str">
        <f t="shared" si="131"/>
        <v>Match</v>
      </c>
    </row>
    <row r="342" spans="1:50">
      <c r="A342" t="s">
        <v>1717</v>
      </c>
      <c r="B342">
        <f t="shared" si="110"/>
        <v>1</v>
      </c>
      <c r="C342" t="str">
        <f t="shared" si="120"/>
        <v/>
      </c>
      <c r="D342" s="3" t="s">
        <v>1718</v>
      </c>
      <c r="E342" s="7">
        <v>45312</v>
      </c>
      <c r="F342" s="3" t="s">
        <v>1719</v>
      </c>
      <c r="G342" s="7">
        <v>45320</v>
      </c>
      <c r="H342" s="7" t="str">
        <f t="shared" si="111"/>
        <v>Valid</v>
      </c>
      <c r="I342" s="9">
        <f t="shared" si="112"/>
        <v>8</v>
      </c>
      <c r="J342" s="9" t="str">
        <f t="shared" si="113"/>
        <v>Valid</v>
      </c>
      <c r="K342" t="s">
        <v>1720</v>
      </c>
      <c r="L342" t="s">
        <v>92</v>
      </c>
      <c r="M342" t="s">
        <v>92</v>
      </c>
      <c r="N342" t="s">
        <v>25</v>
      </c>
      <c r="O342" s="3" t="str">
        <f t="shared" si="114"/>
        <v>Consumer</v>
      </c>
      <c r="P342" t="s">
        <v>61</v>
      </c>
      <c r="Q342" s="3" t="str">
        <f t="shared" si="115"/>
        <v>South</v>
      </c>
      <c r="R342" t="s">
        <v>228</v>
      </c>
      <c r="S342" t="s">
        <v>229</v>
      </c>
      <c r="T342" t="s">
        <v>29</v>
      </c>
      <c r="U342" s="3" t="str">
        <f t="shared" si="116"/>
        <v>Office Supplies</v>
      </c>
      <c r="V342" t="s">
        <v>197</v>
      </c>
      <c r="W342" t="s">
        <v>1721</v>
      </c>
      <c r="X342" t="s">
        <v>66</v>
      </c>
      <c r="Y342" s="3" t="str">
        <f t="shared" si="117"/>
        <v>Standard Class</v>
      </c>
      <c r="Z342">
        <v>5</v>
      </c>
      <c r="AA342">
        <v>4058.08</v>
      </c>
      <c r="AB342">
        <v>0.1</v>
      </c>
      <c r="AC342">
        <f t="shared" si="118"/>
        <v>0.1</v>
      </c>
      <c r="AD342" t="str">
        <f t="shared" si="121"/>
        <v>Valid</v>
      </c>
      <c r="AE342">
        <v>18261.36</v>
      </c>
      <c r="AF342">
        <v>11399.94</v>
      </c>
      <c r="AG342">
        <v>6861.42</v>
      </c>
      <c r="AH342" t="s">
        <v>33</v>
      </c>
      <c r="AI342" t="str">
        <f t="shared" si="122"/>
        <v>Include</v>
      </c>
      <c r="AJ342" t="str">
        <f t="shared" si="123"/>
        <v/>
      </c>
      <c r="AK342" t="s">
        <v>34</v>
      </c>
      <c r="AL342" t="str">
        <f t="shared" si="119"/>
        <v>Completed</v>
      </c>
      <c r="AM342" t="str">
        <f t="shared" si="124"/>
        <v>Include</v>
      </c>
      <c r="AN342">
        <f t="shared" si="125"/>
        <v>18261.36</v>
      </c>
      <c r="AO342">
        <f t="shared" si="126"/>
        <v>6861.42</v>
      </c>
      <c r="AP342">
        <f>IF(AN342=0,0,AO342/AN342)</f>
        <v>0.3757343374206521</v>
      </c>
      <c r="AQ342" t="str">
        <f t="shared" si="127"/>
        <v>January</v>
      </c>
      <c r="AR342">
        <f t="shared" si="128"/>
        <v>2024</v>
      </c>
      <c r="AS342" t="str">
        <f t="shared" si="129"/>
        <v>Clean</v>
      </c>
      <c r="AT342" t="str">
        <f>IF(OR(AC342&lt;0,AC342&gt;0.5),"Invalid Discount","Valid")</f>
        <v>Valid</v>
      </c>
      <c r="AU342" t="str">
        <f>IF(G342&lt;E342,"Invalid Shipping Record","Valid")</f>
        <v>Valid</v>
      </c>
      <c r="AV342" t="str">
        <f>IF(OR(AL342="Cancelled",AH342="Failed"),"Exclude","Include")</f>
        <v>Include</v>
      </c>
      <c r="AW342" t="str">
        <f t="shared" si="130"/>
        <v>Match</v>
      </c>
      <c r="AX342" t="str">
        <f t="shared" si="131"/>
        <v>Match</v>
      </c>
    </row>
    <row r="343" spans="1:50">
      <c r="A343" t="s">
        <v>1722</v>
      </c>
      <c r="B343">
        <f t="shared" si="110"/>
        <v>1</v>
      </c>
      <c r="C343" t="str">
        <f t="shared" si="120"/>
        <v/>
      </c>
      <c r="D343" s="3" t="s">
        <v>1723</v>
      </c>
      <c r="E343" s="7">
        <v>45908</v>
      </c>
      <c r="F343" s="3" t="s">
        <v>1724</v>
      </c>
      <c r="G343" s="7">
        <v>45909</v>
      </c>
      <c r="H343" s="7" t="str">
        <f t="shared" si="111"/>
        <v>Valid</v>
      </c>
      <c r="I343" s="9">
        <f t="shared" si="112"/>
        <v>1</v>
      </c>
      <c r="J343" s="9" t="str">
        <f t="shared" si="113"/>
        <v>Valid</v>
      </c>
      <c r="K343" t="s">
        <v>1725</v>
      </c>
      <c r="L343" t="s">
        <v>179</v>
      </c>
      <c r="M343" t="s">
        <v>179</v>
      </c>
      <c r="N343" t="s">
        <v>114</v>
      </c>
      <c r="O343" s="3" t="str">
        <f t="shared" si="114"/>
        <v>Home Office</v>
      </c>
      <c r="P343" t="s">
        <v>72</v>
      </c>
      <c r="Q343" s="3" t="str">
        <f t="shared" si="115"/>
        <v>West</v>
      </c>
      <c r="R343" t="s">
        <v>234</v>
      </c>
      <c r="S343" t="s">
        <v>235</v>
      </c>
      <c r="T343" t="s">
        <v>44</v>
      </c>
      <c r="U343" s="3" t="str">
        <f t="shared" si="116"/>
        <v>Furniture</v>
      </c>
      <c r="V343" t="s">
        <v>75</v>
      </c>
      <c r="W343" t="s">
        <v>1726</v>
      </c>
      <c r="X343" t="s">
        <v>32</v>
      </c>
      <c r="Y343" s="3" t="str">
        <f t="shared" si="117"/>
        <v>Second Class</v>
      </c>
      <c r="Z343">
        <v>2</v>
      </c>
      <c r="AA343">
        <v>3960.33</v>
      </c>
      <c r="AB343">
        <v>0.05</v>
      </c>
      <c r="AC343">
        <f t="shared" si="118"/>
        <v>0.05</v>
      </c>
      <c r="AD343" t="str">
        <f t="shared" si="121"/>
        <v>Valid</v>
      </c>
      <c r="AE343">
        <v>7524.63</v>
      </c>
      <c r="AF343">
        <v>6229.6</v>
      </c>
      <c r="AG343">
        <v>1295.03</v>
      </c>
      <c r="AH343" t="s">
        <v>33</v>
      </c>
      <c r="AI343" t="str">
        <f t="shared" si="122"/>
        <v>Include</v>
      </c>
      <c r="AJ343" t="str">
        <f t="shared" si="123"/>
        <v/>
      </c>
      <c r="AK343" t="s">
        <v>34</v>
      </c>
      <c r="AL343" t="str">
        <f t="shared" si="119"/>
        <v>Completed</v>
      </c>
      <c r="AM343" t="str">
        <f t="shared" si="124"/>
        <v>Include</v>
      </c>
      <c r="AN343">
        <f t="shared" si="125"/>
        <v>7524.6269999999995</v>
      </c>
      <c r="AO343">
        <f t="shared" si="126"/>
        <v>1295.0269999999991</v>
      </c>
      <c r="AP343">
        <f>IF(AN343=0,0,AO343/AN343)</f>
        <v>0.17210514222166751</v>
      </c>
      <c r="AQ343" t="str">
        <f t="shared" si="127"/>
        <v>September</v>
      </c>
      <c r="AR343">
        <f t="shared" si="128"/>
        <v>2025</v>
      </c>
      <c r="AS343" t="str">
        <f t="shared" si="129"/>
        <v>Clean</v>
      </c>
      <c r="AT343" t="str">
        <f>IF(OR(AC343&lt;0,AC343&gt;0.5),"Invalid Discount","Valid")</f>
        <v>Valid</v>
      </c>
      <c r="AU343" t="str">
        <f>IF(G343&lt;E343,"Invalid Shipping Record","Valid")</f>
        <v>Valid</v>
      </c>
      <c r="AV343" t="str">
        <f>IF(OR(AL343="Cancelled",AH343="Failed"),"Exclude","Include")</f>
        <v>Include</v>
      </c>
      <c r="AW343" t="str">
        <f t="shared" si="130"/>
        <v>Match</v>
      </c>
      <c r="AX343" t="str">
        <f t="shared" si="131"/>
        <v>Match</v>
      </c>
    </row>
    <row r="344" spans="1:50">
      <c r="A344" t="s">
        <v>1727</v>
      </c>
      <c r="B344">
        <f t="shared" si="110"/>
        <v>1</v>
      </c>
      <c r="C344" t="str">
        <f t="shared" si="120"/>
        <v/>
      </c>
      <c r="D344" s="3" t="s">
        <v>1728</v>
      </c>
      <c r="E344" s="7">
        <v>45862</v>
      </c>
      <c r="F344" s="3" t="s">
        <v>1729</v>
      </c>
      <c r="G344" s="7">
        <v>45870</v>
      </c>
      <c r="H344" s="7" t="str">
        <f t="shared" si="111"/>
        <v>Valid</v>
      </c>
      <c r="I344" s="9">
        <f t="shared" si="112"/>
        <v>8</v>
      </c>
      <c r="J344" s="9" t="str">
        <f t="shared" si="113"/>
        <v>Valid</v>
      </c>
      <c r="K344" t="s">
        <v>1730</v>
      </c>
      <c r="L344" t="s">
        <v>365</v>
      </c>
      <c r="M344" t="s">
        <v>365</v>
      </c>
      <c r="N344" t="s">
        <v>40</v>
      </c>
      <c r="O344" s="3" t="str">
        <f t="shared" si="114"/>
        <v>Small Business</v>
      </c>
      <c r="P344" t="s">
        <v>41</v>
      </c>
      <c r="Q344" s="3" t="str">
        <f t="shared" si="115"/>
        <v>East</v>
      </c>
      <c r="R344" t="s">
        <v>310</v>
      </c>
      <c r="S344" t="s">
        <v>311</v>
      </c>
      <c r="T344" t="s">
        <v>29</v>
      </c>
      <c r="U344" s="3" t="str">
        <f t="shared" si="116"/>
        <v>Office Supplies</v>
      </c>
      <c r="V344" t="s">
        <v>197</v>
      </c>
      <c r="W344" t="s">
        <v>1731</v>
      </c>
      <c r="X344" t="s">
        <v>55</v>
      </c>
      <c r="Y344" s="3" t="str">
        <f t="shared" si="117"/>
        <v>First Class</v>
      </c>
      <c r="Z344">
        <v>8</v>
      </c>
      <c r="AA344">
        <v>1528.92</v>
      </c>
      <c r="AB344">
        <v>0</v>
      </c>
      <c r="AC344">
        <f t="shared" si="118"/>
        <v>0</v>
      </c>
      <c r="AD344" t="str">
        <f t="shared" si="121"/>
        <v>Valid</v>
      </c>
      <c r="AE344">
        <v>12231.36</v>
      </c>
      <c r="AF344">
        <v>8766.9</v>
      </c>
      <c r="AG344">
        <v>3464.46</v>
      </c>
      <c r="AH344" t="s">
        <v>33</v>
      </c>
      <c r="AI344" t="str">
        <f t="shared" si="122"/>
        <v>Include</v>
      </c>
      <c r="AJ344" t="str">
        <f t="shared" si="123"/>
        <v/>
      </c>
      <c r="AK344" t="s">
        <v>34</v>
      </c>
      <c r="AL344" t="str">
        <f t="shared" si="119"/>
        <v>Completed</v>
      </c>
      <c r="AM344" t="str">
        <f t="shared" si="124"/>
        <v>Include</v>
      </c>
      <c r="AN344">
        <f t="shared" si="125"/>
        <v>12231.36</v>
      </c>
      <c r="AO344">
        <f t="shared" si="126"/>
        <v>3464.4600000000009</v>
      </c>
      <c r="AP344">
        <f>IF(AN344=0,0,AO344/AN344)</f>
        <v>0.28324405462679547</v>
      </c>
      <c r="AQ344" t="str">
        <f t="shared" si="127"/>
        <v>July</v>
      </c>
      <c r="AR344">
        <f t="shared" si="128"/>
        <v>2025</v>
      </c>
      <c r="AS344" t="str">
        <f t="shared" si="129"/>
        <v>Clean</v>
      </c>
      <c r="AT344" t="str">
        <f>IF(OR(AC344&lt;0,AC344&gt;0.5),"Invalid Discount","Valid")</f>
        <v>Valid</v>
      </c>
      <c r="AU344" t="str">
        <f>IF(G344&lt;E344,"Invalid Shipping Record","Valid")</f>
        <v>Valid</v>
      </c>
      <c r="AV344" t="str">
        <f>IF(OR(AL344="Cancelled",AH344="Failed"),"Exclude","Include")</f>
        <v>Include</v>
      </c>
      <c r="AW344" t="str">
        <f t="shared" si="130"/>
        <v>Match</v>
      </c>
      <c r="AX344" t="str">
        <f t="shared" si="131"/>
        <v>Match</v>
      </c>
    </row>
    <row r="345" spans="1:50">
      <c r="A345" t="s">
        <v>1732</v>
      </c>
      <c r="B345">
        <f t="shared" si="110"/>
        <v>1</v>
      </c>
      <c r="C345" t="str">
        <f t="shared" si="120"/>
        <v/>
      </c>
      <c r="D345" s="3" t="s">
        <v>1733</v>
      </c>
      <c r="E345" s="7">
        <v>45933</v>
      </c>
      <c r="F345" s="3" t="s">
        <v>1190</v>
      </c>
      <c r="G345" s="7">
        <v>45938</v>
      </c>
      <c r="H345" s="7" t="str">
        <f t="shared" si="111"/>
        <v>Valid</v>
      </c>
      <c r="I345" s="9">
        <f t="shared" si="112"/>
        <v>5</v>
      </c>
      <c r="J345" s="9" t="str">
        <f t="shared" si="113"/>
        <v>Valid</v>
      </c>
      <c r="K345" t="s">
        <v>1734</v>
      </c>
      <c r="L345" t="s">
        <v>161</v>
      </c>
      <c r="M345" t="s">
        <v>161</v>
      </c>
      <c r="N345" t="s">
        <v>107</v>
      </c>
      <c r="O345" s="3" t="str">
        <f t="shared" si="114"/>
        <v>Corporate</v>
      </c>
      <c r="P345" t="s">
        <v>72</v>
      </c>
      <c r="Q345" s="3" t="str">
        <f t="shared" si="115"/>
        <v>West</v>
      </c>
      <c r="R345" t="s">
        <v>83</v>
      </c>
      <c r="S345" t="s">
        <v>84</v>
      </c>
      <c r="T345" t="s">
        <v>85</v>
      </c>
      <c r="U345" s="3" t="str">
        <f t="shared" si="116"/>
        <v>Technology</v>
      </c>
      <c r="V345" t="s">
        <v>381</v>
      </c>
      <c r="W345" t="s">
        <v>1735</v>
      </c>
      <c r="X345" t="s">
        <v>47</v>
      </c>
      <c r="Y345" s="3" t="str">
        <f t="shared" si="117"/>
        <v>Same Day</v>
      </c>
      <c r="Z345">
        <v>9</v>
      </c>
      <c r="AA345">
        <v>3837</v>
      </c>
      <c r="AB345">
        <v>0.1</v>
      </c>
      <c r="AC345">
        <f t="shared" si="118"/>
        <v>0.1</v>
      </c>
      <c r="AD345" t="str">
        <f t="shared" si="121"/>
        <v>Valid</v>
      </c>
      <c r="AE345">
        <v>31079.7</v>
      </c>
      <c r="AF345">
        <v>17758.25</v>
      </c>
      <c r="AG345">
        <v>13321.45</v>
      </c>
      <c r="AH345" t="s">
        <v>33</v>
      </c>
      <c r="AI345" t="str">
        <f t="shared" si="122"/>
        <v>Include</v>
      </c>
      <c r="AJ345" t="str">
        <f t="shared" si="123"/>
        <v/>
      </c>
      <c r="AK345" t="s">
        <v>34</v>
      </c>
      <c r="AL345" t="str">
        <f t="shared" si="119"/>
        <v>Completed</v>
      </c>
      <c r="AM345" t="str">
        <f t="shared" si="124"/>
        <v>Include</v>
      </c>
      <c r="AN345">
        <f t="shared" si="125"/>
        <v>31079.7</v>
      </c>
      <c r="AO345">
        <f t="shared" si="126"/>
        <v>13321.45</v>
      </c>
      <c r="AP345">
        <f>IF(AN345=0,0,AO345/AN345)</f>
        <v>0.4286222196481948</v>
      </c>
      <c r="AQ345" t="str">
        <f t="shared" si="127"/>
        <v>October</v>
      </c>
      <c r="AR345">
        <f t="shared" si="128"/>
        <v>2025</v>
      </c>
      <c r="AS345" t="str">
        <f t="shared" si="129"/>
        <v>Clean</v>
      </c>
      <c r="AT345" t="str">
        <f>IF(OR(AC345&lt;0,AC345&gt;0.5),"Invalid Discount","Valid")</f>
        <v>Valid</v>
      </c>
      <c r="AU345" t="str">
        <f>IF(G345&lt;E345,"Invalid Shipping Record","Valid")</f>
        <v>Valid</v>
      </c>
      <c r="AV345" t="str">
        <f>IF(OR(AL345="Cancelled",AH345="Failed"),"Exclude","Include")</f>
        <v>Include</v>
      </c>
      <c r="AW345" t="str">
        <f t="shared" si="130"/>
        <v>Match</v>
      </c>
      <c r="AX345" t="str">
        <f t="shared" si="131"/>
        <v>Match</v>
      </c>
    </row>
    <row r="346" spans="1:50">
      <c r="A346" t="s">
        <v>1736</v>
      </c>
      <c r="B346">
        <f t="shared" si="110"/>
        <v>1</v>
      </c>
      <c r="C346" t="str">
        <f t="shared" si="120"/>
        <v/>
      </c>
      <c r="D346" s="3" t="s">
        <v>1506</v>
      </c>
      <c r="E346" s="7">
        <v>45362</v>
      </c>
      <c r="F346" s="3" t="s">
        <v>1506</v>
      </c>
      <c r="G346" s="7">
        <v>45362</v>
      </c>
      <c r="H346" s="7" t="str">
        <f t="shared" si="111"/>
        <v>Valid</v>
      </c>
      <c r="I346" s="9">
        <f t="shared" si="112"/>
        <v>0</v>
      </c>
      <c r="J346" s="9" t="str">
        <f t="shared" si="113"/>
        <v>Valid</v>
      </c>
      <c r="K346" t="s">
        <v>1737</v>
      </c>
      <c r="L346" t="s">
        <v>141</v>
      </c>
      <c r="M346" t="s">
        <v>141</v>
      </c>
      <c r="N346" t="s">
        <v>25</v>
      </c>
      <c r="O346" s="3" t="str">
        <f t="shared" si="114"/>
        <v>Consumer</v>
      </c>
      <c r="P346" t="s">
        <v>26</v>
      </c>
      <c r="Q346" s="3" t="str">
        <f t="shared" si="115"/>
        <v>North</v>
      </c>
      <c r="R346" t="s">
        <v>153</v>
      </c>
      <c r="S346" t="s">
        <v>154</v>
      </c>
      <c r="T346" t="s">
        <v>44</v>
      </c>
      <c r="U346" s="3" t="str">
        <f t="shared" si="116"/>
        <v>Furniture</v>
      </c>
      <c r="V346" t="s">
        <v>203</v>
      </c>
      <c r="W346" t="s">
        <v>1738</v>
      </c>
      <c r="X346" t="s">
        <v>47</v>
      </c>
      <c r="Y346" s="3" t="str">
        <f t="shared" si="117"/>
        <v>Same Day</v>
      </c>
      <c r="Z346">
        <v>9</v>
      </c>
      <c r="AA346">
        <v>3456.38</v>
      </c>
      <c r="AB346">
        <v>0</v>
      </c>
      <c r="AC346">
        <f t="shared" si="118"/>
        <v>0</v>
      </c>
      <c r="AD346" t="str">
        <f t="shared" si="121"/>
        <v>Valid</v>
      </c>
      <c r="AE346">
        <v>31107.42</v>
      </c>
      <c r="AF346">
        <v>20146.66</v>
      </c>
      <c r="AG346">
        <v>10960.76</v>
      </c>
      <c r="AH346" t="s">
        <v>136</v>
      </c>
      <c r="AI346" t="str">
        <f t="shared" si="122"/>
        <v>Include</v>
      </c>
      <c r="AJ346" t="str">
        <f t="shared" si="123"/>
        <v/>
      </c>
      <c r="AK346" t="s">
        <v>124</v>
      </c>
      <c r="AL346" t="str">
        <f t="shared" si="119"/>
        <v>Returned</v>
      </c>
      <c r="AM346" t="str">
        <f t="shared" si="124"/>
        <v>Include</v>
      </c>
      <c r="AN346">
        <f t="shared" si="125"/>
        <v>31107.420000000002</v>
      </c>
      <c r="AO346">
        <f t="shared" si="126"/>
        <v>10960.760000000002</v>
      </c>
      <c r="AP346">
        <f>IF(AN346=0,0,AO346/AN346)</f>
        <v>0.3523519468988428</v>
      </c>
      <c r="AQ346" t="str">
        <f t="shared" si="127"/>
        <v>March</v>
      </c>
      <c r="AR346">
        <f t="shared" si="128"/>
        <v>2024</v>
      </c>
      <c r="AS346" t="str">
        <f t="shared" si="129"/>
        <v>Clean</v>
      </c>
      <c r="AT346" t="str">
        <f>IF(OR(AC346&lt;0,AC346&gt;0.5),"Invalid Discount","Valid")</f>
        <v>Valid</v>
      </c>
      <c r="AU346" t="str">
        <f>IF(G346&lt;E346,"Invalid Shipping Record","Valid")</f>
        <v>Valid</v>
      </c>
      <c r="AV346" t="str">
        <f>IF(OR(AL346="Cancelled",AH346="Failed"),"Exclude","Include")</f>
        <v>Include</v>
      </c>
      <c r="AW346" t="str">
        <f t="shared" si="130"/>
        <v>Match</v>
      </c>
      <c r="AX346" t="str">
        <f t="shared" si="131"/>
        <v>Match</v>
      </c>
    </row>
    <row r="347" spans="1:50">
      <c r="A347" t="s">
        <v>1739</v>
      </c>
      <c r="B347">
        <f t="shared" si="110"/>
        <v>1</v>
      </c>
      <c r="C347" t="str">
        <f t="shared" si="120"/>
        <v/>
      </c>
      <c r="D347" s="3" t="s">
        <v>1740</v>
      </c>
      <c r="E347" s="7">
        <v>45549</v>
      </c>
      <c r="F347" s="3" t="s">
        <v>1741</v>
      </c>
      <c r="G347" s="7">
        <v>45557</v>
      </c>
      <c r="H347" s="7" t="str">
        <f t="shared" si="111"/>
        <v>Valid</v>
      </c>
      <c r="I347" s="9">
        <f t="shared" si="112"/>
        <v>8</v>
      </c>
      <c r="J347" s="9" t="str">
        <f t="shared" si="113"/>
        <v>Valid</v>
      </c>
      <c r="K347" t="s">
        <v>1742</v>
      </c>
      <c r="L347" t="s">
        <v>24</v>
      </c>
      <c r="M347" t="s">
        <v>24</v>
      </c>
      <c r="N347" t="s">
        <v>25</v>
      </c>
      <c r="O347" s="3" t="str">
        <f t="shared" si="114"/>
        <v>Consumer</v>
      </c>
      <c r="P347" t="s">
        <v>72</v>
      </c>
      <c r="Q347" s="3" t="str">
        <f t="shared" si="115"/>
        <v>West</v>
      </c>
      <c r="R347" t="s">
        <v>83</v>
      </c>
      <c r="S347" t="s">
        <v>84</v>
      </c>
      <c r="T347" t="s">
        <v>44</v>
      </c>
      <c r="U347" s="3" t="str">
        <f t="shared" si="116"/>
        <v>Furniture</v>
      </c>
      <c r="V347" t="s">
        <v>64</v>
      </c>
      <c r="W347" t="s">
        <v>1743</v>
      </c>
      <c r="X347" t="s">
        <v>32</v>
      </c>
      <c r="Y347" s="3" t="str">
        <f t="shared" si="117"/>
        <v>Second Class</v>
      </c>
      <c r="Z347">
        <v>2</v>
      </c>
      <c r="AA347">
        <v>2765.3</v>
      </c>
      <c r="AB347">
        <v>0</v>
      </c>
      <c r="AC347">
        <f t="shared" si="118"/>
        <v>0</v>
      </c>
      <c r="AD347" t="str">
        <f t="shared" si="121"/>
        <v>Valid</v>
      </c>
      <c r="AE347">
        <v>5530.6</v>
      </c>
      <c r="AF347">
        <v>4453.1099999999997</v>
      </c>
      <c r="AG347">
        <v>1077.49</v>
      </c>
      <c r="AH347" t="s">
        <v>33</v>
      </c>
      <c r="AI347" t="str">
        <f t="shared" si="122"/>
        <v>Include</v>
      </c>
      <c r="AJ347" t="str">
        <f t="shared" si="123"/>
        <v/>
      </c>
      <c r="AK347" t="s">
        <v>34</v>
      </c>
      <c r="AL347" t="str">
        <f t="shared" si="119"/>
        <v>Completed</v>
      </c>
      <c r="AM347" t="str">
        <f t="shared" si="124"/>
        <v>Include</v>
      </c>
      <c r="AN347">
        <f t="shared" si="125"/>
        <v>5530.6</v>
      </c>
      <c r="AO347">
        <f t="shared" si="126"/>
        <v>1077.4900000000007</v>
      </c>
      <c r="AP347">
        <f>IF(AN347=0,0,AO347/AN347)</f>
        <v>0.19482334647235391</v>
      </c>
      <c r="AQ347" t="str">
        <f t="shared" si="127"/>
        <v>September</v>
      </c>
      <c r="AR347">
        <f t="shared" si="128"/>
        <v>2024</v>
      </c>
      <c r="AS347" t="str">
        <f t="shared" si="129"/>
        <v>Clean</v>
      </c>
      <c r="AT347" t="str">
        <f>IF(OR(AC347&lt;0,AC347&gt;0.5),"Invalid Discount","Valid")</f>
        <v>Valid</v>
      </c>
      <c r="AU347" t="str">
        <f>IF(G347&lt;E347,"Invalid Shipping Record","Valid")</f>
        <v>Valid</v>
      </c>
      <c r="AV347" t="str">
        <f>IF(OR(AL347="Cancelled",AH347="Failed"),"Exclude","Include")</f>
        <v>Include</v>
      </c>
      <c r="AW347" t="str">
        <f t="shared" si="130"/>
        <v>Match</v>
      </c>
      <c r="AX347" t="str">
        <f t="shared" si="131"/>
        <v>Match</v>
      </c>
    </row>
    <row r="348" spans="1:50">
      <c r="A348" t="s">
        <v>1744</v>
      </c>
      <c r="B348">
        <f t="shared" ref="B348:B411" si="132">COUNTIF($A:$A,A348)</f>
        <v>1</v>
      </c>
      <c r="C348" t="str">
        <f t="shared" si="120"/>
        <v/>
      </c>
      <c r="D348" s="3" t="s">
        <v>1657</v>
      </c>
      <c r="E348" s="7">
        <v>45860</v>
      </c>
      <c r="F348" s="3" t="s">
        <v>1745</v>
      </c>
      <c r="G348" s="7">
        <v>45866</v>
      </c>
      <c r="H348" s="7" t="str">
        <f t="shared" si="111"/>
        <v>Valid</v>
      </c>
      <c r="I348" s="9">
        <f t="shared" si="112"/>
        <v>6</v>
      </c>
      <c r="J348" s="9" t="str">
        <f t="shared" si="113"/>
        <v>Valid</v>
      </c>
      <c r="K348" t="s">
        <v>1746</v>
      </c>
      <c r="L348" t="s">
        <v>147</v>
      </c>
      <c r="M348" t="s">
        <v>147</v>
      </c>
      <c r="N348" t="s">
        <v>107</v>
      </c>
      <c r="O348" s="3" t="str">
        <f t="shared" si="114"/>
        <v>Corporate</v>
      </c>
      <c r="P348" t="s">
        <v>61</v>
      </c>
      <c r="Q348" s="3" t="str">
        <f t="shared" si="115"/>
        <v>South</v>
      </c>
      <c r="R348" t="s">
        <v>241</v>
      </c>
      <c r="S348" t="s">
        <v>242</v>
      </c>
      <c r="T348" t="s">
        <v>44</v>
      </c>
      <c r="U348" s="3" t="str">
        <f t="shared" si="116"/>
        <v>Furniture</v>
      </c>
      <c r="V348" t="s">
        <v>75</v>
      </c>
      <c r="W348" t="s">
        <v>1747</v>
      </c>
      <c r="X348" t="s">
        <v>32</v>
      </c>
      <c r="Y348" s="3" t="str">
        <f t="shared" si="117"/>
        <v>Second Class</v>
      </c>
      <c r="Z348">
        <v>6</v>
      </c>
      <c r="AA348">
        <v>1607.46</v>
      </c>
      <c r="AB348">
        <v>0.2</v>
      </c>
      <c r="AC348">
        <f t="shared" si="118"/>
        <v>0.2</v>
      </c>
      <c r="AD348" t="str">
        <f t="shared" si="121"/>
        <v>Valid</v>
      </c>
      <c r="AE348">
        <v>7715.81</v>
      </c>
      <c r="AF348">
        <v>4258.42</v>
      </c>
      <c r="AG348">
        <v>3457.39</v>
      </c>
      <c r="AH348" t="s">
        <v>33</v>
      </c>
      <c r="AI348" t="str">
        <f t="shared" si="122"/>
        <v>Include</v>
      </c>
      <c r="AJ348" t="str">
        <f t="shared" si="123"/>
        <v/>
      </c>
      <c r="AK348" t="s">
        <v>34</v>
      </c>
      <c r="AL348" t="str">
        <f t="shared" si="119"/>
        <v>Completed</v>
      </c>
      <c r="AM348" t="str">
        <f t="shared" si="124"/>
        <v>Include</v>
      </c>
      <c r="AN348">
        <f t="shared" si="125"/>
        <v>7715.8080000000009</v>
      </c>
      <c r="AO348">
        <f t="shared" si="126"/>
        <v>3457.3880000000008</v>
      </c>
      <c r="AP348">
        <f>IF(AN348=0,0,AO348/AN348)</f>
        <v>0.4480915025360922</v>
      </c>
      <c r="AQ348" t="str">
        <f t="shared" si="127"/>
        <v>July</v>
      </c>
      <c r="AR348">
        <f t="shared" si="128"/>
        <v>2025</v>
      </c>
      <c r="AS348" t="str">
        <f t="shared" si="129"/>
        <v>Clean</v>
      </c>
      <c r="AT348" t="str">
        <f>IF(OR(AC348&lt;0,AC348&gt;0.5),"Invalid Discount","Valid")</f>
        <v>Valid</v>
      </c>
      <c r="AU348" t="str">
        <f>IF(G348&lt;E348,"Invalid Shipping Record","Valid")</f>
        <v>Valid</v>
      </c>
      <c r="AV348" t="str">
        <f>IF(OR(AL348="Cancelled",AH348="Failed"),"Exclude","Include")</f>
        <v>Include</v>
      </c>
      <c r="AW348" t="str">
        <f t="shared" si="130"/>
        <v>Match</v>
      </c>
      <c r="AX348" t="str">
        <f t="shared" si="131"/>
        <v>Match</v>
      </c>
    </row>
    <row r="349" spans="1:50">
      <c r="A349" t="s">
        <v>1748</v>
      </c>
      <c r="B349">
        <f t="shared" si="132"/>
        <v>1</v>
      </c>
      <c r="C349" t="str">
        <f t="shared" si="120"/>
        <v/>
      </c>
      <c r="D349" s="3" t="s">
        <v>1749</v>
      </c>
      <c r="E349" s="7">
        <v>45627</v>
      </c>
      <c r="F349" s="3" t="s">
        <v>1463</v>
      </c>
      <c r="G349" s="7">
        <v>45634</v>
      </c>
      <c r="H349" s="7" t="str">
        <f t="shared" si="111"/>
        <v>Valid</v>
      </c>
      <c r="I349" s="9">
        <f t="shared" si="112"/>
        <v>7</v>
      </c>
      <c r="J349" s="9" t="str">
        <f t="shared" si="113"/>
        <v>Valid</v>
      </c>
      <c r="K349" t="s">
        <v>1750</v>
      </c>
      <c r="L349" t="s">
        <v>161</v>
      </c>
      <c r="M349" t="s">
        <v>161</v>
      </c>
      <c r="N349" t="s">
        <v>40</v>
      </c>
      <c r="O349" s="3" t="str">
        <f t="shared" si="114"/>
        <v>Small Business</v>
      </c>
      <c r="P349" t="s">
        <v>72</v>
      </c>
      <c r="Q349" s="3" t="str">
        <f t="shared" si="115"/>
        <v>West</v>
      </c>
      <c r="R349" t="s">
        <v>248</v>
      </c>
      <c r="S349" t="s">
        <v>249</v>
      </c>
      <c r="T349" t="s">
        <v>44</v>
      </c>
      <c r="U349" s="3" t="str">
        <f t="shared" si="116"/>
        <v>Furniture</v>
      </c>
      <c r="V349" t="s">
        <v>75</v>
      </c>
      <c r="W349" t="s">
        <v>1751</v>
      </c>
      <c r="X349" t="s">
        <v>32</v>
      </c>
      <c r="Y349" s="3" t="str">
        <f t="shared" si="117"/>
        <v>Second Class</v>
      </c>
      <c r="Z349">
        <v>5</v>
      </c>
      <c r="AA349">
        <v>2981.49</v>
      </c>
      <c r="AB349">
        <v>0.2</v>
      </c>
      <c r="AC349">
        <f t="shared" si="118"/>
        <v>0.2</v>
      </c>
      <c r="AD349" t="str">
        <f t="shared" si="121"/>
        <v>Valid</v>
      </c>
      <c r="AE349">
        <v>11925.96</v>
      </c>
      <c r="AF349">
        <v>10103.51</v>
      </c>
      <c r="AG349">
        <v>1822.45</v>
      </c>
      <c r="AH349" t="s">
        <v>123</v>
      </c>
      <c r="AI349" t="str">
        <f t="shared" si="122"/>
        <v>Include</v>
      </c>
      <c r="AJ349" t="str">
        <f t="shared" si="123"/>
        <v>Refunded Order</v>
      </c>
      <c r="AK349" t="s">
        <v>124</v>
      </c>
      <c r="AL349" t="str">
        <f t="shared" si="119"/>
        <v>Returned</v>
      </c>
      <c r="AM349" t="str">
        <f t="shared" si="124"/>
        <v>Include</v>
      </c>
      <c r="AN349">
        <f t="shared" si="125"/>
        <v>11925.96</v>
      </c>
      <c r="AO349">
        <f t="shared" si="126"/>
        <v>1822.4499999999989</v>
      </c>
      <c r="AP349">
        <f>IF(AN349=0,0,AO349/AN349)</f>
        <v>0.15281369382422874</v>
      </c>
      <c r="AQ349" t="str">
        <f t="shared" si="127"/>
        <v>December</v>
      </c>
      <c r="AR349">
        <f t="shared" si="128"/>
        <v>2024</v>
      </c>
      <c r="AS349" t="str">
        <f t="shared" si="129"/>
        <v>Clean</v>
      </c>
      <c r="AT349" t="str">
        <f>IF(OR(AC349&lt;0,AC349&gt;0.5),"Invalid Discount","Valid")</f>
        <v>Valid</v>
      </c>
      <c r="AU349" t="str">
        <f>IF(G349&lt;E349,"Invalid Shipping Record","Valid")</f>
        <v>Valid</v>
      </c>
      <c r="AV349" t="str">
        <f>IF(OR(AL349="Cancelled",AH349="Failed"),"Exclude","Include")</f>
        <v>Include</v>
      </c>
      <c r="AW349" t="str">
        <f t="shared" si="130"/>
        <v>Match</v>
      </c>
      <c r="AX349" t="str">
        <f t="shared" si="131"/>
        <v>Match</v>
      </c>
    </row>
    <row r="350" spans="1:50">
      <c r="A350" t="s">
        <v>1752</v>
      </c>
      <c r="B350">
        <f t="shared" si="132"/>
        <v>1</v>
      </c>
      <c r="C350" t="str">
        <f t="shared" si="120"/>
        <v/>
      </c>
      <c r="D350" s="3" t="s">
        <v>1302</v>
      </c>
      <c r="E350" s="7">
        <v>45445</v>
      </c>
      <c r="F350" s="3" t="s">
        <v>1753</v>
      </c>
      <c r="G350" s="7">
        <v>45450</v>
      </c>
      <c r="H350" s="7" t="str">
        <f t="shared" si="111"/>
        <v>Valid</v>
      </c>
      <c r="I350" s="9">
        <f t="shared" si="112"/>
        <v>5</v>
      </c>
      <c r="J350" s="9" t="str">
        <f t="shared" si="113"/>
        <v>Valid</v>
      </c>
      <c r="K350" t="s">
        <v>1754</v>
      </c>
      <c r="L350" t="s">
        <v>161</v>
      </c>
      <c r="M350" t="s">
        <v>161</v>
      </c>
      <c r="N350" t="s">
        <v>107</v>
      </c>
      <c r="O350" s="3" t="str">
        <f t="shared" si="114"/>
        <v>Corporate</v>
      </c>
      <c r="P350" t="s">
        <v>61</v>
      </c>
      <c r="Q350" s="3" t="str">
        <f t="shared" si="115"/>
        <v>South</v>
      </c>
      <c r="R350" t="s">
        <v>228</v>
      </c>
      <c r="S350" t="s">
        <v>229</v>
      </c>
      <c r="T350" t="s">
        <v>85</v>
      </c>
      <c r="U350" s="3" t="str">
        <f t="shared" si="116"/>
        <v>Technology</v>
      </c>
      <c r="V350" t="s">
        <v>222</v>
      </c>
      <c r="W350" t="s">
        <v>1755</v>
      </c>
      <c r="X350" t="s">
        <v>47</v>
      </c>
      <c r="Y350" s="3" t="str">
        <f t="shared" si="117"/>
        <v>Same Day</v>
      </c>
      <c r="Z350">
        <v>9</v>
      </c>
      <c r="AA350">
        <v>2860.26</v>
      </c>
      <c r="AB350">
        <v>0.25</v>
      </c>
      <c r="AC350">
        <f t="shared" si="118"/>
        <v>0.25</v>
      </c>
      <c r="AD350" t="str">
        <f t="shared" si="121"/>
        <v>Valid</v>
      </c>
      <c r="AE350">
        <v>19306.759999999998</v>
      </c>
      <c r="AF350">
        <v>14442.38</v>
      </c>
      <c r="AG350">
        <v>4864.38</v>
      </c>
      <c r="AH350" t="s">
        <v>33</v>
      </c>
      <c r="AI350" t="str">
        <f t="shared" si="122"/>
        <v>Include</v>
      </c>
      <c r="AJ350" t="str">
        <f t="shared" si="123"/>
        <v/>
      </c>
      <c r="AK350" t="s">
        <v>34</v>
      </c>
      <c r="AL350" t="str">
        <f t="shared" si="119"/>
        <v>Completed</v>
      </c>
      <c r="AM350" t="str">
        <f t="shared" si="124"/>
        <v>Include</v>
      </c>
      <c r="AN350">
        <f t="shared" si="125"/>
        <v>19306.755000000005</v>
      </c>
      <c r="AO350">
        <f t="shared" si="126"/>
        <v>4864.3750000000055</v>
      </c>
      <c r="AP350">
        <f>IF(AN350=0,0,AO350/AN350)</f>
        <v>0.25195197225012717</v>
      </c>
      <c r="AQ350" t="str">
        <f t="shared" si="127"/>
        <v>June</v>
      </c>
      <c r="AR350">
        <f t="shared" si="128"/>
        <v>2024</v>
      </c>
      <c r="AS350" t="str">
        <f t="shared" si="129"/>
        <v>Clean</v>
      </c>
      <c r="AT350" t="str">
        <f>IF(OR(AC350&lt;0,AC350&gt;0.5),"Invalid Discount","Valid")</f>
        <v>Valid</v>
      </c>
      <c r="AU350" t="str">
        <f>IF(G350&lt;E350,"Invalid Shipping Record","Valid")</f>
        <v>Valid</v>
      </c>
      <c r="AV350" t="str">
        <f>IF(OR(AL350="Cancelled",AH350="Failed"),"Exclude","Include")</f>
        <v>Include</v>
      </c>
      <c r="AW350" t="str">
        <f t="shared" si="130"/>
        <v>Match</v>
      </c>
      <c r="AX350" t="str">
        <f t="shared" si="131"/>
        <v>Match</v>
      </c>
    </row>
    <row r="351" spans="1:50">
      <c r="A351" t="s">
        <v>1756</v>
      </c>
      <c r="B351">
        <f t="shared" si="132"/>
        <v>1</v>
      </c>
      <c r="C351" t="str">
        <f t="shared" si="120"/>
        <v/>
      </c>
      <c r="D351" s="3" t="s">
        <v>1757</v>
      </c>
      <c r="E351" s="7">
        <v>45927</v>
      </c>
      <c r="F351" s="3" t="s">
        <v>746</v>
      </c>
      <c r="G351" s="7">
        <v>45929</v>
      </c>
      <c r="H351" s="7" t="str">
        <f t="shared" si="111"/>
        <v>Valid</v>
      </c>
      <c r="I351" s="9">
        <f t="shared" si="112"/>
        <v>2</v>
      </c>
      <c r="J351" s="9" t="str">
        <f t="shared" si="113"/>
        <v>Valid</v>
      </c>
      <c r="K351" t="s">
        <v>1758</v>
      </c>
      <c r="L351" t="s">
        <v>365</v>
      </c>
      <c r="M351" t="s">
        <v>365</v>
      </c>
      <c r="N351" t="s">
        <v>114</v>
      </c>
      <c r="O351" s="3" t="str">
        <f t="shared" si="114"/>
        <v>Home Office</v>
      </c>
      <c r="P351" t="s">
        <v>41</v>
      </c>
      <c r="Q351" s="3" t="str">
        <f t="shared" si="115"/>
        <v>East</v>
      </c>
      <c r="R351" t="s">
        <v>310</v>
      </c>
      <c r="S351" t="s">
        <v>311</v>
      </c>
      <c r="T351" t="s">
        <v>44</v>
      </c>
      <c r="U351" s="3" t="str">
        <f t="shared" si="116"/>
        <v>Furniture</v>
      </c>
      <c r="V351" t="s">
        <v>64</v>
      </c>
      <c r="W351" t="s">
        <v>1759</v>
      </c>
      <c r="X351" t="s">
        <v>32</v>
      </c>
      <c r="Y351" s="3" t="str">
        <f t="shared" si="117"/>
        <v>Second Class</v>
      </c>
      <c r="Z351">
        <v>9</v>
      </c>
      <c r="AA351">
        <v>2867.55</v>
      </c>
      <c r="AB351">
        <v>0.25</v>
      </c>
      <c r="AC351">
        <f t="shared" si="118"/>
        <v>0.25</v>
      </c>
      <c r="AD351" t="str">
        <f t="shared" si="121"/>
        <v>Valid</v>
      </c>
      <c r="AE351">
        <v>19355.96</v>
      </c>
      <c r="AF351">
        <v>15012.45</v>
      </c>
      <c r="AG351">
        <v>4017.4</v>
      </c>
      <c r="AH351" t="s">
        <v>33</v>
      </c>
      <c r="AI351" t="str">
        <f t="shared" si="122"/>
        <v>Include</v>
      </c>
      <c r="AJ351" t="str">
        <f t="shared" si="123"/>
        <v/>
      </c>
      <c r="AK351" t="s">
        <v>34</v>
      </c>
      <c r="AL351" t="str">
        <f t="shared" si="119"/>
        <v>Completed</v>
      </c>
      <c r="AM351" t="str">
        <f t="shared" si="124"/>
        <v>Include</v>
      </c>
      <c r="AN351">
        <f t="shared" si="125"/>
        <v>19355.962500000001</v>
      </c>
      <c r="AO351">
        <f t="shared" si="126"/>
        <v>4343.5125000000007</v>
      </c>
      <c r="AP351">
        <f>IF(AN351=0,0,AO351/AN351)</f>
        <v>0.22440178317146461</v>
      </c>
      <c r="AQ351" t="str">
        <f t="shared" si="127"/>
        <v>September</v>
      </c>
      <c r="AR351">
        <f t="shared" si="128"/>
        <v>2025</v>
      </c>
      <c r="AS351" t="str">
        <f t="shared" si="129"/>
        <v>Clean</v>
      </c>
      <c r="AT351" t="str">
        <f>IF(OR(AC351&lt;0,AC351&gt;0.5),"Invalid Discount","Valid")</f>
        <v>Valid</v>
      </c>
      <c r="AU351" t="str">
        <f>IF(G351&lt;E351,"Invalid Shipping Record","Valid")</f>
        <v>Valid</v>
      </c>
      <c r="AV351" t="str">
        <f>IF(OR(AL351="Cancelled",AH351="Failed"),"Exclude","Include")</f>
        <v>Include</v>
      </c>
      <c r="AW351" t="str">
        <f t="shared" si="130"/>
        <v>Match</v>
      </c>
      <c r="AX351" t="str">
        <f t="shared" si="131"/>
        <v>Mismatch</v>
      </c>
    </row>
    <row r="352" spans="1:50">
      <c r="A352" t="s">
        <v>1760</v>
      </c>
      <c r="B352">
        <f t="shared" si="132"/>
        <v>1</v>
      </c>
      <c r="C352" t="str">
        <f t="shared" si="120"/>
        <v/>
      </c>
      <c r="D352" s="3" t="s">
        <v>1761</v>
      </c>
      <c r="E352" s="7">
        <v>45298</v>
      </c>
      <c r="F352" s="3" t="s">
        <v>1762</v>
      </c>
      <c r="G352" s="7">
        <v>45305</v>
      </c>
      <c r="H352" s="7" t="str">
        <f t="shared" si="111"/>
        <v>Valid</v>
      </c>
      <c r="I352" s="9">
        <f t="shared" si="112"/>
        <v>7</v>
      </c>
      <c r="J352" s="9" t="str">
        <f t="shared" si="113"/>
        <v>Valid</v>
      </c>
      <c r="K352" t="s">
        <v>1763</v>
      </c>
      <c r="L352" t="s">
        <v>167</v>
      </c>
      <c r="M352" t="s">
        <v>167</v>
      </c>
      <c r="N352" t="s">
        <v>40</v>
      </c>
      <c r="O352" s="3" t="str">
        <f t="shared" si="114"/>
        <v>Small Business</v>
      </c>
      <c r="P352" t="s">
        <v>41</v>
      </c>
      <c r="Q352" s="3" t="str">
        <f t="shared" si="115"/>
        <v>East</v>
      </c>
      <c r="R352" t="s">
        <v>310</v>
      </c>
      <c r="S352" t="s">
        <v>311</v>
      </c>
      <c r="T352" t="s">
        <v>44</v>
      </c>
      <c r="U352" s="3" t="str">
        <f t="shared" si="116"/>
        <v>Furniture</v>
      </c>
      <c r="V352" t="s">
        <v>64</v>
      </c>
      <c r="W352" t="s">
        <v>1764</v>
      </c>
      <c r="X352" t="s">
        <v>32</v>
      </c>
      <c r="Y352" s="3" t="str">
        <f t="shared" si="117"/>
        <v>Second Class</v>
      </c>
      <c r="Z352">
        <v>4</v>
      </c>
      <c r="AA352">
        <v>3309.54</v>
      </c>
      <c r="AB352">
        <v>0.1</v>
      </c>
      <c r="AC352">
        <f t="shared" si="118"/>
        <v>0.1</v>
      </c>
      <c r="AD352" t="str">
        <f t="shared" si="121"/>
        <v>Valid</v>
      </c>
      <c r="AE352">
        <v>11914.34</v>
      </c>
      <c r="AF352">
        <v>9771.24</v>
      </c>
      <c r="AG352">
        <v>2143.1</v>
      </c>
      <c r="AH352" t="s">
        <v>123</v>
      </c>
      <c r="AI352" t="str">
        <f t="shared" si="122"/>
        <v>Include</v>
      </c>
      <c r="AJ352" t="str">
        <f t="shared" si="123"/>
        <v>Refunded Order</v>
      </c>
      <c r="AK352" t="s">
        <v>124</v>
      </c>
      <c r="AL352" t="str">
        <f t="shared" si="119"/>
        <v>Returned</v>
      </c>
      <c r="AM352" t="str">
        <f t="shared" si="124"/>
        <v>Include</v>
      </c>
      <c r="AN352">
        <f t="shared" si="125"/>
        <v>11914.344000000001</v>
      </c>
      <c r="AO352">
        <f t="shared" si="126"/>
        <v>2143.1040000000012</v>
      </c>
      <c r="AP352">
        <f>IF(AN352=0,0,AO352/AN352)</f>
        <v>0.17987595456367561</v>
      </c>
      <c r="AQ352" t="str">
        <f t="shared" si="127"/>
        <v>January</v>
      </c>
      <c r="AR352">
        <f t="shared" si="128"/>
        <v>2024</v>
      </c>
      <c r="AS352" t="str">
        <f t="shared" si="129"/>
        <v>Clean</v>
      </c>
      <c r="AT352" t="str">
        <f>IF(OR(AC352&lt;0,AC352&gt;0.5),"Invalid Discount","Valid")</f>
        <v>Valid</v>
      </c>
      <c r="AU352" t="str">
        <f>IF(G352&lt;E352,"Invalid Shipping Record","Valid")</f>
        <v>Valid</v>
      </c>
      <c r="AV352" t="str">
        <f>IF(OR(AL352="Cancelled",AH352="Failed"),"Exclude","Include")</f>
        <v>Include</v>
      </c>
      <c r="AW352" t="str">
        <f t="shared" si="130"/>
        <v>Match</v>
      </c>
      <c r="AX352" t="str">
        <f t="shared" si="131"/>
        <v>Match</v>
      </c>
    </row>
    <row r="353" spans="1:50">
      <c r="A353" t="s">
        <v>1765</v>
      </c>
      <c r="B353">
        <f t="shared" si="132"/>
        <v>1</v>
      </c>
      <c r="C353" t="str">
        <f t="shared" si="120"/>
        <v/>
      </c>
      <c r="D353" s="3" t="s">
        <v>1766</v>
      </c>
      <c r="E353" s="7">
        <v>45800</v>
      </c>
      <c r="F353" s="3" t="s">
        <v>1681</v>
      </c>
      <c r="G353" s="7">
        <v>45804</v>
      </c>
      <c r="H353" s="7" t="str">
        <f t="shared" si="111"/>
        <v>Valid</v>
      </c>
      <c r="I353" s="9">
        <f t="shared" si="112"/>
        <v>4</v>
      </c>
      <c r="J353" s="9" t="str">
        <f t="shared" si="113"/>
        <v>Valid</v>
      </c>
      <c r="K353" t="s">
        <v>1767</v>
      </c>
      <c r="L353" t="s">
        <v>82</v>
      </c>
      <c r="M353" t="s">
        <v>82</v>
      </c>
      <c r="N353" t="s">
        <v>40</v>
      </c>
      <c r="O353" s="3" t="str">
        <f t="shared" si="114"/>
        <v>Small Business</v>
      </c>
      <c r="P353" t="s">
        <v>61</v>
      </c>
      <c r="Q353" s="3" t="str">
        <f t="shared" si="115"/>
        <v>South</v>
      </c>
      <c r="R353" t="s">
        <v>62</v>
      </c>
      <c r="S353" t="s">
        <v>63</v>
      </c>
      <c r="T353" t="s">
        <v>29</v>
      </c>
      <c r="U353" s="3" t="str">
        <f t="shared" si="116"/>
        <v>Office Supplies</v>
      </c>
      <c r="V353" t="s">
        <v>155</v>
      </c>
      <c r="W353" t="s">
        <v>1768</v>
      </c>
      <c r="X353" t="s">
        <v>55</v>
      </c>
      <c r="Y353" s="3" t="str">
        <f t="shared" si="117"/>
        <v>First Class</v>
      </c>
      <c r="Z353">
        <v>6</v>
      </c>
      <c r="AA353">
        <v>719.44</v>
      </c>
      <c r="AB353">
        <v>0.25</v>
      </c>
      <c r="AC353">
        <f t="shared" si="118"/>
        <v>0.25</v>
      </c>
      <c r="AD353" t="str">
        <f t="shared" si="121"/>
        <v>Valid</v>
      </c>
      <c r="AE353">
        <v>3237.48</v>
      </c>
      <c r="AF353">
        <v>2118.34</v>
      </c>
      <c r="AG353">
        <v>1119.1400000000001</v>
      </c>
      <c r="AH353" t="s">
        <v>136</v>
      </c>
      <c r="AI353" t="str">
        <f t="shared" si="122"/>
        <v>Exclude</v>
      </c>
      <c r="AJ353" t="str">
        <f t="shared" si="123"/>
        <v/>
      </c>
      <c r="AK353" t="s">
        <v>77</v>
      </c>
      <c r="AL353" t="str">
        <f t="shared" si="119"/>
        <v>Cancelled</v>
      </c>
      <c r="AM353" t="str">
        <f t="shared" si="124"/>
        <v>Exclude</v>
      </c>
      <c r="AN353">
        <f t="shared" si="125"/>
        <v>3237.4800000000005</v>
      </c>
      <c r="AO353">
        <f t="shared" si="126"/>
        <v>1119.1400000000003</v>
      </c>
      <c r="AP353">
        <f>IF(AN353=0,0,AO353/AN353)</f>
        <v>0.34568244437031276</v>
      </c>
      <c r="AQ353" t="str">
        <f t="shared" si="127"/>
        <v>May</v>
      </c>
      <c r="AR353">
        <f t="shared" si="128"/>
        <v>2025</v>
      </c>
      <c r="AS353" t="str">
        <f t="shared" si="129"/>
        <v>Clean</v>
      </c>
      <c r="AT353" t="str">
        <f>IF(OR(AC353&lt;0,AC353&gt;0.5),"Invalid Discount","Valid")</f>
        <v>Valid</v>
      </c>
      <c r="AU353" t="str">
        <f>IF(G353&lt;E353,"Invalid Shipping Record","Valid")</f>
        <v>Valid</v>
      </c>
      <c r="AV353" t="str">
        <f>IF(OR(AL353="Cancelled",AH353="Failed"),"Exclude","Include")</f>
        <v>Exclude</v>
      </c>
      <c r="AW353" t="str">
        <f t="shared" si="130"/>
        <v>Match</v>
      </c>
      <c r="AX353" t="str">
        <f t="shared" si="131"/>
        <v>Match</v>
      </c>
    </row>
    <row r="354" spans="1:50">
      <c r="A354" t="s">
        <v>1769</v>
      </c>
      <c r="B354">
        <f t="shared" si="132"/>
        <v>1</v>
      </c>
      <c r="C354" t="str">
        <f t="shared" si="120"/>
        <v/>
      </c>
      <c r="D354" s="3" t="s">
        <v>1770</v>
      </c>
      <c r="E354" s="7">
        <v>45884</v>
      </c>
      <c r="F354" s="3" t="s">
        <v>1392</v>
      </c>
      <c r="G354" s="7">
        <v>45886</v>
      </c>
      <c r="H354" s="7" t="str">
        <f t="shared" si="111"/>
        <v>Valid</v>
      </c>
      <c r="I354" s="9">
        <f t="shared" si="112"/>
        <v>2</v>
      </c>
      <c r="J354" s="9" t="str">
        <f t="shared" si="113"/>
        <v>Valid</v>
      </c>
      <c r="K354" t="s">
        <v>1771</v>
      </c>
      <c r="L354" t="s">
        <v>209</v>
      </c>
      <c r="M354" t="s">
        <v>209</v>
      </c>
      <c r="N354" t="s">
        <v>40</v>
      </c>
      <c r="O354" s="3" t="str">
        <f t="shared" si="114"/>
        <v>Small Business</v>
      </c>
      <c r="P354" t="s">
        <v>41</v>
      </c>
      <c r="Q354" s="3" t="str">
        <f t="shared" si="115"/>
        <v>East</v>
      </c>
      <c r="R354" t="s">
        <v>215</v>
      </c>
      <c r="S354" t="s">
        <v>216</v>
      </c>
      <c r="T354" t="s">
        <v>85</v>
      </c>
      <c r="U354" s="3" t="str">
        <f t="shared" si="116"/>
        <v>Technology</v>
      </c>
      <c r="V354" t="s">
        <v>93</v>
      </c>
      <c r="W354" t="s">
        <v>1772</v>
      </c>
      <c r="X354" t="s">
        <v>55</v>
      </c>
      <c r="Y354" s="3" t="str">
        <f t="shared" si="117"/>
        <v>First Class</v>
      </c>
      <c r="Z354">
        <v>5</v>
      </c>
      <c r="AA354">
        <v>2862.6</v>
      </c>
      <c r="AB354">
        <v>0.25</v>
      </c>
      <c r="AC354">
        <f t="shared" si="118"/>
        <v>0.25</v>
      </c>
      <c r="AD354" t="str">
        <f t="shared" si="121"/>
        <v>Valid</v>
      </c>
      <c r="AE354">
        <v>10734.75</v>
      </c>
      <c r="AF354">
        <v>6475.73</v>
      </c>
      <c r="AG354">
        <v>4259.0200000000004</v>
      </c>
      <c r="AH354" t="s">
        <v>33</v>
      </c>
      <c r="AI354" t="str">
        <f t="shared" si="122"/>
        <v>Include</v>
      </c>
      <c r="AJ354" t="str">
        <f t="shared" si="123"/>
        <v/>
      </c>
      <c r="AK354" t="s">
        <v>34</v>
      </c>
      <c r="AL354" t="str">
        <f t="shared" si="119"/>
        <v>Completed</v>
      </c>
      <c r="AM354" t="str">
        <f t="shared" si="124"/>
        <v>Include</v>
      </c>
      <c r="AN354">
        <f t="shared" si="125"/>
        <v>10734.75</v>
      </c>
      <c r="AO354">
        <f t="shared" si="126"/>
        <v>4259.0200000000004</v>
      </c>
      <c r="AP354">
        <f>IF(AN354=0,0,AO354/AN354)</f>
        <v>0.39675073942103917</v>
      </c>
      <c r="AQ354" t="str">
        <f t="shared" si="127"/>
        <v>August</v>
      </c>
      <c r="AR354">
        <f t="shared" si="128"/>
        <v>2025</v>
      </c>
      <c r="AS354" t="str">
        <f t="shared" si="129"/>
        <v>Clean</v>
      </c>
      <c r="AT354" t="str">
        <f>IF(OR(AC354&lt;0,AC354&gt;0.5),"Invalid Discount","Valid")</f>
        <v>Valid</v>
      </c>
      <c r="AU354" t="str">
        <f>IF(G354&lt;E354,"Invalid Shipping Record","Valid")</f>
        <v>Valid</v>
      </c>
      <c r="AV354" t="str">
        <f>IF(OR(AL354="Cancelled",AH354="Failed"),"Exclude","Include")</f>
        <v>Include</v>
      </c>
      <c r="AW354" t="str">
        <f t="shared" si="130"/>
        <v>Match</v>
      </c>
      <c r="AX354" t="str">
        <f t="shared" si="131"/>
        <v>Match</v>
      </c>
    </row>
    <row r="355" spans="1:50">
      <c r="A355" t="s">
        <v>1773</v>
      </c>
      <c r="B355">
        <f t="shared" si="132"/>
        <v>1</v>
      </c>
      <c r="C355" t="str">
        <f t="shared" si="120"/>
        <v/>
      </c>
      <c r="D355" s="3" t="s">
        <v>1774</v>
      </c>
      <c r="E355" s="7">
        <v>45709</v>
      </c>
      <c r="F355" s="3" t="s">
        <v>1162</v>
      </c>
      <c r="G355" s="7">
        <v>45715</v>
      </c>
      <c r="H355" s="7" t="str">
        <f t="shared" si="111"/>
        <v>Valid</v>
      </c>
      <c r="I355" s="9">
        <f t="shared" si="112"/>
        <v>6</v>
      </c>
      <c r="J355" s="9" t="str">
        <f t="shared" si="113"/>
        <v>Valid</v>
      </c>
      <c r="K355" t="s">
        <v>1775</v>
      </c>
      <c r="L355" t="s">
        <v>71</v>
      </c>
      <c r="M355" t="s">
        <v>71</v>
      </c>
      <c r="N355" t="s">
        <v>25</v>
      </c>
      <c r="O355" s="3" t="str">
        <f t="shared" si="114"/>
        <v>Consumer</v>
      </c>
      <c r="P355" t="s">
        <v>26</v>
      </c>
      <c r="Q355" s="3" t="str">
        <f t="shared" si="115"/>
        <v>North</v>
      </c>
      <c r="R355" t="s">
        <v>27</v>
      </c>
      <c r="S355" t="s">
        <v>28</v>
      </c>
      <c r="T355" t="s">
        <v>29</v>
      </c>
      <c r="U355" s="3" t="str">
        <f t="shared" si="116"/>
        <v>Office Supplies</v>
      </c>
      <c r="V355" t="s">
        <v>53</v>
      </c>
      <c r="W355" t="s">
        <v>1776</v>
      </c>
      <c r="X355" t="s">
        <v>47</v>
      </c>
      <c r="Y355" s="3" t="str">
        <f t="shared" si="117"/>
        <v>Same Day</v>
      </c>
      <c r="Z355">
        <v>9</v>
      </c>
      <c r="AA355">
        <v>1431.67</v>
      </c>
      <c r="AB355">
        <v>0.2</v>
      </c>
      <c r="AC355">
        <f t="shared" si="118"/>
        <v>0.2</v>
      </c>
      <c r="AD355" t="str">
        <f t="shared" si="121"/>
        <v>Valid</v>
      </c>
      <c r="AE355">
        <v>10308.02</v>
      </c>
      <c r="AF355">
        <v>5822.31</v>
      </c>
      <c r="AG355">
        <v>4485.71</v>
      </c>
      <c r="AH355" t="s">
        <v>33</v>
      </c>
      <c r="AI355" t="str">
        <f t="shared" si="122"/>
        <v>Include</v>
      </c>
      <c r="AJ355" t="str">
        <f t="shared" si="123"/>
        <v/>
      </c>
      <c r="AK355" t="s">
        <v>34</v>
      </c>
      <c r="AL355" t="str">
        <f t="shared" si="119"/>
        <v>Completed</v>
      </c>
      <c r="AM355" t="str">
        <f t="shared" si="124"/>
        <v>Include</v>
      </c>
      <c r="AN355">
        <f t="shared" si="125"/>
        <v>10308.024000000001</v>
      </c>
      <c r="AO355">
        <f t="shared" si="126"/>
        <v>4485.7140000000009</v>
      </c>
      <c r="AP355">
        <f>IF(AN355=0,0,AO355/AN355)</f>
        <v>0.4351672056642476</v>
      </c>
      <c r="AQ355" t="str">
        <f t="shared" si="127"/>
        <v>February</v>
      </c>
      <c r="AR355">
        <f t="shared" si="128"/>
        <v>2025</v>
      </c>
      <c r="AS355" t="str">
        <f t="shared" si="129"/>
        <v>Clean</v>
      </c>
      <c r="AT355" t="str">
        <f>IF(OR(AC355&lt;0,AC355&gt;0.5),"Invalid Discount","Valid")</f>
        <v>Valid</v>
      </c>
      <c r="AU355" t="str">
        <f>IF(G355&lt;E355,"Invalid Shipping Record","Valid")</f>
        <v>Valid</v>
      </c>
      <c r="AV355" t="str">
        <f>IF(OR(AL355="Cancelled",AH355="Failed"),"Exclude","Include")</f>
        <v>Include</v>
      </c>
      <c r="AW355" t="str">
        <f t="shared" si="130"/>
        <v>Match</v>
      </c>
      <c r="AX355" t="str">
        <f t="shared" si="131"/>
        <v>Match</v>
      </c>
    </row>
    <row r="356" spans="1:50">
      <c r="A356" t="s">
        <v>1777</v>
      </c>
      <c r="B356">
        <f t="shared" si="132"/>
        <v>1</v>
      </c>
      <c r="C356" t="str">
        <f t="shared" si="120"/>
        <v/>
      </c>
      <c r="D356" s="3" t="s">
        <v>144</v>
      </c>
      <c r="E356" s="7">
        <v>45653</v>
      </c>
      <c r="F356" s="3" t="s">
        <v>1778</v>
      </c>
      <c r="G356" s="7">
        <v>45657</v>
      </c>
      <c r="H356" s="7" t="str">
        <f t="shared" si="111"/>
        <v>Valid</v>
      </c>
      <c r="I356" s="9">
        <f t="shared" si="112"/>
        <v>4</v>
      </c>
      <c r="J356" s="9" t="str">
        <f t="shared" si="113"/>
        <v>Valid</v>
      </c>
      <c r="K356" t="s">
        <v>1779</v>
      </c>
      <c r="L356" t="s">
        <v>365</v>
      </c>
      <c r="M356" t="s">
        <v>365</v>
      </c>
      <c r="N356" t="s">
        <v>1780</v>
      </c>
      <c r="O356" s="3" t="str">
        <f t="shared" si="114"/>
        <v>Corporate</v>
      </c>
      <c r="P356" t="s">
        <v>26</v>
      </c>
      <c r="Q356" s="3" t="str">
        <f t="shared" si="115"/>
        <v>North</v>
      </c>
      <c r="R356" t="s">
        <v>153</v>
      </c>
      <c r="S356" t="s">
        <v>154</v>
      </c>
      <c r="T356" t="s">
        <v>44</v>
      </c>
      <c r="U356" s="3" t="str">
        <f t="shared" si="116"/>
        <v>Furniture</v>
      </c>
      <c r="V356" t="s">
        <v>64</v>
      </c>
      <c r="W356" t="s">
        <v>1781</v>
      </c>
      <c r="X356" t="s">
        <v>66</v>
      </c>
      <c r="Y356" s="3" t="str">
        <f t="shared" si="117"/>
        <v>Standard Class</v>
      </c>
      <c r="Z356">
        <v>6</v>
      </c>
      <c r="AA356">
        <v>3346.78</v>
      </c>
      <c r="AB356">
        <v>-0.06</v>
      </c>
      <c r="AC356">
        <f t="shared" si="118"/>
        <v>-0.06</v>
      </c>
      <c r="AD356" t="str">
        <f t="shared" si="121"/>
        <v>Invalid Discount</v>
      </c>
      <c r="AE356">
        <v>20080.68</v>
      </c>
      <c r="AF356">
        <v>12908.84</v>
      </c>
      <c r="AG356">
        <v>7171.84</v>
      </c>
      <c r="AH356" t="s">
        <v>136</v>
      </c>
      <c r="AI356" t="str">
        <f t="shared" si="122"/>
        <v>Exclude</v>
      </c>
      <c r="AJ356" t="str">
        <f t="shared" si="123"/>
        <v/>
      </c>
      <c r="AK356" t="s">
        <v>77</v>
      </c>
      <c r="AL356" t="str">
        <f t="shared" si="119"/>
        <v>Cancelled</v>
      </c>
      <c r="AM356" t="str">
        <f t="shared" si="124"/>
        <v>Exclude</v>
      </c>
      <c r="AN356">
        <f t="shared" si="125"/>
        <v>21285.520800000002</v>
      </c>
      <c r="AO356">
        <f t="shared" si="126"/>
        <v>8376.6808000000019</v>
      </c>
      <c r="AP356">
        <f>IF(AN356=0,0,AO356/AN356)</f>
        <v>0.39353891683965753</v>
      </c>
      <c r="AQ356" t="str">
        <f t="shared" si="127"/>
        <v>December</v>
      </c>
      <c r="AR356">
        <f t="shared" si="128"/>
        <v>2024</v>
      </c>
      <c r="AS356" t="str">
        <f t="shared" si="129"/>
        <v>Invalid</v>
      </c>
      <c r="AT356" t="str">
        <f>IF(OR(AC356&lt;0,AC356&gt;0.5),"Invalid Discount","Valid")</f>
        <v>Invalid Discount</v>
      </c>
      <c r="AU356" t="str">
        <f>IF(G356&lt;E356,"Invalid Shipping Record","Valid")</f>
        <v>Valid</v>
      </c>
      <c r="AV356" t="str">
        <f>IF(OR(AL356="Cancelled",AH356="Failed"),"Exclude","Include")</f>
        <v>Exclude</v>
      </c>
      <c r="AW356" t="str">
        <f t="shared" si="130"/>
        <v>Mismatch</v>
      </c>
      <c r="AX356" t="str">
        <f t="shared" si="131"/>
        <v>Mismatch</v>
      </c>
    </row>
    <row r="357" spans="1:50">
      <c r="A357" t="s">
        <v>1782</v>
      </c>
      <c r="B357">
        <f t="shared" si="132"/>
        <v>1</v>
      </c>
      <c r="C357" t="str">
        <f t="shared" si="120"/>
        <v/>
      </c>
      <c r="D357" s="3" t="s">
        <v>1783</v>
      </c>
      <c r="E357" s="7">
        <v>45424</v>
      </c>
      <c r="F357" s="3" t="s">
        <v>1784</v>
      </c>
      <c r="G357" s="7">
        <v>45421</v>
      </c>
      <c r="H357" s="7" t="str">
        <f t="shared" si="111"/>
        <v>Invalid Shipping Record</v>
      </c>
      <c r="I357" s="9">
        <f t="shared" si="112"/>
        <v>-3</v>
      </c>
      <c r="J357" s="9" t="str">
        <f t="shared" si="113"/>
        <v>Invalid Shipping Record</v>
      </c>
      <c r="K357" t="s">
        <v>1785</v>
      </c>
      <c r="L357" t="s">
        <v>141</v>
      </c>
      <c r="M357" t="s">
        <v>141</v>
      </c>
      <c r="N357" t="s">
        <v>107</v>
      </c>
      <c r="O357" s="3" t="str">
        <f t="shared" si="114"/>
        <v>Corporate</v>
      </c>
      <c r="P357" t="s">
        <v>72</v>
      </c>
      <c r="Q357" s="3" t="str">
        <f t="shared" si="115"/>
        <v>West</v>
      </c>
      <c r="R357" t="s">
        <v>27</v>
      </c>
      <c r="S357" t="s">
        <v>134</v>
      </c>
      <c r="T357" t="s">
        <v>44</v>
      </c>
      <c r="U357" s="3" t="str">
        <f t="shared" si="116"/>
        <v>Furniture</v>
      </c>
      <c r="V357" t="s">
        <v>45</v>
      </c>
      <c r="W357" t="s">
        <v>1786</v>
      </c>
      <c r="X357" t="s">
        <v>66</v>
      </c>
      <c r="Y357" s="3" t="str">
        <f t="shared" si="117"/>
        <v>Standard Class</v>
      </c>
      <c r="Z357">
        <v>5</v>
      </c>
      <c r="AA357">
        <v>3203.48</v>
      </c>
      <c r="AB357">
        <v>0</v>
      </c>
      <c r="AC357">
        <f t="shared" si="118"/>
        <v>0</v>
      </c>
      <c r="AD357" t="str">
        <f t="shared" si="121"/>
        <v>Valid</v>
      </c>
      <c r="AE357">
        <v>16017.4</v>
      </c>
      <c r="AF357">
        <v>9557.7999999999993</v>
      </c>
      <c r="AG357">
        <v>6459.6</v>
      </c>
      <c r="AH357" t="s">
        <v>136</v>
      </c>
      <c r="AI357" t="str">
        <f t="shared" si="122"/>
        <v>Exclude</v>
      </c>
      <c r="AJ357" t="str">
        <f t="shared" si="123"/>
        <v/>
      </c>
      <c r="AK357" t="s">
        <v>77</v>
      </c>
      <c r="AL357" t="str">
        <f t="shared" si="119"/>
        <v>Cancelled</v>
      </c>
      <c r="AM357" t="str">
        <f t="shared" si="124"/>
        <v>Exclude</v>
      </c>
      <c r="AN357">
        <f t="shared" si="125"/>
        <v>16017.4</v>
      </c>
      <c r="AO357">
        <f t="shared" si="126"/>
        <v>6459.6</v>
      </c>
      <c r="AP357">
        <f>IF(AN357=0,0,AO357/AN357)</f>
        <v>0.40328642601171227</v>
      </c>
      <c r="AQ357" t="str">
        <f t="shared" si="127"/>
        <v>May</v>
      </c>
      <c r="AR357">
        <f t="shared" si="128"/>
        <v>2024</v>
      </c>
      <c r="AS357" t="str">
        <f t="shared" si="129"/>
        <v>Invalid</v>
      </c>
      <c r="AT357" t="str">
        <f>IF(OR(AC357&lt;0,AC357&gt;0.5),"Invalid Discount","Valid")</f>
        <v>Valid</v>
      </c>
      <c r="AU357" t="str">
        <f>IF(G357&lt;E357,"Invalid Shipping Record","Valid")</f>
        <v>Invalid Shipping Record</v>
      </c>
      <c r="AV357" t="str">
        <f>IF(OR(AL357="Cancelled",AH357="Failed"),"Exclude","Include")</f>
        <v>Exclude</v>
      </c>
      <c r="AW357" t="str">
        <f t="shared" si="130"/>
        <v>Match</v>
      </c>
      <c r="AX357" t="str">
        <f t="shared" si="131"/>
        <v>Match</v>
      </c>
    </row>
    <row r="358" spans="1:50">
      <c r="A358" t="s">
        <v>1787</v>
      </c>
      <c r="B358">
        <f t="shared" si="132"/>
        <v>1</v>
      </c>
      <c r="C358" t="str">
        <f t="shared" si="120"/>
        <v/>
      </c>
      <c r="D358" s="3" t="s">
        <v>1788</v>
      </c>
      <c r="E358" s="7">
        <v>45835</v>
      </c>
      <c r="F358" s="3" t="s">
        <v>1789</v>
      </c>
      <c r="G358" s="7">
        <v>45837</v>
      </c>
      <c r="H358" s="7" t="str">
        <f t="shared" si="111"/>
        <v>Valid</v>
      </c>
      <c r="I358" s="9">
        <f t="shared" si="112"/>
        <v>2</v>
      </c>
      <c r="J358" s="9" t="str">
        <f t="shared" si="113"/>
        <v>Valid</v>
      </c>
      <c r="K358" t="s">
        <v>1790</v>
      </c>
      <c r="L358" t="s">
        <v>179</v>
      </c>
      <c r="M358" t="s">
        <v>179</v>
      </c>
      <c r="N358" t="s">
        <v>114</v>
      </c>
      <c r="O358" s="3" t="str">
        <f t="shared" si="114"/>
        <v>Home Office</v>
      </c>
      <c r="P358" t="s">
        <v>61</v>
      </c>
      <c r="Q358" s="3" t="str">
        <f t="shared" si="115"/>
        <v>South</v>
      </c>
      <c r="R358" t="s">
        <v>62</v>
      </c>
      <c r="S358" t="s">
        <v>63</v>
      </c>
      <c r="T358" t="s">
        <v>44</v>
      </c>
      <c r="U358" s="3" t="str">
        <f t="shared" si="116"/>
        <v>Furniture</v>
      </c>
      <c r="V358" t="s">
        <v>75</v>
      </c>
      <c r="W358" t="s">
        <v>1791</v>
      </c>
      <c r="X358" t="s">
        <v>55</v>
      </c>
      <c r="Y358" s="3" t="str">
        <f t="shared" si="117"/>
        <v>First Class</v>
      </c>
      <c r="Z358">
        <v>5</v>
      </c>
      <c r="AA358">
        <v>621.70000000000005</v>
      </c>
      <c r="AB358">
        <v>0.2</v>
      </c>
      <c r="AC358">
        <f t="shared" si="118"/>
        <v>0.2</v>
      </c>
      <c r="AD358" t="str">
        <f t="shared" si="121"/>
        <v>Valid</v>
      </c>
      <c r="AE358">
        <v>2486.8000000000002</v>
      </c>
      <c r="AF358">
        <v>2131.73</v>
      </c>
      <c r="AG358">
        <v>355.07</v>
      </c>
      <c r="AH358" t="s">
        <v>136</v>
      </c>
      <c r="AI358" t="str">
        <f t="shared" si="122"/>
        <v>Include</v>
      </c>
      <c r="AJ358" t="str">
        <f t="shared" si="123"/>
        <v/>
      </c>
      <c r="AK358" t="s">
        <v>124</v>
      </c>
      <c r="AL358" t="str">
        <f t="shared" si="119"/>
        <v>Returned</v>
      </c>
      <c r="AM358" t="str">
        <f t="shared" si="124"/>
        <v>Include</v>
      </c>
      <c r="AN358">
        <f t="shared" si="125"/>
        <v>2486.8000000000002</v>
      </c>
      <c r="AO358">
        <f t="shared" si="126"/>
        <v>355.07000000000016</v>
      </c>
      <c r="AP358">
        <f>IF(AN358=0,0,AO358/AN358)</f>
        <v>0.1427818883705968</v>
      </c>
      <c r="AQ358" t="str">
        <f t="shared" si="127"/>
        <v>June</v>
      </c>
      <c r="AR358">
        <f t="shared" si="128"/>
        <v>2025</v>
      </c>
      <c r="AS358" t="str">
        <f t="shared" si="129"/>
        <v>Clean</v>
      </c>
      <c r="AT358" t="str">
        <f>IF(OR(AC358&lt;0,AC358&gt;0.5),"Invalid Discount","Valid")</f>
        <v>Valid</v>
      </c>
      <c r="AU358" t="str">
        <f>IF(G358&lt;E358,"Invalid Shipping Record","Valid")</f>
        <v>Valid</v>
      </c>
      <c r="AV358" t="str">
        <f>IF(OR(AL358="Cancelled",AH358="Failed"),"Exclude","Include")</f>
        <v>Include</v>
      </c>
      <c r="AW358" t="str">
        <f t="shared" si="130"/>
        <v>Match</v>
      </c>
      <c r="AX358" t="str">
        <f t="shared" si="131"/>
        <v>Match</v>
      </c>
    </row>
    <row r="359" spans="1:50">
      <c r="A359" t="s">
        <v>1792</v>
      </c>
      <c r="B359">
        <f t="shared" si="132"/>
        <v>1</v>
      </c>
      <c r="C359" t="str">
        <f t="shared" si="120"/>
        <v/>
      </c>
      <c r="D359" s="3" t="s">
        <v>195</v>
      </c>
      <c r="E359" s="7">
        <v>45678</v>
      </c>
      <c r="F359" s="3" t="s">
        <v>1793</v>
      </c>
      <c r="G359" s="7">
        <v>45686</v>
      </c>
      <c r="H359" s="7" t="str">
        <f t="shared" si="111"/>
        <v>Valid</v>
      </c>
      <c r="I359" s="9">
        <f t="shared" si="112"/>
        <v>8</v>
      </c>
      <c r="J359" s="9" t="str">
        <f t="shared" si="113"/>
        <v>Valid</v>
      </c>
      <c r="K359" t="s">
        <v>1794</v>
      </c>
      <c r="L359" t="s">
        <v>39</v>
      </c>
      <c r="M359" t="s">
        <v>39</v>
      </c>
      <c r="N359" t="s">
        <v>114</v>
      </c>
      <c r="O359" s="3" t="str">
        <f t="shared" si="114"/>
        <v>Home Office</v>
      </c>
      <c r="P359" t="s">
        <v>61</v>
      </c>
      <c r="Q359" s="3" t="str">
        <f t="shared" si="115"/>
        <v>South</v>
      </c>
      <c r="R359" t="s">
        <v>99</v>
      </c>
      <c r="S359" t="s">
        <v>100</v>
      </c>
      <c r="T359" t="s">
        <v>85</v>
      </c>
      <c r="U359" s="3" t="str">
        <f t="shared" si="116"/>
        <v>Technology</v>
      </c>
      <c r="V359" t="s">
        <v>381</v>
      </c>
      <c r="W359" t="s">
        <v>1795</v>
      </c>
      <c r="X359" t="s">
        <v>32</v>
      </c>
      <c r="Y359" s="3" t="str">
        <f t="shared" si="117"/>
        <v>Second Class</v>
      </c>
      <c r="Z359">
        <v>8</v>
      </c>
      <c r="AA359">
        <v>546.13</v>
      </c>
      <c r="AB359">
        <v>0</v>
      </c>
      <c r="AC359">
        <f t="shared" si="118"/>
        <v>0</v>
      </c>
      <c r="AD359" t="str">
        <f t="shared" si="121"/>
        <v>Valid</v>
      </c>
      <c r="AE359">
        <v>4369.04</v>
      </c>
      <c r="AF359">
        <v>3716.88</v>
      </c>
      <c r="AG359">
        <v>652.16</v>
      </c>
      <c r="AH359" t="s">
        <v>33</v>
      </c>
      <c r="AI359" t="str">
        <f t="shared" si="122"/>
        <v>Exclude</v>
      </c>
      <c r="AJ359" t="str">
        <f t="shared" si="123"/>
        <v/>
      </c>
      <c r="AK359" t="s">
        <v>77</v>
      </c>
      <c r="AL359" t="str">
        <f t="shared" si="119"/>
        <v>Cancelled</v>
      </c>
      <c r="AM359" t="str">
        <f t="shared" si="124"/>
        <v>Exclude</v>
      </c>
      <c r="AN359">
        <f t="shared" si="125"/>
        <v>4369.04</v>
      </c>
      <c r="AO359">
        <f t="shared" si="126"/>
        <v>652.15999999999985</v>
      </c>
      <c r="AP359">
        <f>IF(AN359=0,0,AO359/AN359)</f>
        <v>0.14926848918755603</v>
      </c>
      <c r="AQ359" t="str">
        <f t="shared" si="127"/>
        <v>January</v>
      </c>
      <c r="AR359">
        <f t="shared" si="128"/>
        <v>2025</v>
      </c>
      <c r="AS359" t="str">
        <f t="shared" si="129"/>
        <v>Clean</v>
      </c>
      <c r="AT359" t="str">
        <f>IF(OR(AC359&lt;0,AC359&gt;0.5),"Invalid Discount","Valid")</f>
        <v>Valid</v>
      </c>
      <c r="AU359" t="str">
        <f>IF(G359&lt;E359,"Invalid Shipping Record","Valid")</f>
        <v>Valid</v>
      </c>
      <c r="AV359" t="str">
        <f>IF(OR(AL359="Cancelled",AH359="Failed"),"Exclude","Include")</f>
        <v>Exclude</v>
      </c>
      <c r="AW359" t="str">
        <f t="shared" si="130"/>
        <v>Match</v>
      </c>
      <c r="AX359" t="str">
        <f t="shared" si="131"/>
        <v>Match</v>
      </c>
    </row>
    <row r="360" spans="1:50">
      <c r="A360" t="s">
        <v>1796</v>
      </c>
      <c r="B360">
        <f t="shared" si="132"/>
        <v>1</v>
      </c>
      <c r="C360" t="str">
        <f t="shared" si="120"/>
        <v/>
      </c>
      <c r="D360" s="3" t="s">
        <v>1797</v>
      </c>
      <c r="E360" s="7">
        <v>45878</v>
      </c>
      <c r="F360" s="3" t="s">
        <v>1798</v>
      </c>
      <c r="G360" s="7">
        <v>45876</v>
      </c>
      <c r="H360" s="7" t="str">
        <f t="shared" si="111"/>
        <v>Invalid Shipping Record</v>
      </c>
      <c r="I360" s="9">
        <f t="shared" si="112"/>
        <v>-2</v>
      </c>
      <c r="J360" s="9" t="str">
        <f t="shared" si="113"/>
        <v>Invalid Shipping Record</v>
      </c>
      <c r="K360" t="s">
        <v>1799</v>
      </c>
      <c r="L360" t="s">
        <v>82</v>
      </c>
      <c r="M360" t="s">
        <v>82</v>
      </c>
      <c r="N360" t="s">
        <v>114</v>
      </c>
      <c r="O360" s="3" t="str">
        <f t="shared" si="114"/>
        <v>Home Office</v>
      </c>
      <c r="P360" t="s">
        <v>72</v>
      </c>
      <c r="Q360" s="3" t="str">
        <f t="shared" si="115"/>
        <v>West</v>
      </c>
      <c r="R360" t="s">
        <v>234</v>
      </c>
      <c r="S360" t="s">
        <v>235</v>
      </c>
      <c r="T360" t="s">
        <v>44</v>
      </c>
      <c r="U360" s="3" t="str">
        <f t="shared" si="116"/>
        <v>Furniture</v>
      </c>
      <c r="V360" t="s">
        <v>203</v>
      </c>
      <c r="W360" t="s">
        <v>1800</v>
      </c>
      <c r="X360" t="s">
        <v>32</v>
      </c>
      <c r="Y360" s="3" t="str">
        <f t="shared" si="117"/>
        <v>Second Class</v>
      </c>
      <c r="Z360">
        <v>5</v>
      </c>
      <c r="AA360">
        <v>1253.92</v>
      </c>
      <c r="AB360">
        <v>0.05</v>
      </c>
      <c r="AC360">
        <f t="shared" si="118"/>
        <v>0.05</v>
      </c>
      <c r="AD360" t="str">
        <f t="shared" si="121"/>
        <v>Valid</v>
      </c>
      <c r="AE360">
        <v>5956.12</v>
      </c>
      <c r="AF360">
        <v>4379.18</v>
      </c>
      <c r="AG360">
        <v>1576.94</v>
      </c>
      <c r="AH360" t="s">
        <v>136</v>
      </c>
      <c r="AI360" t="str">
        <f t="shared" si="122"/>
        <v>Include</v>
      </c>
      <c r="AJ360" t="str">
        <f t="shared" si="123"/>
        <v/>
      </c>
      <c r="AK360" t="s">
        <v>124</v>
      </c>
      <c r="AL360" t="str">
        <f t="shared" si="119"/>
        <v>Returned</v>
      </c>
      <c r="AM360" t="str">
        <f t="shared" si="124"/>
        <v>Include</v>
      </c>
      <c r="AN360">
        <f t="shared" si="125"/>
        <v>5956.12</v>
      </c>
      <c r="AO360">
        <f t="shared" si="126"/>
        <v>1576.9399999999996</v>
      </c>
      <c r="AP360">
        <f>IF(AN360=0,0,AO360/AN360)</f>
        <v>0.26475960860425907</v>
      </c>
      <c r="AQ360" t="str">
        <f t="shared" si="127"/>
        <v>August</v>
      </c>
      <c r="AR360">
        <f t="shared" si="128"/>
        <v>2025</v>
      </c>
      <c r="AS360" t="str">
        <f t="shared" si="129"/>
        <v>Invalid</v>
      </c>
      <c r="AT360" t="str">
        <f>IF(OR(AC360&lt;0,AC360&gt;0.5),"Invalid Discount","Valid")</f>
        <v>Valid</v>
      </c>
      <c r="AU360" t="str">
        <f>IF(G360&lt;E360,"Invalid Shipping Record","Valid")</f>
        <v>Invalid Shipping Record</v>
      </c>
      <c r="AV360" t="str">
        <f>IF(OR(AL360="Cancelled",AH360="Failed"),"Exclude","Include")</f>
        <v>Include</v>
      </c>
      <c r="AW360" t="str">
        <f t="shared" si="130"/>
        <v>Match</v>
      </c>
      <c r="AX360" t="str">
        <f t="shared" si="131"/>
        <v>Match</v>
      </c>
    </row>
    <row r="361" spans="1:50">
      <c r="A361" t="s">
        <v>1801</v>
      </c>
      <c r="B361">
        <f t="shared" si="132"/>
        <v>1</v>
      </c>
      <c r="C361" t="str">
        <f t="shared" si="120"/>
        <v/>
      </c>
      <c r="D361" s="3" t="s">
        <v>1625</v>
      </c>
      <c r="E361" s="7">
        <v>45525</v>
      </c>
      <c r="F361" s="3" t="s">
        <v>1802</v>
      </c>
      <c r="G361" s="7">
        <v>45526</v>
      </c>
      <c r="H361" s="7" t="str">
        <f t="shared" si="111"/>
        <v>Valid</v>
      </c>
      <c r="I361" s="9">
        <f t="shared" si="112"/>
        <v>1</v>
      </c>
      <c r="J361" s="9" t="str">
        <f t="shared" si="113"/>
        <v>Valid</v>
      </c>
      <c r="K361" t="s">
        <v>1803</v>
      </c>
      <c r="L361" t="s">
        <v>52</v>
      </c>
      <c r="M361" t="s">
        <v>52</v>
      </c>
      <c r="N361" t="s">
        <v>25</v>
      </c>
      <c r="O361" s="3" t="str">
        <f t="shared" si="114"/>
        <v>Consumer</v>
      </c>
      <c r="P361" t="s">
        <v>61</v>
      </c>
      <c r="Q361" s="3" t="str">
        <f t="shared" si="115"/>
        <v>South</v>
      </c>
      <c r="R361" t="s">
        <v>338</v>
      </c>
      <c r="S361" t="s">
        <v>339</v>
      </c>
      <c r="T361" t="s">
        <v>85</v>
      </c>
      <c r="U361" s="3" t="str">
        <f t="shared" si="116"/>
        <v>Technology</v>
      </c>
      <c r="V361" t="s">
        <v>222</v>
      </c>
      <c r="W361" t="s">
        <v>1804</v>
      </c>
      <c r="X361" t="s">
        <v>47</v>
      </c>
      <c r="Y361" s="3" t="str">
        <f t="shared" si="117"/>
        <v>Same Day</v>
      </c>
      <c r="Z361">
        <v>9</v>
      </c>
      <c r="AA361">
        <v>616.96</v>
      </c>
      <c r="AB361">
        <v>0.1</v>
      </c>
      <c r="AC361">
        <f t="shared" si="118"/>
        <v>0.1</v>
      </c>
      <c r="AD361" t="str">
        <f t="shared" si="121"/>
        <v>Valid</v>
      </c>
      <c r="AE361">
        <v>4997.38</v>
      </c>
      <c r="AF361">
        <v>2971.39</v>
      </c>
      <c r="AG361">
        <v>2025.99</v>
      </c>
      <c r="AH361" t="s">
        <v>33</v>
      </c>
      <c r="AI361" t="str">
        <f t="shared" si="122"/>
        <v>Include</v>
      </c>
      <c r="AJ361" t="str">
        <f t="shared" si="123"/>
        <v/>
      </c>
      <c r="AK361" t="s">
        <v>34</v>
      </c>
      <c r="AL361" t="str">
        <f t="shared" si="119"/>
        <v>Completed</v>
      </c>
      <c r="AM361" t="str">
        <f t="shared" si="124"/>
        <v>Include</v>
      </c>
      <c r="AN361">
        <f t="shared" si="125"/>
        <v>4997.3760000000002</v>
      </c>
      <c r="AO361">
        <f t="shared" si="126"/>
        <v>2025.9860000000003</v>
      </c>
      <c r="AP361">
        <f>IF(AN361=0,0,AO361/AN361)</f>
        <v>0.40540995914656014</v>
      </c>
      <c r="AQ361" t="str">
        <f t="shared" si="127"/>
        <v>August</v>
      </c>
      <c r="AR361">
        <f t="shared" si="128"/>
        <v>2024</v>
      </c>
      <c r="AS361" t="str">
        <f t="shared" si="129"/>
        <v>Clean</v>
      </c>
      <c r="AT361" t="str">
        <f>IF(OR(AC361&lt;0,AC361&gt;0.5),"Invalid Discount","Valid")</f>
        <v>Valid</v>
      </c>
      <c r="AU361" t="str">
        <f>IF(G361&lt;E361,"Invalid Shipping Record","Valid")</f>
        <v>Valid</v>
      </c>
      <c r="AV361" t="str">
        <f>IF(OR(AL361="Cancelled",AH361="Failed"),"Exclude","Include")</f>
        <v>Include</v>
      </c>
      <c r="AW361" t="str">
        <f t="shared" si="130"/>
        <v>Match</v>
      </c>
      <c r="AX361" t="str">
        <f t="shared" si="131"/>
        <v>Match</v>
      </c>
    </row>
    <row r="362" spans="1:50">
      <c r="A362" t="s">
        <v>1805</v>
      </c>
      <c r="B362">
        <f t="shared" si="132"/>
        <v>1</v>
      </c>
      <c r="C362" t="str">
        <f t="shared" si="120"/>
        <v/>
      </c>
      <c r="D362" s="3" t="s">
        <v>1806</v>
      </c>
      <c r="E362" s="7">
        <v>45460</v>
      </c>
      <c r="F362" s="3" t="s">
        <v>1807</v>
      </c>
      <c r="G362" s="7">
        <v>45463</v>
      </c>
      <c r="H362" s="7" t="str">
        <f t="shared" si="111"/>
        <v>Valid</v>
      </c>
      <c r="I362" s="9">
        <f t="shared" si="112"/>
        <v>3</v>
      </c>
      <c r="J362" s="9" t="str">
        <f t="shared" si="113"/>
        <v>Valid</v>
      </c>
      <c r="K362" t="s">
        <v>1808</v>
      </c>
      <c r="L362" t="s">
        <v>167</v>
      </c>
      <c r="M362" t="s">
        <v>167</v>
      </c>
      <c r="N362" t="s">
        <v>40</v>
      </c>
      <c r="O362" s="3" t="str">
        <f t="shared" si="114"/>
        <v>Small Business</v>
      </c>
      <c r="P362" t="s">
        <v>72</v>
      </c>
      <c r="Q362" s="3" t="str">
        <f t="shared" si="115"/>
        <v>West</v>
      </c>
      <c r="R362" t="s">
        <v>234</v>
      </c>
      <c r="S362" t="s">
        <v>235</v>
      </c>
      <c r="T362" t="s">
        <v>44</v>
      </c>
      <c r="U362" s="3" t="str">
        <f t="shared" si="116"/>
        <v>Furniture</v>
      </c>
      <c r="V362" t="s">
        <v>64</v>
      </c>
      <c r="W362" t="s">
        <v>1809</v>
      </c>
      <c r="X362" t="s">
        <v>66</v>
      </c>
      <c r="Y362" s="3" t="str">
        <f t="shared" si="117"/>
        <v>Standard Class</v>
      </c>
      <c r="Z362">
        <v>7</v>
      </c>
      <c r="AA362">
        <v>3155.25</v>
      </c>
      <c r="AB362">
        <v>0.2</v>
      </c>
      <c r="AC362">
        <f t="shared" si="118"/>
        <v>0.2</v>
      </c>
      <c r="AD362" t="str">
        <f t="shared" si="121"/>
        <v>Valid</v>
      </c>
      <c r="AE362">
        <v>17669.400000000001</v>
      </c>
      <c r="AF362">
        <v>13718.77</v>
      </c>
      <c r="AG362">
        <v>3950.63</v>
      </c>
      <c r="AH362" t="s">
        <v>123</v>
      </c>
      <c r="AI362" t="str">
        <f t="shared" si="122"/>
        <v>Exclude</v>
      </c>
      <c r="AJ362" t="str">
        <f t="shared" si="123"/>
        <v>Refunded Order</v>
      </c>
      <c r="AK362" t="s">
        <v>77</v>
      </c>
      <c r="AL362" t="str">
        <f t="shared" si="119"/>
        <v>Cancelled</v>
      </c>
      <c r="AM362" t="str">
        <f t="shared" si="124"/>
        <v>Exclude</v>
      </c>
      <c r="AN362">
        <f t="shared" si="125"/>
        <v>17669.400000000001</v>
      </c>
      <c r="AO362">
        <f t="shared" si="126"/>
        <v>3950.630000000001</v>
      </c>
      <c r="AP362">
        <f>IF(AN362=0,0,AO362/AN362)</f>
        <v>0.2235859734908939</v>
      </c>
      <c r="AQ362" t="str">
        <f t="shared" si="127"/>
        <v>June</v>
      </c>
      <c r="AR362">
        <f t="shared" si="128"/>
        <v>2024</v>
      </c>
      <c r="AS362" t="str">
        <f t="shared" si="129"/>
        <v>Clean</v>
      </c>
      <c r="AT362" t="str">
        <f>IF(OR(AC362&lt;0,AC362&gt;0.5),"Invalid Discount","Valid")</f>
        <v>Valid</v>
      </c>
      <c r="AU362" t="str">
        <f>IF(G362&lt;E362,"Invalid Shipping Record","Valid")</f>
        <v>Valid</v>
      </c>
      <c r="AV362" t="str">
        <f>IF(OR(AL362="Cancelled",AH362="Failed"),"Exclude","Include")</f>
        <v>Exclude</v>
      </c>
      <c r="AW362" t="str">
        <f t="shared" si="130"/>
        <v>Match</v>
      </c>
      <c r="AX362" t="str">
        <f t="shared" si="131"/>
        <v>Match</v>
      </c>
    </row>
    <row r="363" spans="1:50">
      <c r="A363" t="s">
        <v>1810</v>
      </c>
      <c r="B363">
        <f t="shared" si="132"/>
        <v>1</v>
      </c>
      <c r="C363" t="str">
        <f t="shared" si="120"/>
        <v/>
      </c>
      <c r="D363" s="3" t="s">
        <v>1156</v>
      </c>
      <c r="E363" s="7">
        <v>45748</v>
      </c>
      <c r="F363" s="3" t="s">
        <v>1811</v>
      </c>
      <c r="G363" s="7">
        <v>45749</v>
      </c>
      <c r="H363" s="7" t="str">
        <f t="shared" si="111"/>
        <v>Valid</v>
      </c>
      <c r="I363" s="9">
        <f t="shared" si="112"/>
        <v>1</v>
      </c>
      <c r="J363" s="9" t="str">
        <f t="shared" si="113"/>
        <v>Valid</v>
      </c>
      <c r="K363" t="s">
        <v>1812</v>
      </c>
      <c r="L363" t="s">
        <v>179</v>
      </c>
      <c r="M363" t="s">
        <v>179</v>
      </c>
      <c r="N363" t="s">
        <v>107</v>
      </c>
      <c r="O363" s="3" t="str">
        <f t="shared" si="114"/>
        <v>Corporate</v>
      </c>
      <c r="P363" t="s">
        <v>41</v>
      </c>
      <c r="Q363" s="3" t="str">
        <f t="shared" si="115"/>
        <v>East</v>
      </c>
      <c r="R363" t="s">
        <v>42</v>
      </c>
      <c r="S363" t="s">
        <v>43</v>
      </c>
      <c r="T363" t="s">
        <v>44</v>
      </c>
      <c r="U363" s="3" t="str">
        <f t="shared" si="116"/>
        <v>Furniture</v>
      </c>
      <c r="V363" t="s">
        <v>75</v>
      </c>
      <c r="W363" t="s">
        <v>1813</v>
      </c>
      <c r="X363" t="s">
        <v>32</v>
      </c>
      <c r="Y363" s="3" t="str">
        <f t="shared" si="117"/>
        <v>Second Class</v>
      </c>
      <c r="Z363">
        <v>9</v>
      </c>
      <c r="AA363">
        <v>4165.58</v>
      </c>
      <c r="AB363">
        <v>0.05</v>
      </c>
      <c r="AC363">
        <f t="shared" si="118"/>
        <v>0.05</v>
      </c>
      <c r="AD363" t="str">
        <f t="shared" si="121"/>
        <v>Valid</v>
      </c>
      <c r="AE363">
        <v>35615.71</v>
      </c>
      <c r="AF363">
        <v>20389.71</v>
      </c>
      <c r="AG363">
        <v>15226</v>
      </c>
      <c r="AH363" t="s">
        <v>136</v>
      </c>
      <c r="AI363" t="str">
        <f t="shared" si="122"/>
        <v>Include</v>
      </c>
      <c r="AJ363" t="str">
        <f t="shared" si="123"/>
        <v/>
      </c>
      <c r="AK363" t="s">
        <v>124</v>
      </c>
      <c r="AL363" t="str">
        <f t="shared" si="119"/>
        <v>Returned</v>
      </c>
      <c r="AM363" t="str">
        <f t="shared" si="124"/>
        <v>Include</v>
      </c>
      <c r="AN363">
        <f t="shared" si="125"/>
        <v>35615.709000000003</v>
      </c>
      <c r="AO363">
        <f t="shared" si="126"/>
        <v>15225.999000000003</v>
      </c>
      <c r="AP363">
        <f>IF(AN363=0,0,AO363/AN363)</f>
        <v>0.42750795723314122</v>
      </c>
      <c r="AQ363" t="str">
        <f t="shared" si="127"/>
        <v>April</v>
      </c>
      <c r="AR363">
        <f t="shared" si="128"/>
        <v>2025</v>
      </c>
      <c r="AS363" t="str">
        <f t="shared" si="129"/>
        <v>Clean</v>
      </c>
      <c r="AT363" t="str">
        <f>IF(OR(AC363&lt;0,AC363&gt;0.5),"Invalid Discount","Valid")</f>
        <v>Valid</v>
      </c>
      <c r="AU363" t="str">
        <f>IF(G363&lt;E363,"Invalid Shipping Record","Valid")</f>
        <v>Valid</v>
      </c>
      <c r="AV363" t="str">
        <f>IF(OR(AL363="Cancelled",AH363="Failed"),"Exclude","Include")</f>
        <v>Include</v>
      </c>
      <c r="AW363" t="str">
        <f t="shared" si="130"/>
        <v>Match</v>
      </c>
      <c r="AX363" t="str">
        <f t="shared" si="131"/>
        <v>Match</v>
      </c>
    </row>
    <row r="364" spans="1:50">
      <c r="A364" t="s">
        <v>1814</v>
      </c>
      <c r="B364">
        <f t="shared" si="132"/>
        <v>1</v>
      </c>
      <c r="C364" t="str">
        <f t="shared" si="120"/>
        <v/>
      </c>
      <c r="D364" s="3" t="s">
        <v>1815</v>
      </c>
      <c r="E364" s="7">
        <v>45527</v>
      </c>
      <c r="F364" s="3" t="s">
        <v>1816</v>
      </c>
      <c r="G364" s="7">
        <v>45529</v>
      </c>
      <c r="H364" s="7" t="str">
        <f t="shared" si="111"/>
        <v>Valid</v>
      </c>
      <c r="I364" s="9">
        <f t="shared" si="112"/>
        <v>2</v>
      </c>
      <c r="J364" s="9" t="str">
        <f t="shared" si="113"/>
        <v>Valid</v>
      </c>
      <c r="K364" t="s">
        <v>1817</v>
      </c>
      <c r="L364" t="s">
        <v>82</v>
      </c>
      <c r="M364" t="s">
        <v>82</v>
      </c>
      <c r="N364" t="s">
        <v>25</v>
      </c>
      <c r="O364" s="3" t="str">
        <f t="shared" si="114"/>
        <v>Consumer</v>
      </c>
      <c r="P364" t="s">
        <v>72</v>
      </c>
      <c r="Q364" s="3" t="str">
        <f t="shared" si="115"/>
        <v>West</v>
      </c>
      <c r="R364" t="s">
        <v>248</v>
      </c>
      <c r="S364" t="s">
        <v>249</v>
      </c>
      <c r="T364" t="s">
        <v>85</v>
      </c>
      <c r="U364" s="3" t="str">
        <f t="shared" si="116"/>
        <v>Technology</v>
      </c>
      <c r="V364" t="s">
        <v>381</v>
      </c>
      <c r="W364" t="s">
        <v>1818</v>
      </c>
      <c r="X364" t="s">
        <v>47</v>
      </c>
      <c r="Y364" s="3" t="str">
        <f t="shared" si="117"/>
        <v>Same Day</v>
      </c>
      <c r="Z364">
        <v>4</v>
      </c>
      <c r="AA364">
        <v>491.16</v>
      </c>
      <c r="AB364">
        <v>0.05</v>
      </c>
      <c r="AC364">
        <f t="shared" si="118"/>
        <v>0.05</v>
      </c>
      <c r="AD364" t="str">
        <f t="shared" si="121"/>
        <v>Valid</v>
      </c>
      <c r="AE364">
        <v>1866.41</v>
      </c>
      <c r="AF364">
        <v>1576.49</v>
      </c>
      <c r="AG364">
        <v>289.92</v>
      </c>
      <c r="AH364" t="s">
        <v>33</v>
      </c>
      <c r="AI364" t="str">
        <f t="shared" si="122"/>
        <v>Include</v>
      </c>
      <c r="AJ364" t="str">
        <f t="shared" si="123"/>
        <v/>
      </c>
      <c r="AK364" t="s">
        <v>34</v>
      </c>
      <c r="AL364" t="str">
        <f t="shared" si="119"/>
        <v>Completed</v>
      </c>
      <c r="AM364" t="str">
        <f t="shared" si="124"/>
        <v>Include</v>
      </c>
      <c r="AN364">
        <f t="shared" si="125"/>
        <v>1866.4079999999999</v>
      </c>
      <c r="AO364">
        <f t="shared" si="126"/>
        <v>289.91799999999989</v>
      </c>
      <c r="AP364">
        <f>IF(AN364=0,0,AO364/AN364)</f>
        <v>0.15533473924243782</v>
      </c>
      <c r="AQ364" t="str">
        <f t="shared" si="127"/>
        <v>August</v>
      </c>
      <c r="AR364">
        <f t="shared" si="128"/>
        <v>2024</v>
      </c>
      <c r="AS364" t="str">
        <f t="shared" si="129"/>
        <v>Clean</v>
      </c>
      <c r="AT364" t="str">
        <f>IF(OR(AC364&lt;0,AC364&gt;0.5),"Invalid Discount","Valid")</f>
        <v>Valid</v>
      </c>
      <c r="AU364" t="str">
        <f>IF(G364&lt;E364,"Invalid Shipping Record","Valid")</f>
        <v>Valid</v>
      </c>
      <c r="AV364" t="str">
        <f>IF(OR(AL364="Cancelled",AH364="Failed"),"Exclude","Include")</f>
        <v>Include</v>
      </c>
      <c r="AW364" t="str">
        <f t="shared" si="130"/>
        <v>Match</v>
      </c>
      <c r="AX364" t="str">
        <f t="shared" si="131"/>
        <v>Match</v>
      </c>
    </row>
    <row r="365" spans="1:50">
      <c r="A365" t="s">
        <v>1819</v>
      </c>
      <c r="B365">
        <f t="shared" si="132"/>
        <v>1</v>
      </c>
      <c r="C365" t="str">
        <f t="shared" si="120"/>
        <v/>
      </c>
      <c r="D365" s="3" t="s">
        <v>1820</v>
      </c>
      <c r="E365" s="7">
        <v>45845</v>
      </c>
      <c r="F365" s="3" t="s">
        <v>1821</v>
      </c>
      <c r="G365" s="7">
        <v>45850</v>
      </c>
      <c r="H365" s="7" t="str">
        <f t="shared" si="111"/>
        <v>Valid</v>
      </c>
      <c r="I365" s="9">
        <f t="shared" si="112"/>
        <v>5</v>
      </c>
      <c r="J365" s="9" t="str">
        <f t="shared" si="113"/>
        <v>Valid</v>
      </c>
      <c r="K365" t="s">
        <v>1822</v>
      </c>
      <c r="L365" t="s">
        <v>209</v>
      </c>
      <c r="M365" t="s">
        <v>209</v>
      </c>
      <c r="N365" t="s">
        <v>107</v>
      </c>
      <c r="O365" s="3" t="str">
        <f t="shared" si="114"/>
        <v>Corporate</v>
      </c>
      <c r="P365" t="s">
        <v>41</v>
      </c>
      <c r="Q365" s="3" t="str">
        <f t="shared" si="115"/>
        <v>East</v>
      </c>
      <c r="R365" t="s">
        <v>120</v>
      </c>
      <c r="S365" t="s">
        <v>121</v>
      </c>
      <c r="T365" t="s">
        <v>44</v>
      </c>
      <c r="U365" s="3" t="str">
        <f t="shared" si="116"/>
        <v>Furniture</v>
      </c>
      <c r="V365" t="s">
        <v>45</v>
      </c>
      <c r="W365" t="s">
        <v>1823</v>
      </c>
      <c r="X365" t="s">
        <v>32</v>
      </c>
      <c r="Y365" s="3" t="str">
        <f t="shared" si="117"/>
        <v>Second Class</v>
      </c>
      <c r="Z365">
        <v>5</v>
      </c>
      <c r="AA365">
        <v>1831.37</v>
      </c>
      <c r="AB365">
        <v>0.25</v>
      </c>
      <c r="AC365">
        <f t="shared" si="118"/>
        <v>0.25</v>
      </c>
      <c r="AD365" t="str">
        <f t="shared" si="121"/>
        <v>Valid</v>
      </c>
      <c r="AE365">
        <v>6867.64</v>
      </c>
      <c r="AF365">
        <v>5205.3599999999997</v>
      </c>
      <c r="AG365">
        <v>1662.28</v>
      </c>
      <c r="AH365" t="s">
        <v>33</v>
      </c>
      <c r="AI365" t="str">
        <f t="shared" si="122"/>
        <v>Include</v>
      </c>
      <c r="AJ365" t="str">
        <f t="shared" si="123"/>
        <v/>
      </c>
      <c r="AK365" t="s">
        <v>34</v>
      </c>
      <c r="AL365" t="str">
        <f t="shared" si="119"/>
        <v>Completed</v>
      </c>
      <c r="AM365" t="str">
        <f t="shared" si="124"/>
        <v>Include</v>
      </c>
      <c r="AN365">
        <f t="shared" si="125"/>
        <v>6867.6374999999989</v>
      </c>
      <c r="AO365">
        <f t="shared" si="126"/>
        <v>1662.2774999999992</v>
      </c>
      <c r="AP365">
        <f>IF(AN365=0,0,AO365/AN365)</f>
        <v>0.24204502640100028</v>
      </c>
      <c r="AQ365" t="str">
        <f t="shared" si="127"/>
        <v>July</v>
      </c>
      <c r="AR365">
        <f t="shared" si="128"/>
        <v>2025</v>
      </c>
      <c r="AS365" t="str">
        <f t="shared" si="129"/>
        <v>Clean</v>
      </c>
      <c r="AT365" t="str">
        <f>IF(OR(AC365&lt;0,AC365&gt;0.5),"Invalid Discount","Valid")</f>
        <v>Valid</v>
      </c>
      <c r="AU365" t="str">
        <f>IF(G365&lt;E365,"Invalid Shipping Record","Valid")</f>
        <v>Valid</v>
      </c>
      <c r="AV365" t="str">
        <f>IF(OR(AL365="Cancelled",AH365="Failed"),"Exclude","Include")</f>
        <v>Include</v>
      </c>
      <c r="AW365" t="str">
        <f t="shared" si="130"/>
        <v>Match</v>
      </c>
      <c r="AX365" t="str">
        <f t="shared" si="131"/>
        <v>Match</v>
      </c>
    </row>
    <row r="366" spans="1:50">
      <c r="A366" t="s">
        <v>1824</v>
      </c>
      <c r="B366">
        <f t="shared" si="132"/>
        <v>1</v>
      </c>
      <c r="C366" t="str">
        <f t="shared" si="120"/>
        <v/>
      </c>
      <c r="D366" s="3" t="s">
        <v>1825</v>
      </c>
      <c r="E366" s="7">
        <v>45737</v>
      </c>
      <c r="F366" s="3" t="s">
        <v>1826</v>
      </c>
      <c r="G366" s="7">
        <v>45740</v>
      </c>
      <c r="H366" s="7" t="str">
        <f t="shared" si="111"/>
        <v>Valid</v>
      </c>
      <c r="I366" s="9">
        <f t="shared" si="112"/>
        <v>3</v>
      </c>
      <c r="J366" s="9" t="str">
        <f t="shared" si="113"/>
        <v>Valid</v>
      </c>
      <c r="K366" t="s">
        <v>1827</v>
      </c>
      <c r="L366" t="s">
        <v>161</v>
      </c>
      <c r="M366" t="s">
        <v>161</v>
      </c>
      <c r="N366" t="s">
        <v>40</v>
      </c>
      <c r="O366" s="3" t="str">
        <f t="shared" si="114"/>
        <v>Small Business</v>
      </c>
      <c r="P366" t="s">
        <v>61</v>
      </c>
      <c r="Q366" s="3" t="str">
        <f t="shared" si="115"/>
        <v>South</v>
      </c>
      <c r="R366" t="s">
        <v>99</v>
      </c>
      <c r="S366" t="s">
        <v>100</v>
      </c>
      <c r="T366" t="s">
        <v>44</v>
      </c>
      <c r="U366" s="3" t="str">
        <f t="shared" si="116"/>
        <v>Furniture</v>
      </c>
      <c r="V366" t="s">
        <v>75</v>
      </c>
      <c r="W366" t="s">
        <v>1828</v>
      </c>
      <c r="X366" t="s">
        <v>32</v>
      </c>
      <c r="Y366" s="3" t="str">
        <f t="shared" si="117"/>
        <v>Second Class</v>
      </c>
      <c r="Z366">
        <v>5</v>
      </c>
      <c r="AA366">
        <v>1239.1500000000001</v>
      </c>
      <c r="AB366">
        <v>0</v>
      </c>
      <c r="AC366">
        <f t="shared" si="118"/>
        <v>0</v>
      </c>
      <c r="AD366" t="str">
        <f t="shared" si="121"/>
        <v>Valid</v>
      </c>
      <c r="AE366">
        <v>6195.75</v>
      </c>
      <c r="AF366">
        <v>3967.02</v>
      </c>
      <c r="AG366">
        <v>2228.73</v>
      </c>
      <c r="AH366" t="s">
        <v>33</v>
      </c>
      <c r="AI366" t="str">
        <f t="shared" si="122"/>
        <v>Include</v>
      </c>
      <c r="AJ366" t="str">
        <f t="shared" si="123"/>
        <v/>
      </c>
      <c r="AK366" t="s">
        <v>34</v>
      </c>
      <c r="AL366" t="str">
        <f t="shared" si="119"/>
        <v>Completed</v>
      </c>
      <c r="AM366" t="str">
        <f t="shared" si="124"/>
        <v>Include</v>
      </c>
      <c r="AN366">
        <f t="shared" si="125"/>
        <v>6195.75</v>
      </c>
      <c r="AO366">
        <f t="shared" si="126"/>
        <v>2228.73</v>
      </c>
      <c r="AP366">
        <f>IF(AN366=0,0,AO366/AN366)</f>
        <v>0.35971916232901585</v>
      </c>
      <c r="AQ366" t="str">
        <f t="shared" si="127"/>
        <v>March</v>
      </c>
      <c r="AR366">
        <f t="shared" si="128"/>
        <v>2025</v>
      </c>
      <c r="AS366" t="str">
        <f t="shared" si="129"/>
        <v>Clean</v>
      </c>
      <c r="AT366" t="str">
        <f>IF(OR(AC366&lt;0,AC366&gt;0.5),"Invalid Discount","Valid")</f>
        <v>Valid</v>
      </c>
      <c r="AU366" t="str">
        <f>IF(G366&lt;E366,"Invalid Shipping Record","Valid")</f>
        <v>Valid</v>
      </c>
      <c r="AV366" t="str">
        <f>IF(OR(AL366="Cancelled",AH366="Failed"),"Exclude","Include")</f>
        <v>Include</v>
      </c>
      <c r="AW366" t="str">
        <f t="shared" si="130"/>
        <v>Match</v>
      </c>
      <c r="AX366" t="str">
        <f t="shared" si="131"/>
        <v>Match</v>
      </c>
    </row>
    <row r="367" spans="1:50">
      <c r="A367" t="s">
        <v>1829</v>
      </c>
      <c r="B367">
        <f t="shared" si="132"/>
        <v>1</v>
      </c>
      <c r="C367" t="str">
        <f t="shared" si="120"/>
        <v/>
      </c>
      <c r="D367" s="3" t="s">
        <v>1830</v>
      </c>
      <c r="E367" s="7">
        <v>45458</v>
      </c>
      <c r="F367" s="3" t="s">
        <v>1831</v>
      </c>
      <c r="G367" s="7">
        <v>45464</v>
      </c>
      <c r="H367" s="7" t="str">
        <f t="shared" si="111"/>
        <v>Valid</v>
      </c>
      <c r="I367" s="9">
        <f t="shared" si="112"/>
        <v>6</v>
      </c>
      <c r="J367" s="9" t="str">
        <f t="shared" si="113"/>
        <v>Valid</v>
      </c>
      <c r="K367" t="s">
        <v>1832</v>
      </c>
      <c r="L367" t="s">
        <v>106</v>
      </c>
      <c r="M367" t="s">
        <v>106</v>
      </c>
      <c r="N367" t="s">
        <v>107</v>
      </c>
      <c r="O367" s="3" t="str">
        <f t="shared" si="114"/>
        <v>Corporate</v>
      </c>
      <c r="P367" t="s">
        <v>72</v>
      </c>
      <c r="Q367" s="3" t="str">
        <f t="shared" si="115"/>
        <v>West</v>
      </c>
      <c r="R367" t="s">
        <v>248</v>
      </c>
      <c r="S367" t="s">
        <v>249</v>
      </c>
      <c r="T367" t="s">
        <v>85</v>
      </c>
      <c r="U367" s="3" t="str">
        <f t="shared" si="116"/>
        <v>Technology</v>
      </c>
      <c r="V367" t="s">
        <v>86</v>
      </c>
      <c r="W367" t="s">
        <v>1833</v>
      </c>
      <c r="X367" t="s">
        <v>55</v>
      </c>
      <c r="Y367" s="3" t="str">
        <f t="shared" si="117"/>
        <v>First Class</v>
      </c>
      <c r="Z367">
        <v>8</v>
      </c>
      <c r="AA367">
        <v>1706.4</v>
      </c>
      <c r="AC367">
        <f t="shared" si="118"/>
        <v>0</v>
      </c>
      <c r="AD367" t="str">
        <f t="shared" si="121"/>
        <v>Valid</v>
      </c>
      <c r="AE367">
        <v>12968.64</v>
      </c>
      <c r="AF367">
        <v>10119.61</v>
      </c>
      <c r="AG367">
        <v>2849.03</v>
      </c>
      <c r="AH367" t="s">
        <v>33</v>
      </c>
      <c r="AI367" t="str">
        <f t="shared" si="122"/>
        <v>Include</v>
      </c>
      <c r="AJ367" t="str">
        <f t="shared" si="123"/>
        <v/>
      </c>
      <c r="AK367" t="s">
        <v>34</v>
      </c>
      <c r="AL367" t="str">
        <f t="shared" si="119"/>
        <v>Completed</v>
      </c>
      <c r="AM367" t="str">
        <f t="shared" si="124"/>
        <v>Include</v>
      </c>
      <c r="AN367">
        <f t="shared" si="125"/>
        <v>13651.2</v>
      </c>
      <c r="AO367">
        <f t="shared" si="126"/>
        <v>3531.59</v>
      </c>
      <c r="AP367">
        <f>IF(AN367=0,0,AO367/AN367)</f>
        <v>0.2587017991092358</v>
      </c>
      <c r="AQ367" t="str">
        <f t="shared" si="127"/>
        <v>June</v>
      </c>
      <c r="AR367">
        <f t="shared" si="128"/>
        <v>2024</v>
      </c>
      <c r="AS367" t="str">
        <f t="shared" si="129"/>
        <v>Clean</v>
      </c>
      <c r="AT367" t="str">
        <f>IF(OR(AC367&lt;0,AC367&gt;0.5),"Invalid Discount","Valid")</f>
        <v>Valid</v>
      </c>
      <c r="AU367" t="str">
        <f>IF(G367&lt;E367,"Invalid Shipping Record","Valid")</f>
        <v>Valid</v>
      </c>
      <c r="AV367" t="str">
        <f>IF(OR(AL367="Cancelled",AH367="Failed"),"Exclude","Include")</f>
        <v>Include</v>
      </c>
      <c r="AW367" t="str">
        <f t="shared" si="130"/>
        <v>Mismatch</v>
      </c>
      <c r="AX367" t="str">
        <f t="shared" si="131"/>
        <v>Mismatch</v>
      </c>
    </row>
    <row r="368" spans="1:50">
      <c r="A368" t="s">
        <v>1834</v>
      </c>
      <c r="B368">
        <f t="shared" si="132"/>
        <v>1</v>
      </c>
      <c r="C368" t="str">
        <f t="shared" si="120"/>
        <v/>
      </c>
      <c r="D368" s="3" t="s">
        <v>1835</v>
      </c>
      <c r="E368" s="7">
        <v>45673</v>
      </c>
      <c r="F368" s="3" t="s">
        <v>1836</v>
      </c>
      <c r="G368" s="7">
        <v>45679</v>
      </c>
      <c r="H368" s="7" t="str">
        <f t="shared" si="111"/>
        <v>Valid</v>
      </c>
      <c r="I368" s="9">
        <f t="shared" si="112"/>
        <v>6</v>
      </c>
      <c r="J368" s="9" t="str">
        <f t="shared" si="113"/>
        <v>Valid</v>
      </c>
      <c r="K368" t="s">
        <v>1837</v>
      </c>
      <c r="L368" t="s">
        <v>167</v>
      </c>
      <c r="M368" t="s">
        <v>167</v>
      </c>
      <c r="N368" t="s">
        <v>107</v>
      </c>
      <c r="O368" s="3" t="str">
        <f t="shared" si="114"/>
        <v>Corporate</v>
      </c>
      <c r="P368" t="s">
        <v>26</v>
      </c>
      <c r="Q368" s="3" t="str">
        <f t="shared" si="115"/>
        <v>North</v>
      </c>
      <c r="R368" t="s">
        <v>27</v>
      </c>
      <c r="S368" t="s">
        <v>28</v>
      </c>
      <c r="T368" t="s">
        <v>44</v>
      </c>
      <c r="U368" s="3" t="str">
        <f t="shared" si="116"/>
        <v>Furniture</v>
      </c>
      <c r="V368" t="s">
        <v>45</v>
      </c>
      <c r="W368" t="s">
        <v>1838</v>
      </c>
      <c r="X368" t="s">
        <v>47</v>
      </c>
      <c r="Y368" s="3" t="str">
        <f t="shared" si="117"/>
        <v>Same Day</v>
      </c>
      <c r="Z368">
        <v>2</v>
      </c>
      <c r="AA368">
        <v>4418.28</v>
      </c>
      <c r="AB368">
        <v>0</v>
      </c>
      <c r="AC368">
        <f t="shared" si="118"/>
        <v>0</v>
      </c>
      <c r="AD368" t="str">
        <f t="shared" si="121"/>
        <v>Valid</v>
      </c>
      <c r="AE368">
        <v>8836.56</v>
      </c>
      <c r="AF368">
        <v>5867.75</v>
      </c>
      <c r="AG368">
        <v>2968.81</v>
      </c>
      <c r="AH368" t="s">
        <v>33</v>
      </c>
      <c r="AI368" t="str">
        <f t="shared" si="122"/>
        <v>Include</v>
      </c>
      <c r="AJ368" t="str">
        <f t="shared" si="123"/>
        <v/>
      </c>
      <c r="AK368" t="s">
        <v>34</v>
      </c>
      <c r="AL368" t="str">
        <f t="shared" si="119"/>
        <v>Completed</v>
      </c>
      <c r="AM368" t="str">
        <f t="shared" si="124"/>
        <v>Include</v>
      </c>
      <c r="AN368">
        <f t="shared" si="125"/>
        <v>8836.56</v>
      </c>
      <c r="AO368">
        <f t="shared" si="126"/>
        <v>2968.8099999999995</v>
      </c>
      <c r="AP368">
        <f>IF(AN368=0,0,AO368/AN368)</f>
        <v>0.33596897435201023</v>
      </c>
      <c r="AQ368" t="str">
        <f t="shared" si="127"/>
        <v>January</v>
      </c>
      <c r="AR368">
        <f t="shared" si="128"/>
        <v>2025</v>
      </c>
      <c r="AS368" t="str">
        <f t="shared" si="129"/>
        <v>Clean</v>
      </c>
      <c r="AT368" t="str">
        <f>IF(OR(AC368&lt;0,AC368&gt;0.5),"Invalid Discount","Valid")</f>
        <v>Valid</v>
      </c>
      <c r="AU368" t="str">
        <f>IF(G368&lt;E368,"Invalid Shipping Record","Valid")</f>
        <v>Valid</v>
      </c>
      <c r="AV368" t="str">
        <f>IF(OR(AL368="Cancelled",AH368="Failed"),"Exclude","Include")</f>
        <v>Include</v>
      </c>
      <c r="AW368" t="str">
        <f t="shared" si="130"/>
        <v>Match</v>
      </c>
      <c r="AX368" t="str">
        <f t="shared" si="131"/>
        <v>Match</v>
      </c>
    </row>
    <row r="369" spans="1:50">
      <c r="A369" t="s">
        <v>1839</v>
      </c>
      <c r="B369">
        <f t="shared" si="132"/>
        <v>1</v>
      </c>
      <c r="C369" t="str">
        <f t="shared" si="120"/>
        <v/>
      </c>
      <c r="D369" s="3" t="s">
        <v>977</v>
      </c>
      <c r="E369" s="7">
        <v>45366</v>
      </c>
      <c r="F369" s="3" t="s">
        <v>1840</v>
      </c>
      <c r="G369" s="7">
        <v>45367</v>
      </c>
      <c r="H369" s="7" t="str">
        <f t="shared" si="111"/>
        <v>Valid</v>
      </c>
      <c r="I369" s="9">
        <f t="shared" si="112"/>
        <v>1</v>
      </c>
      <c r="J369" s="9" t="str">
        <f t="shared" si="113"/>
        <v>Valid</v>
      </c>
      <c r="K369" t="s">
        <v>1841</v>
      </c>
      <c r="L369" t="s">
        <v>179</v>
      </c>
      <c r="M369" t="s">
        <v>179</v>
      </c>
      <c r="N369" t="s">
        <v>25</v>
      </c>
      <c r="O369" s="3" t="str">
        <f t="shared" si="114"/>
        <v>Consumer</v>
      </c>
      <c r="P369" t="s">
        <v>26</v>
      </c>
      <c r="Q369" s="3" t="str">
        <f t="shared" si="115"/>
        <v>North</v>
      </c>
      <c r="R369" t="s">
        <v>505</v>
      </c>
      <c r="S369" t="s">
        <v>506</v>
      </c>
      <c r="T369" t="s">
        <v>29</v>
      </c>
      <c r="U369" s="3" t="str">
        <f t="shared" si="116"/>
        <v>Office Supplies</v>
      </c>
      <c r="V369" t="s">
        <v>53</v>
      </c>
      <c r="W369" t="s">
        <v>1842</v>
      </c>
      <c r="X369" t="s">
        <v>66</v>
      </c>
      <c r="Y369" s="3" t="str">
        <f t="shared" si="117"/>
        <v>Standard Class</v>
      </c>
      <c r="Z369">
        <v>6</v>
      </c>
      <c r="AA369">
        <v>3815.09</v>
      </c>
      <c r="AB369">
        <v>0.15</v>
      </c>
      <c r="AC369">
        <f t="shared" si="118"/>
        <v>0.15</v>
      </c>
      <c r="AD369" t="str">
        <f t="shared" si="121"/>
        <v>Valid</v>
      </c>
      <c r="AE369">
        <v>19456.96</v>
      </c>
      <c r="AF369">
        <v>14520.06</v>
      </c>
      <c r="AG369">
        <v>4936.8999999999996</v>
      </c>
      <c r="AH369" t="s">
        <v>199</v>
      </c>
      <c r="AI369" t="str">
        <f t="shared" si="122"/>
        <v>Exclude</v>
      </c>
      <c r="AJ369" t="str">
        <f t="shared" si="123"/>
        <v/>
      </c>
      <c r="AK369" t="s">
        <v>77</v>
      </c>
      <c r="AL369" t="str">
        <f t="shared" si="119"/>
        <v>Cancelled</v>
      </c>
      <c r="AM369" t="str">
        <f t="shared" si="124"/>
        <v>Exclude</v>
      </c>
      <c r="AN369">
        <f t="shared" si="125"/>
        <v>19456.958999999999</v>
      </c>
      <c r="AO369">
        <f t="shared" si="126"/>
        <v>4936.8989999999994</v>
      </c>
      <c r="AP369">
        <f>IF(AN369=0,0,AO369/AN369)</f>
        <v>0.25373435797443988</v>
      </c>
      <c r="AQ369" t="str">
        <f t="shared" si="127"/>
        <v>March</v>
      </c>
      <c r="AR369">
        <f t="shared" si="128"/>
        <v>2024</v>
      </c>
      <c r="AS369" t="str">
        <f t="shared" si="129"/>
        <v>Clean</v>
      </c>
      <c r="AT369" t="str">
        <f>IF(OR(AC369&lt;0,AC369&gt;0.5),"Invalid Discount","Valid")</f>
        <v>Valid</v>
      </c>
      <c r="AU369" t="str">
        <f>IF(G369&lt;E369,"Invalid Shipping Record","Valid")</f>
        <v>Valid</v>
      </c>
      <c r="AV369" t="str">
        <f>IF(OR(AL369="Cancelled",AH369="Failed"),"Exclude","Include")</f>
        <v>Exclude</v>
      </c>
      <c r="AW369" t="str">
        <f t="shared" si="130"/>
        <v>Match</v>
      </c>
      <c r="AX369" t="str">
        <f t="shared" si="131"/>
        <v>Match</v>
      </c>
    </row>
    <row r="370" spans="1:50">
      <c r="A370" t="s">
        <v>1843</v>
      </c>
      <c r="B370">
        <f t="shared" si="132"/>
        <v>1</v>
      </c>
      <c r="C370" t="str">
        <f t="shared" si="120"/>
        <v/>
      </c>
      <c r="D370" s="3" t="s">
        <v>1271</v>
      </c>
      <c r="E370" s="7">
        <v>45844</v>
      </c>
      <c r="F370" s="3" t="s">
        <v>1271</v>
      </c>
      <c r="G370" s="7">
        <v>45844</v>
      </c>
      <c r="H370" s="7" t="str">
        <f t="shared" si="111"/>
        <v>Valid</v>
      </c>
      <c r="I370" s="9">
        <f t="shared" si="112"/>
        <v>0</v>
      </c>
      <c r="J370" s="9" t="str">
        <f t="shared" si="113"/>
        <v>Valid</v>
      </c>
      <c r="K370" t="s">
        <v>1844</v>
      </c>
      <c r="L370" t="s">
        <v>161</v>
      </c>
      <c r="M370" t="s">
        <v>161</v>
      </c>
      <c r="N370" t="s">
        <v>114</v>
      </c>
      <c r="O370" s="3" t="str">
        <f t="shared" si="114"/>
        <v>Home Office</v>
      </c>
      <c r="P370" t="s">
        <v>26</v>
      </c>
      <c r="Q370" s="3" t="str">
        <f t="shared" si="115"/>
        <v>North</v>
      </c>
      <c r="R370" t="s">
        <v>27</v>
      </c>
      <c r="S370" t="s">
        <v>28</v>
      </c>
      <c r="T370" t="s">
        <v>85</v>
      </c>
      <c r="U370" s="3" t="str">
        <f t="shared" si="116"/>
        <v>Technology</v>
      </c>
      <c r="V370" t="s">
        <v>86</v>
      </c>
      <c r="W370" t="s">
        <v>1845</v>
      </c>
      <c r="X370" t="s">
        <v>47</v>
      </c>
      <c r="Y370" s="3" t="str">
        <f t="shared" si="117"/>
        <v>Same Day</v>
      </c>
      <c r="Z370">
        <v>9</v>
      </c>
      <c r="AA370">
        <v>243.19</v>
      </c>
      <c r="AB370">
        <v>0.05</v>
      </c>
      <c r="AC370">
        <f t="shared" si="118"/>
        <v>0.05</v>
      </c>
      <c r="AD370" t="str">
        <f t="shared" si="121"/>
        <v>Valid</v>
      </c>
      <c r="AE370">
        <v>2079.27</v>
      </c>
      <c r="AF370">
        <v>1512.17</v>
      </c>
      <c r="AG370">
        <v>567.1</v>
      </c>
      <c r="AH370" t="s">
        <v>123</v>
      </c>
      <c r="AI370" t="str">
        <f t="shared" si="122"/>
        <v>Include</v>
      </c>
      <c r="AJ370" t="str">
        <f t="shared" si="123"/>
        <v>Refunded Order</v>
      </c>
      <c r="AK370" t="s">
        <v>124</v>
      </c>
      <c r="AL370" t="str">
        <f t="shared" si="119"/>
        <v>Returned</v>
      </c>
      <c r="AM370" t="str">
        <f t="shared" si="124"/>
        <v>Include</v>
      </c>
      <c r="AN370">
        <f t="shared" si="125"/>
        <v>2079.2745</v>
      </c>
      <c r="AO370">
        <f t="shared" si="126"/>
        <v>567.10449999999992</v>
      </c>
      <c r="AP370">
        <f>IF(AN370=0,0,AO370/AN370)</f>
        <v>0.27274152595051782</v>
      </c>
      <c r="AQ370" t="str">
        <f t="shared" si="127"/>
        <v>July</v>
      </c>
      <c r="AR370">
        <f t="shared" si="128"/>
        <v>2025</v>
      </c>
      <c r="AS370" t="str">
        <f t="shared" si="129"/>
        <v>Clean</v>
      </c>
      <c r="AT370" t="str">
        <f>IF(OR(AC370&lt;0,AC370&gt;0.5),"Invalid Discount","Valid")</f>
        <v>Valid</v>
      </c>
      <c r="AU370" t="str">
        <f>IF(G370&lt;E370,"Invalid Shipping Record","Valid")</f>
        <v>Valid</v>
      </c>
      <c r="AV370" t="str">
        <f>IF(OR(AL370="Cancelled",AH370="Failed"),"Exclude","Include")</f>
        <v>Include</v>
      </c>
      <c r="AW370" t="str">
        <f t="shared" si="130"/>
        <v>Match</v>
      </c>
      <c r="AX370" t="str">
        <f t="shared" si="131"/>
        <v>Match</v>
      </c>
    </row>
    <row r="371" spans="1:50">
      <c r="A371" t="s">
        <v>1846</v>
      </c>
      <c r="B371">
        <f t="shared" si="132"/>
        <v>1</v>
      </c>
      <c r="C371" t="str">
        <f t="shared" si="120"/>
        <v/>
      </c>
      <c r="D371" s="3" t="s">
        <v>1530</v>
      </c>
      <c r="E371" s="7">
        <v>45680</v>
      </c>
      <c r="F371" s="3" t="s">
        <v>190</v>
      </c>
      <c r="G371" s="7">
        <v>45687</v>
      </c>
      <c r="H371" s="7" t="str">
        <f t="shared" si="111"/>
        <v>Valid</v>
      </c>
      <c r="I371" s="9">
        <f t="shared" si="112"/>
        <v>7</v>
      </c>
      <c r="J371" s="9" t="str">
        <f t="shared" si="113"/>
        <v>Valid</v>
      </c>
      <c r="K371" t="s">
        <v>1847</v>
      </c>
      <c r="L371" t="s">
        <v>141</v>
      </c>
      <c r="M371" t="s">
        <v>141</v>
      </c>
      <c r="N371" t="s">
        <v>25</v>
      </c>
      <c r="O371" s="3" t="str">
        <f t="shared" si="114"/>
        <v>Consumer</v>
      </c>
      <c r="P371" t="s">
        <v>26</v>
      </c>
      <c r="Q371" s="3" t="str">
        <f t="shared" si="115"/>
        <v>North</v>
      </c>
      <c r="R371" t="s">
        <v>505</v>
      </c>
      <c r="S371" t="s">
        <v>506</v>
      </c>
      <c r="T371" t="s">
        <v>29</v>
      </c>
      <c r="U371" s="3" t="str">
        <f t="shared" si="116"/>
        <v>Office Supplies</v>
      </c>
      <c r="V371" t="s">
        <v>108</v>
      </c>
      <c r="W371" t="s">
        <v>1848</v>
      </c>
      <c r="X371" t="s">
        <v>66</v>
      </c>
      <c r="Y371" s="3" t="str">
        <f t="shared" si="117"/>
        <v>Standard Class</v>
      </c>
      <c r="Z371">
        <v>9</v>
      </c>
      <c r="AA371">
        <v>1169.3699999999999</v>
      </c>
      <c r="AB371">
        <v>0.15</v>
      </c>
      <c r="AC371">
        <f t="shared" si="118"/>
        <v>0.15</v>
      </c>
      <c r="AD371" t="str">
        <f t="shared" si="121"/>
        <v>Valid</v>
      </c>
      <c r="AE371">
        <v>8945.68</v>
      </c>
      <c r="AF371">
        <v>6740.35</v>
      </c>
      <c r="AG371">
        <v>2205.33</v>
      </c>
      <c r="AH371" t="s">
        <v>33</v>
      </c>
      <c r="AI371" t="str">
        <f t="shared" si="122"/>
        <v>Include</v>
      </c>
      <c r="AJ371" t="str">
        <f t="shared" si="123"/>
        <v/>
      </c>
      <c r="AK371" t="s">
        <v>34</v>
      </c>
      <c r="AL371" t="str">
        <f t="shared" si="119"/>
        <v>Completed</v>
      </c>
      <c r="AM371" t="str">
        <f t="shared" si="124"/>
        <v>Include</v>
      </c>
      <c r="AN371">
        <f t="shared" si="125"/>
        <v>8945.6804999999986</v>
      </c>
      <c r="AO371">
        <f t="shared" si="126"/>
        <v>2205.3304999999982</v>
      </c>
      <c r="AP371">
        <f>IF(AN371=0,0,AO371/AN371)</f>
        <v>0.24652462157574245</v>
      </c>
      <c r="AQ371" t="str">
        <f t="shared" si="127"/>
        <v>January</v>
      </c>
      <c r="AR371">
        <f t="shared" si="128"/>
        <v>2025</v>
      </c>
      <c r="AS371" t="str">
        <f t="shared" si="129"/>
        <v>Clean</v>
      </c>
      <c r="AT371" t="str">
        <f>IF(OR(AC371&lt;0,AC371&gt;0.5),"Invalid Discount","Valid")</f>
        <v>Valid</v>
      </c>
      <c r="AU371" t="str">
        <f>IF(G371&lt;E371,"Invalid Shipping Record","Valid")</f>
        <v>Valid</v>
      </c>
      <c r="AV371" t="str">
        <f>IF(OR(AL371="Cancelled",AH371="Failed"),"Exclude","Include")</f>
        <v>Include</v>
      </c>
      <c r="AW371" t="str">
        <f t="shared" si="130"/>
        <v>Match</v>
      </c>
      <c r="AX371" t="str">
        <f t="shared" si="131"/>
        <v>Match</v>
      </c>
    </row>
    <row r="372" spans="1:50">
      <c r="A372" t="s">
        <v>1849</v>
      </c>
      <c r="B372">
        <f t="shared" si="132"/>
        <v>1</v>
      </c>
      <c r="C372" t="str">
        <f t="shared" si="120"/>
        <v/>
      </c>
      <c r="D372" s="3" t="s">
        <v>1850</v>
      </c>
      <c r="E372" s="7">
        <v>45519</v>
      </c>
      <c r="F372" s="3" t="s">
        <v>1625</v>
      </c>
      <c r="G372" s="7">
        <v>45525</v>
      </c>
      <c r="H372" s="7" t="str">
        <f t="shared" si="111"/>
        <v>Valid</v>
      </c>
      <c r="I372" s="9">
        <f t="shared" si="112"/>
        <v>6</v>
      </c>
      <c r="J372" s="9" t="str">
        <f t="shared" si="113"/>
        <v>Valid</v>
      </c>
      <c r="K372" t="s">
        <v>1851</v>
      </c>
      <c r="L372" t="s">
        <v>71</v>
      </c>
      <c r="M372" t="s">
        <v>71</v>
      </c>
      <c r="N372" t="s">
        <v>40</v>
      </c>
      <c r="O372" s="3" t="str">
        <f t="shared" si="114"/>
        <v>Small Business</v>
      </c>
      <c r="P372" t="s">
        <v>72</v>
      </c>
      <c r="Q372" s="3" t="str">
        <f t="shared" si="115"/>
        <v>West</v>
      </c>
      <c r="R372" t="s">
        <v>27</v>
      </c>
      <c r="S372" t="s">
        <v>134</v>
      </c>
      <c r="T372" t="s">
        <v>85</v>
      </c>
      <c r="U372" s="3" t="str">
        <f t="shared" si="116"/>
        <v>Technology</v>
      </c>
      <c r="V372" t="s">
        <v>93</v>
      </c>
      <c r="W372" t="s">
        <v>1852</v>
      </c>
      <c r="X372" t="s">
        <v>55</v>
      </c>
      <c r="Y372" s="3" t="str">
        <f t="shared" si="117"/>
        <v>First Class</v>
      </c>
      <c r="Z372">
        <v>7</v>
      </c>
      <c r="AA372">
        <v>2333.81</v>
      </c>
      <c r="AB372">
        <v>0.2</v>
      </c>
      <c r="AC372">
        <f t="shared" si="118"/>
        <v>0.2</v>
      </c>
      <c r="AD372" t="str">
        <f t="shared" si="121"/>
        <v>Valid</v>
      </c>
      <c r="AE372">
        <v>13069.34</v>
      </c>
      <c r="AF372">
        <v>8768.59</v>
      </c>
      <c r="AG372">
        <v>4300.75</v>
      </c>
      <c r="AH372" t="s">
        <v>33</v>
      </c>
      <c r="AI372" t="str">
        <f t="shared" si="122"/>
        <v>Include</v>
      </c>
      <c r="AJ372" t="str">
        <f t="shared" si="123"/>
        <v/>
      </c>
      <c r="AK372" t="s">
        <v>34</v>
      </c>
      <c r="AL372" t="str">
        <f t="shared" si="119"/>
        <v>Completed</v>
      </c>
      <c r="AM372" t="str">
        <f t="shared" si="124"/>
        <v>Include</v>
      </c>
      <c r="AN372">
        <f t="shared" si="125"/>
        <v>13069.336000000001</v>
      </c>
      <c r="AO372">
        <f t="shared" si="126"/>
        <v>4300.746000000001</v>
      </c>
      <c r="AP372">
        <f>IF(AN372=0,0,AO372/AN372)</f>
        <v>0.32907149988339124</v>
      </c>
      <c r="AQ372" t="str">
        <f t="shared" si="127"/>
        <v>August</v>
      </c>
      <c r="AR372">
        <f t="shared" si="128"/>
        <v>2024</v>
      </c>
      <c r="AS372" t="str">
        <f t="shared" si="129"/>
        <v>Clean</v>
      </c>
      <c r="AT372" t="str">
        <f>IF(OR(AC372&lt;0,AC372&gt;0.5),"Invalid Discount","Valid")</f>
        <v>Valid</v>
      </c>
      <c r="AU372" t="str">
        <f>IF(G372&lt;E372,"Invalid Shipping Record","Valid")</f>
        <v>Valid</v>
      </c>
      <c r="AV372" t="str">
        <f>IF(OR(AL372="Cancelled",AH372="Failed"),"Exclude","Include")</f>
        <v>Include</v>
      </c>
      <c r="AW372" t="str">
        <f t="shared" si="130"/>
        <v>Match</v>
      </c>
      <c r="AX372" t="str">
        <f t="shared" si="131"/>
        <v>Match</v>
      </c>
    </row>
    <row r="373" spans="1:50">
      <c r="A373" t="s">
        <v>1853</v>
      </c>
      <c r="B373">
        <f t="shared" si="132"/>
        <v>1</v>
      </c>
      <c r="C373" t="str">
        <f t="shared" si="120"/>
        <v/>
      </c>
      <c r="D373" s="3" t="s">
        <v>1057</v>
      </c>
      <c r="E373" s="7">
        <v>45313</v>
      </c>
      <c r="F373" s="3" t="s">
        <v>1854</v>
      </c>
      <c r="G373" s="7">
        <v>45315</v>
      </c>
      <c r="H373" s="7" t="str">
        <f t="shared" si="111"/>
        <v>Valid</v>
      </c>
      <c r="I373" s="9">
        <f t="shared" si="112"/>
        <v>2</v>
      </c>
      <c r="J373" s="9" t="str">
        <f t="shared" si="113"/>
        <v>Valid</v>
      </c>
      <c r="K373" t="s">
        <v>1855</v>
      </c>
      <c r="L373" t="s">
        <v>209</v>
      </c>
      <c r="M373" t="s">
        <v>209</v>
      </c>
      <c r="N373" t="s">
        <v>114</v>
      </c>
      <c r="O373" s="3" t="str">
        <f t="shared" si="114"/>
        <v>Home Office</v>
      </c>
      <c r="P373" t="s">
        <v>72</v>
      </c>
      <c r="Q373" s="3" t="str">
        <f t="shared" si="115"/>
        <v>West</v>
      </c>
      <c r="R373" t="s">
        <v>73</v>
      </c>
      <c r="S373" t="s">
        <v>74</v>
      </c>
      <c r="T373" t="s">
        <v>29</v>
      </c>
      <c r="U373" s="3" t="str">
        <f t="shared" si="116"/>
        <v>Office Supplies</v>
      </c>
      <c r="V373" t="s">
        <v>53</v>
      </c>
      <c r="W373" t="s">
        <v>1856</v>
      </c>
      <c r="X373" t="s">
        <v>66</v>
      </c>
      <c r="Y373" s="3" t="str">
        <f t="shared" si="117"/>
        <v>Standard Class</v>
      </c>
      <c r="Z373">
        <v>6</v>
      </c>
      <c r="AA373">
        <v>1026.06</v>
      </c>
      <c r="AC373">
        <f t="shared" si="118"/>
        <v>0</v>
      </c>
      <c r="AD373" t="str">
        <f t="shared" si="121"/>
        <v>Valid</v>
      </c>
      <c r="AE373">
        <v>4617.2700000000004</v>
      </c>
      <c r="AF373">
        <v>2981.94</v>
      </c>
      <c r="AG373">
        <v>1635.33</v>
      </c>
      <c r="AH373" t="s">
        <v>123</v>
      </c>
      <c r="AI373" t="str">
        <f t="shared" si="122"/>
        <v>Exclude</v>
      </c>
      <c r="AJ373" t="str">
        <f t="shared" si="123"/>
        <v>Refunded Order</v>
      </c>
      <c r="AK373" t="s">
        <v>77</v>
      </c>
      <c r="AL373" t="str">
        <f t="shared" si="119"/>
        <v>Cancelled</v>
      </c>
      <c r="AM373" t="str">
        <f t="shared" si="124"/>
        <v>Exclude</v>
      </c>
      <c r="AN373">
        <f t="shared" si="125"/>
        <v>6156.36</v>
      </c>
      <c r="AO373">
        <f t="shared" si="126"/>
        <v>3174.4199999999996</v>
      </c>
      <c r="AP373">
        <f>IF(AN373=0,0,AO373/AN373)</f>
        <v>0.51563261407714944</v>
      </c>
      <c r="AQ373" t="str">
        <f t="shared" si="127"/>
        <v>January</v>
      </c>
      <c r="AR373">
        <f t="shared" si="128"/>
        <v>2024</v>
      </c>
      <c r="AS373" t="str">
        <f t="shared" si="129"/>
        <v>Clean</v>
      </c>
      <c r="AT373" t="str">
        <f>IF(OR(AC373&lt;0,AC373&gt;0.5),"Invalid Discount","Valid")</f>
        <v>Valid</v>
      </c>
      <c r="AU373" t="str">
        <f>IF(G373&lt;E373,"Invalid Shipping Record","Valid")</f>
        <v>Valid</v>
      </c>
      <c r="AV373" t="str">
        <f>IF(OR(AL373="Cancelled",AH373="Failed"),"Exclude","Include")</f>
        <v>Exclude</v>
      </c>
      <c r="AW373" t="str">
        <f t="shared" si="130"/>
        <v>Mismatch</v>
      </c>
      <c r="AX373" t="str">
        <f t="shared" si="131"/>
        <v>Mismatch</v>
      </c>
    </row>
    <row r="374" spans="1:50">
      <c r="A374" t="s">
        <v>1857</v>
      </c>
      <c r="B374">
        <f t="shared" si="132"/>
        <v>1</v>
      </c>
      <c r="C374" t="str">
        <f t="shared" si="120"/>
        <v/>
      </c>
      <c r="D374" s="3" t="s">
        <v>1858</v>
      </c>
      <c r="E374" s="7">
        <v>45885</v>
      </c>
      <c r="F374" s="3" t="s">
        <v>920</v>
      </c>
      <c r="G374" s="7">
        <v>45887</v>
      </c>
      <c r="H374" s="7" t="str">
        <f t="shared" si="111"/>
        <v>Valid</v>
      </c>
      <c r="I374" s="9">
        <f t="shared" si="112"/>
        <v>2</v>
      </c>
      <c r="J374" s="9" t="str">
        <f t="shared" si="113"/>
        <v>Valid</v>
      </c>
      <c r="K374" t="s">
        <v>969</v>
      </c>
      <c r="L374" t="s">
        <v>365</v>
      </c>
      <c r="M374" t="s">
        <v>365</v>
      </c>
      <c r="N374" t="s">
        <v>25</v>
      </c>
      <c r="O374" s="3" t="str">
        <f t="shared" si="114"/>
        <v>Consumer</v>
      </c>
      <c r="P374" t="s">
        <v>41</v>
      </c>
      <c r="Q374" s="3" t="str">
        <f t="shared" si="115"/>
        <v>East</v>
      </c>
      <c r="R374" t="s">
        <v>310</v>
      </c>
      <c r="S374" t="s">
        <v>311</v>
      </c>
      <c r="T374" t="s">
        <v>44</v>
      </c>
      <c r="U374" s="3" t="str">
        <f t="shared" si="116"/>
        <v>Furniture</v>
      </c>
      <c r="V374" t="s">
        <v>75</v>
      </c>
      <c r="W374" t="s">
        <v>1859</v>
      </c>
      <c r="X374" t="s">
        <v>47</v>
      </c>
      <c r="Y374" s="3" t="str">
        <f t="shared" si="117"/>
        <v>Same Day</v>
      </c>
      <c r="Z374">
        <v>5</v>
      </c>
      <c r="AA374">
        <v>1530.36</v>
      </c>
      <c r="AB374">
        <v>0</v>
      </c>
      <c r="AC374">
        <f t="shared" si="118"/>
        <v>0</v>
      </c>
      <c r="AD374" t="str">
        <f t="shared" si="121"/>
        <v>Valid</v>
      </c>
      <c r="AE374">
        <v>7651.8</v>
      </c>
      <c r="AF374">
        <v>5171.78</v>
      </c>
      <c r="AG374">
        <v>2480.02</v>
      </c>
      <c r="AH374" t="s">
        <v>33</v>
      </c>
      <c r="AI374" t="str">
        <f t="shared" si="122"/>
        <v>Include</v>
      </c>
      <c r="AJ374" t="str">
        <f t="shared" si="123"/>
        <v/>
      </c>
      <c r="AK374" t="s">
        <v>34</v>
      </c>
      <c r="AL374" t="str">
        <f t="shared" si="119"/>
        <v>Completed</v>
      </c>
      <c r="AM374" t="str">
        <f t="shared" si="124"/>
        <v>Include</v>
      </c>
      <c r="AN374">
        <f t="shared" si="125"/>
        <v>7651.7999999999993</v>
      </c>
      <c r="AO374">
        <f t="shared" si="126"/>
        <v>2480.0199999999995</v>
      </c>
      <c r="AP374">
        <f>IF(AN374=0,0,AO374/AN374)</f>
        <v>0.32410935988917638</v>
      </c>
      <c r="AQ374" t="str">
        <f t="shared" si="127"/>
        <v>August</v>
      </c>
      <c r="AR374">
        <f t="shared" si="128"/>
        <v>2025</v>
      </c>
      <c r="AS374" t="str">
        <f t="shared" si="129"/>
        <v>Clean</v>
      </c>
      <c r="AT374" t="str">
        <f>IF(OR(AC374&lt;0,AC374&gt;0.5),"Invalid Discount","Valid")</f>
        <v>Valid</v>
      </c>
      <c r="AU374" t="str">
        <f>IF(G374&lt;E374,"Invalid Shipping Record","Valid")</f>
        <v>Valid</v>
      </c>
      <c r="AV374" t="str">
        <f>IF(OR(AL374="Cancelled",AH374="Failed"),"Exclude","Include")</f>
        <v>Include</v>
      </c>
      <c r="AW374" t="str">
        <f t="shared" si="130"/>
        <v>Match</v>
      </c>
      <c r="AX374" t="str">
        <f t="shared" si="131"/>
        <v>Match</v>
      </c>
    </row>
    <row r="375" spans="1:50">
      <c r="A375" t="s">
        <v>2086</v>
      </c>
      <c r="B375">
        <f t="shared" si="132"/>
        <v>2</v>
      </c>
      <c r="C375" t="str">
        <f t="shared" si="120"/>
        <v>Review Required</v>
      </c>
      <c r="D375" s="3" t="s">
        <v>2087</v>
      </c>
      <c r="E375" s="7">
        <v>45342</v>
      </c>
      <c r="F375" s="3" t="s">
        <v>2088</v>
      </c>
      <c r="G375" s="7">
        <v>45349</v>
      </c>
      <c r="H375" s="7" t="str">
        <f t="shared" si="111"/>
        <v>Valid</v>
      </c>
      <c r="I375" s="9">
        <f t="shared" si="112"/>
        <v>7</v>
      </c>
      <c r="J375" s="9" t="str">
        <f t="shared" si="113"/>
        <v>Valid</v>
      </c>
      <c r="K375" t="s">
        <v>2089</v>
      </c>
      <c r="L375" t="s">
        <v>209</v>
      </c>
      <c r="M375" t="s">
        <v>209</v>
      </c>
      <c r="N375" t="s">
        <v>25</v>
      </c>
      <c r="O375" s="3" t="str">
        <f t="shared" si="114"/>
        <v>Consumer</v>
      </c>
      <c r="P375" t="s">
        <v>61</v>
      </c>
      <c r="Q375" s="3" t="str">
        <f t="shared" si="115"/>
        <v>South</v>
      </c>
      <c r="R375" t="s">
        <v>241</v>
      </c>
      <c r="S375" t="s">
        <v>242</v>
      </c>
      <c r="T375" t="s">
        <v>85</v>
      </c>
      <c r="U375" s="3" t="str">
        <f t="shared" si="116"/>
        <v>Technology</v>
      </c>
      <c r="V375" t="s">
        <v>86</v>
      </c>
      <c r="W375" t="s">
        <v>2090</v>
      </c>
      <c r="X375" t="s">
        <v>2091</v>
      </c>
      <c r="Y375" s="3" t="str">
        <f t="shared" si="117"/>
        <v>First Class</v>
      </c>
      <c r="Z375">
        <v>9</v>
      </c>
      <c r="AA375">
        <v>3779.31</v>
      </c>
      <c r="AB375">
        <v>0.2</v>
      </c>
      <c r="AC375">
        <f t="shared" si="118"/>
        <v>0.2</v>
      </c>
      <c r="AD375" t="str">
        <f t="shared" si="121"/>
        <v>Valid</v>
      </c>
      <c r="AE375">
        <v>27322.9</v>
      </c>
      <c r="AF375">
        <v>17940.43</v>
      </c>
      <c r="AG375">
        <v>9270.6</v>
      </c>
      <c r="AH375" t="s">
        <v>33</v>
      </c>
      <c r="AI375" t="str">
        <f t="shared" si="122"/>
        <v>Include</v>
      </c>
      <c r="AJ375" t="str">
        <f t="shared" si="123"/>
        <v/>
      </c>
      <c r="AK375" t="s">
        <v>124</v>
      </c>
      <c r="AL375" t="str">
        <f t="shared" si="119"/>
        <v>Returned</v>
      </c>
      <c r="AM375" t="str">
        <f t="shared" si="124"/>
        <v>Include</v>
      </c>
      <c r="AN375">
        <f t="shared" si="125"/>
        <v>27211.032000000003</v>
      </c>
      <c r="AO375">
        <f t="shared" si="126"/>
        <v>9270.6020000000026</v>
      </c>
      <c r="AP375">
        <f>IF(AN375=0,0,AO375/AN375)</f>
        <v>0.34069277490100347</v>
      </c>
      <c r="AQ375" t="str">
        <f t="shared" si="127"/>
        <v>February</v>
      </c>
      <c r="AR375">
        <f t="shared" si="128"/>
        <v>2024</v>
      </c>
      <c r="AS375" t="str">
        <f t="shared" si="129"/>
        <v>Clean</v>
      </c>
      <c r="AT375" t="str">
        <f>IF(OR(AC375&lt;0,AC375&gt;0.5),"Invalid Discount","Valid")</f>
        <v>Valid</v>
      </c>
      <c r="AU375" t="str">
        <f>IF(G375&lt;E375,"Invalid Shipping Record","Valid")</f>
        <v>Valid</v>
      </c>
      <c r="AV375" t="str">
        <f>IF(OR(AL375="Cancelled",AH375="Failed"),"Exclude","Include")</f>
        <v>Include</v>
      </c>
      <c r="AW375" t="str">
        <f t="shared" si="130"/>
        <v>Mismatch</v>
      </c>
      <c r="AX375" t="str">
        <f t="shared" si="131"/>
        <v>Match</v>
      </c>
    </row>
    <row r="376" spans="1:50">
      <c r="A376" t="s">
        <v>1864</v>
      </c>
      <c r="B376">
        <f t="shared" si="132"/>
        <v>1</v>
      </c>
      <c r="C376" t="str">
        <f t="shared" si="120"/>
        <v/>
      </c>
      <c r="D376" s="3" t="s">
        <v>1865</v>
      </c>
      <c r="E376" s="7">
        <v>45715</v>
      </c>
      <c r="F376" s="3" t="s">
        <v>1866</v>
      </c>
      <c r="G376" s="7">
        <v>45716</v>
      </c>
      <c r="H376" s="7" t="str">
        <f t="shared" si="111"/>
        <v>Valid</v>
      </c>
      <c r="I376" s="9">
        <f t="shared" si="112"/>
        <v>1</v>
      </c>
      <c r="J376" s="9" t="str">
        <f t="shared" si="113"/>
        <v>Valid</v>
      </c>
      <c r="K376" t="s">
        <v>1867</v>
      </c>
      <c r="L376" t="s">
        <v>106</v>
      </c>
      <c r="M376" t="s">
        <v>106</v>
      </c>
      <c r="N376" t="s">
        <v>40</v>
      </c>
      <c r="O376" s="3" t="str">
        <f t="shared" si="114"/>
        <v>Small Business</v>
      </c>
      <c r="P376" t="s">
        <v>26</v>
      </c>
      <c r="Q376" s="3" t="str">
        <f t="shared" si="115"/>
        <v>North</v>
      </c>
      <c r="R376" t="s">
        <v>173</v>
      </c>
      <c r="S376" t="s">
        <v>174</v>
      </c>
      <c r="T376" t="s">
        <v>29</v>
      </c>
      <c r="U376" s="3" t="str">
        <f t="shared" si="116"/>
        <v>Office Supplies</v>
      </c>
      <c r="V376" t="s">
        <v>108</v>
      </c>
      <c r="W376" t="s">
        <v>1868</v>
      </c>
      <c r="X376" t="s">
        <v>66</v>
      </c>
      <c r="Y376" s="3" t="str">
        <f t="shared" si="117"/>
        <v>Standard Class</v>
      </c>
      <c r="Z376">
        <v>6</v>
      </c>
      <c r="AA376">
        <v>2393.25</v>
      </c>
      <c r="AB376">
        <v>0</v>
      </c>
      <c r="AC376">
        <f t="shared" si="118"/>
        <v>0</v>
      </c>
      <c r="AD376" t="str">
        <f t="shared" si="121"/>
        <v>Valid</v>
      </c>
      <c r="AE376">
        <v>14359.5</v>
      </c>
      <c r="AF376">
        <v>8117.71</v>
      </c>
      <c r="AG376">
        <v>6241.79</v>
      </c>
      <c r="AH376" t="s">
        <v>33</v>
      </c>
      <c r="AI376" t="str">
        <f t="shared" si="122"/>
        <v>Include</v>
      </c>
      <c r="AJ376" t="str">
        <f t="shared" si="123"/>
        <v/>
      </c>
      <c r="AK376" t="s">
        <v>34</v>
      </c>
      <c r="AL376" t="str">
        <f t="shared" si="119"/>
        <v>Completed</v>
      </c>
      <c r="AM376" t="str">
        <f t="shared" si="124"/>
        <v>Include</v>
      </c>
      <c r="AN376">
        <f t="shared" si="125"/>
        <v>14359.5</v>
      </c>
      <c r="AO376">
        <f t="shared" si="126"/>
        <v>6241.79</v>
      </c>
      <c r="AP376">
        <f>IF(AN376=0,0,AO376/AN376)</f>
        <v>0.43468017688638183</v>
      </c>
      <c r="AQ376" t="str">
        <f t="shared" si="127"/>
        <v>February</v>
      </c>
      <c r="AR376">
        <f t="shared" si="128"/>
        <v>2025</v>
      </c>
      <c r="AS376" t="str">
        <f t="shared" si="129"/>
        <v>Clean</v>
      </c>
      <c r="AT376" t="str">
        <f>IF(OR(AC376&lt;0,AC376&gt;0.5),"Invalid Discount","Valid")</f>
        <v>Valid</v>
      </c>
      <c r="AU376" t="str">
        <f>IF(G376&lt;E376,"Invalid Shipping Record","Valid")</f>
        <v>Valid</v>
      </c>
      <c r="AV376" t="str">
        <f>IF(OR(AL376="Cancelled",AH376="Failed"),"Exclude","Include")</f>
        <v>Include</v>
      </c>
      <c r="AW376" t="str">
        <f t="shared" si="130"/>
        <v>Match</v>
      </c>
      <c r="AX376" t="str">
        <f t="shared" si="131"/>
        <v>Match</v>
      </c>
    </row>
    <row r="377" spans="1:50">
      <c r="A377" t="s">
        <v>1869</v>
      </c>
      <c r="B377">
        <f t="shared" si="132"/>
        <v>1</v>
      </c>
      <c r="C377" t="str">
        <f t="shared" si="120"/>
        <v/>
      </c>
      <c r="D377" s="3" t="s">
        <v>1870</v>
      </c>
      <c r="E377" s="7">
        <v>45657</v>
      </c>
      <c r="F377" s="3" t="s">
        <v>1871</v>
      </c>
      <c r="G377" s="7">
        <v>45661</v>
      </c>
      <c r="H377" s="7" t="str">
        <f t="shared" si="111"/>
        <v>Valid</v>
      </c>
      <c r="I377" s="9">
        <f t="shared" si="112"/>
        <v>4</v>
      </c>
      <c r="J377" s="9" t="str">
        <f t="shared" si="113"/>
        <v>Valid</v>
      </c>
      <c r="K377" t="s">
        <v>1872</v>
      </c>
      <c r="L377" t="s">
        <v>82</v>
      </c>
      <c r="M377" t="s">
        <v>82</v>
      </c>
      <c r="N377" t="s">
        <v>25</v>
      </c>
      <c r="O377" s="3" t="str">
        <f t="shared" si="114"/>
        <v>Consumer</v>
      </c>
      <c r="P377" t="s">
        <v>26</v>
      </c>
      <c r="Q377" s="3" t="str">
        <f t="shared" si="115"/>
        <v>North</v>
      </c>
      <c r="R377" t="s">
        <v>505</v>
      </c>
      <c r="S377" t="s">
        <v>506</v>
      </c>
      <c r="T377" t="s">
        <v>44</v>
      </c>
      <c r="U377" s="3" t="str">
        <f t="shared" si="116"/>
        <v>Furniture</v>
      </c>
      <c r="V377" t="s">
        <v>75</v>
      </c>
      <c r="W377" t="s">
        <v>1873</v>
      </c>
      <c r="X377" t="s">
        <v>47</v>
      </c>
      <c r="Y377" s="3" t="str">
        <f t="shared" si="117"/>
        <v>Same Day</v>
      </c>
      <c r="Z377">
        <v>3</v>
      </c>
      <c r="AA377">
        <v>1166.6099999999999</v>
      </c>
      <c r="AB377">
        <v>0.25</v>
      </c>
      <c r="AC377">
        <f t="shared" si="118"/>
        <v>0.25</v>
      </c>
      <c r="AD377" t="str">
        <f t="shared" si="121"/>
        <v>Valid</v>
      </c>
      <c r="AE377">
        <v>2624.87</v>
      </c>
      <c r="AF377">
        <v>2253.88</v>
      </c>
      <c r="AG377">
        <v>370.99</v>
      </c>
      <c r="AH377" t="s">
        <v>33</v>
      </c>
      <c r="AI377" t="str">
        <f t="shared" si="122"/>
        <v>Include</v>
      </c>
      <c r="AJ377" t="str">
        <f t="shared" si="123"/>
        <v/>
      </c>
      <c r="AK377" t="s">
        <v>34</v>
      </c>
      <c r="AL377" t="str">
        <f t="shared" si="119"/>
        <v>Completed</v>
      </c>
      <c r="AM377" t="str">
        <f t="shared" si="124"/>
        <v>Include</v>
      </c>
      <c r="AN377">
        <f t="shared" si="125"/>
        <v>2624.8724999999999</v>
      </c>
      <c r="AO377">
        <f t="shared" si="126"/>
        <v>370.99249999999984</v>
      </c>
      <c r="AP377">
        <f>IF(AN377=0,0,AO377/AN377)</f>
        <v>0.14133734114704613</v>
      </c>
      <c r="AQ377" t="str">
        <f t="shared" si="127"/>
        <v>December</v>
      </c>
      <c r="AR377">
        <f t="shared" si="128"/>
        <v>2024</v>
      </c>
      <c r="AS377" t="str">
        <f t="shared" si="129"/>
        <v>Clean</v>
      </c>
      <c r="AT377" t="str">
        <f>IF(OR(AC377&lt;0,AC377&gt;0.5),"Invalid Discount","Valid")</f>
        <v>Valid</v>
      </c>
      <c r="AU377" t="str">
        <f>IF(G377&lt;E377,"Invalid Shipping Record","Valid")</f>
        <v>Valid</v>
      </c>
      <c r="AV377" t="str">
        <f>IF(OR(AL377="Cancelled",AH377="Failed"),"Exclude","Include")</f>
        <v>Include</v>
      </c>
      <c r="AW377" t="str">
        <f t="shared" si="130"/>
        <v>Match</v>
      </c>
      <c r="AX377" t="str">
        <f t="shared" si="131"/>
        <v>Match</v>
      </c>
    </row>
    <row r="378" spans="1:50">
      <c r="A378" t="s">
        <v>1874</v>
      </c>
      <c r="B378">
        <f t="shared" si="132"/>
        <v>1</v>
      </c>
      <c r="C378" t="str">
        <f t="shared" si="120"/>
        <v/>
      </c>
      <c r="D378" s="3" t="s">
        <v>1875</v>
      </c>
      <c r="E378" s="7">
        <v>45655</v>
      </c>
      <c r="F378" s="3" t="s">
        <v>1778</v>
      </c>
      <c r="G378" s="7">
        <v>45657</v>
      </c>
      <c r="H378" s="7" t="str">
        <f t="shared" si="111"/>
        <v>Valid</v>
      </c>
      <c r="I378" s="9">
        <f t="shared" si="112"/>
        <v>2</v>
      </c>
      <c r="J378" s="9" t="str">
        <f t="shared" si="113"/>
        <v>Valid</v>
      </c>
      <c r="K378" t="s">
        <v>1876</v>
      </c>
      <c r="L378" t="s">
        <v>52</v>
      </c>
      <c r="M378" t="s">
        <v>52</v>
      </c>
      <c r="N378" t="s">
        <v>40</v>
      </c>
      <c r="O378" s="3" t="str">
        <f t="shared" si="114"/>
        <v>Small Business</v>
      </c>
      <c r="P378" t="s">
        <v>41</v>
      </c>
      <c r="Q378" s="3" t="str">
        <f t="shared" si="115"/>
        <v>East</v>
      </c>
      <c r="R378" t="s">
        <v>185</v>
      </c>
      <c r="S378" t="s">
        <v>186</v>
      </c>
      <c r="T378" t="s">
        <v>44</v>
      </c>
      <c r="U378" s="3" t="str">
        <f t="shared" si="116"/>
        <v>Furniture</v>
      </c>
      <c r="V378" t="s">
        <v>75</v>
      </c>
      <c r="W378" t="s">
        <v>1877</v>
      </c>
      <c r="X378" t="s">
        <v>55</v>
      </c>
      <c r="Y378" s="3" t="str">
        <f t="shared" si="117"/>
        <v>First Class</v>
      </c>
      <c r="Z378">
        <v>6</v>
      </c>
      <c r="AA378">
        <v>1844.78</v>
      </c>
      <c r="AB378">
        <v>0.2</v>
      </c>
      <c r="AC378">
        <f t="shared" si="118"/>
        <v>0.2</v>
      </c>
      <c r="AD378" t="str">
        <f t="shared" si="121"/>
        <v>Valid</v>
      </c>
      <c r="AE378">
        <v>8854.94</v>
      </c>
      <c r="AF378">
        <v>7433.95</v>
      </c>
      <c r="AG378">
        <v>1420.99</v>
      </c>
      <c r="AH378" t="s">
        <v>33</v>
      </c>
      <c r="AI378" t="str">
        <f t="shared" si="122"/>
        <v>Include</v>
      </c>
      <c r="AJ378" t="str">
        <f t="shared" si="123"/>
        <v/>
      </c>
      <c r="AK378" t="s">
        <v>34</v>
      </c>
      <c r="AL378" t="str">
        <f t="shared" si="119"/>
        <v>Completed</v>
      </c>
      <c r="AM378" t="str">
        <f t="shared" si="124"/>
        <v>Include</v>
      </c>
      <c r="AN378">
        <f t="shared" si="125"/>
        <v>8854.9440000000013</v>
      </c>
      <c r="AO378">
        <f t="shared" si="126"/>
        <v>1420.9940000000015</v>
      </c>
      <c r="AP378">
        <f>IF(AN378=0,0,AO378/AN378)</f>
        <v>0.1604746455765278</v>
      </c>
      <c r="AQ378" t="str">
        <f t="shared" si="127"/>
        <v>December</v>
      </c>
      <c r="AR378">
        <f t="shared" si="128"/>
        <v>2024</v>
      </c>
      <c r="AS378" t="str">
        <f t="shared" si="129"/>
        <v>Clean</v>
      </c>
      <c r="AT378" t="str">
        <f>IF(OR(AC378&lt;0,AC378&gt;0.5),"Invalid Discount","Valid")</f>
        <v>Valid</v>
      </c>
      <c r="AU378" t="str">
        <f>IF(G378&lt;E378,"Invalid Shipping Record","Valid")</f>
        <v>Valid</v>
      </c>
      <c r="AV378" t="str">
        <f>IF(OR(AL378="Cancelled",AH378="Failed"),"Exclude","Include")</f>
        <v>Include</v>
      </c>
      <c r="AW378" t="str">
        <f t="shared" si="130"/>
        <v>Match</v>
      </c>
      <c r="AX378" t="str">
        <f t="shared" si="131"/>
        <v>Match</v>
      </c>
    </row>
    <row r="379" spans="1:50">
      <c r="A379" t="s">
        <v>1878</v>
      </c>
      <c r="B379">
        <f t="shared" si="132"/>
        <v>1</v>
      </c>
      <c r="C379" t="str">
        <f t="shared" si="120"/>
        <v/>
      </c>
      <c r="D379" s="3" t="s">
        <v>1520</v>
      </c>
      <c r="E379" s="7">
        <v>45801</v>
      </c>
      <c r="F379" s="3" t="s">
        <v>1879</v>
      </c>
      <c r="G379" s="7">
        <v>45807</v>
      </c>
      <c r="H379" s="7" t="str">
        <f t="shared" si="111"/>
        <v>Valid</v>
      </c>
      <c r="I379" s="9">
        <f t="shared" si="112"/>
        <v>6</v>
      </c>
      <c r="J379" s="9" t="str">
        <f t="shared" si="113"/>
        <v>Valid</v>
      </c>
      <c r="K379" t="s">
        <v>1880</v>
      </c>
      <c r="L379" t="s">
        <v>365</v>
      </c>
      <c r="M379" t="s">
        <v>365</v>
      </c>
      <c r="N379" t="s">
        <v>40</v>
      </c>
      <c r="O379" s="3" t="str">
        <f t="shared" si="114"/>
        <v>Small Business</v>
      </c>
      <c r="P379" t="s">
        <v>41</v>
      </c>
      <c r="Q379" s="3" t="str">
        <f t="shared" si="115"/>
        <v>East</v>
      </c>
      <c r="R379" t="s">
        <v>42</v>
      </c>
      <c r="S379" t="s">
        <v>43</v>
      </c>
      <c r="T379" t="s">
        <v>29</v>
      </c>
      <c r="U379" s="3" t="str">
        <f t="shared" si="116"/>
        <v>Office Supplies</v>
      </c>
      <c r="V379" t="s">
        <v>1881</v>
      </c>
      <c r="W379" t="s">
        <v>1882</v>
      </c>
      <c r="X379" t="s">
        <v>47</v>
      </c>
      <c r="Y379" s="3" t="str">
        <f t="shared" si="117"/>
        <v>Same Day</v>
      </c>
      <c r="Z379">
        <v>1</v>
      </c>
      <c r="AA379">
        <v>2564.7399999999998</v>
      </c>
      <c r="AB379">
        <v>0</v>
      </c>
      <c r="AC379">
        <f t="shared" si="118"/>
        <v>0</v>
      </c>
      <c r="AD379" t="str">
        <f t="shared" si="121"/>
        <v>Valid</v>
      </c>
      <c r="AE379">
        <v>2564.7399999999998</v>
      </c>
      <c r="AF379">
        <v>1754.58</v>
      </c>
      <c r="AG379">
        <v>810.16</v>
      </c>
      <c r="AH379" t="s">
        <v>33</v>
      </c>
      <c r="AI379" t="str">
        <f t="shared" si="122"/>
        <v>Include</v>
      </c>
      <c r="AJ379" t="str">
        <f t="shared" si="123"/>
        <v/>
      </c>
      <c r="AK379" t="s">
        <v>34</v>
      </c>
      <c r="AL379" t="str">
        <f t="shared" si="119"/>
        <v>Completed</v>
      </c>
      <c r="AM379" t="str">
        <f t="shared" si="124"/>
        <v>Include</v>
      </c>
      <c r="AN379">
        <f t="shared" si="125"/>
        <v>2564.7399999999998</v>
      </c>
      <c r="AO379">
        <f t="shared" si="126"/>
        <v>810.15999999999985</v>
      </c>
      <c r="AP379">
        <f>IF(AN379=0,0,AO379/AN379)</f>
        <v>0.31588387126960232</v>
      </c>
      <c r="AQ379" t="str">
        <f t="shared" si="127"/>
        <v>May</v>
      </c>
      <c r="AR379">
        <f t="shared" si="128"/>
        <v>2025</v>
      </c>
      <c r="AS379" t="str">
        <f t="shared" si="129"/>
        <v>Clean</v>
      </c>
      <c r="AT379" t="str">
        <f>IF(OR(AC379&lt;0,AC379&gt;0.5),"Invalid Discount","Valid")</f>
        <v>Valid</v>
      </c>
      <c r="AU379" t="str">
        <f>IF(G379&lt;E379,"Invalid Shipping Record","Valid")</f>
        <v>Valid</v>
      </c>
      <c r="AV379" t="str">
        <f>IF(OR(AL379="Cancelled",AH379="Failed"),"Exclude","Include")</f>
        <v>Include</v>
      </c>
      <c r="AW379" t="str">
        <f t="shared" si="130"/>
        <v>Match</v>
      </c>
      <c r="AX379" t="str">
        <f t="shared" si="131"/>
        <v>Match</v>
      </c>
    </row>
    <row r="380" spans="1:50">
      <c r="A380" t="s">
        <v>1883</v>
      </c>
      <c r="B380">
        <f t="shared" si="132"/>
        <v>1</v>
      </c>
      <c r="C380" t="str">
        <f t="shared" si="120"/>
        <v/>
      </c>
      <c r="D380" s="3" t="s">
        <v>1884</v>
      </c>
      <c r="E380" s="7">
        <v>45799</v>
      </c>
      <c r="F380" s="3" t="s">
        <v>1884</v>
      </c>
      <c r="G380" s="7">
        <v>45799</v>
      </c>
      <c r="H380" s="7" t="str">
        <f t="shared" si="111"/>
        <v>Valid</v>
      </c>
      <c r="I380" s="9">
        <f t="shared" si="112"/>
        <v>0</v>
      </c>
      <c r="J380" s="9" t="str">
        <f t="shared" si="113"/>
        <v>Valid</v>
      </c>
      <c r="K380" t="s">
        <v>1885</v>
      </c>
      <c r="L380" t="s">
        <v>39</v>
      </c>
      <c r="M380" t="s">
        <v>39</v>
      </c>
      <c r="N380" t="s">
        <v>25</v>
      </c>
      <c r="O380" s="3" t="str">
        <f t="shared" si="114"/>
        <v>Consumer</v>
      </c>
      <c r="P380" t="s">
        <v>72</v>
      </c>
      <c r="Q380" s="3" t="str">
        <f t="shared" si="115"/>
        <v>West</v>
      </c>
      <c r="R380" t="s">
        <v>248</v>
      </c>
      <c r="S380" t="s">
        <v>249</v>
      </c>
      <c r="T380" t="s">
        <v>85</v>
      </c>
      <c r="U380" s="3" t="str">
        <f t="shared" si="116"/>
        <v>Technology</v>
      </c>
      <c r="V380" t="s">
        <v>86</v>
      </c>
      <c r="W380" t="s">
        <v>1886</v>
      </c>
      <c r="X380" t="s">
        <v>66</v>
      </c>
      <c r="Y380" s="3" t="str">
        <f t="shared" si="117"/>
        <v>Standard Class</v>
      </c>
      <c r="Z380">
        <v>2</v>
      </c>
      <c r="AA380">
        <v>3910.61</v>
      </c>
      <c r="AB380">
        <v>0</v>
      </c>
      <c r="AC380">
        <f t="shared" si="118"/>
        <v>0</v>
      </c>
      <c r="AD380" t="str">
        <f t="shared" si="121"/>
        <v>Valid</v>
      </c>
      <c r="AE380">
        <v>7821.22</v>
      </c>
      <c r="AF380">
        <v>4994.46</v>
      </c>
      <c r="AG380">
        <v>2826.76</v>
      </c>
      <c r="AH380" t="s">
        <v>33</v>
      </c>
      <c r="AI380" t="str">
        <f t="shared" si="122"/>
        <v>Include</v>
      </c>
      <c r="AJ380" t="str">
        <f t="shared" si="123"/>
        <v/>
      </c>
      <c r="AK380" t="s">
        <v>34</v>
      </c>
      <c r="AL380" t="str">
        <f t="shared" si="119"/>
        <v>Completed</v>
      </c>
      <c r="AM380" t="str">
        <f t="shared" si="124"/>
        <v>Include</v>
      </c>
      <c r="AN380">
        <f t="shared" si="125"/>
        <v>7821.22</v>
      </c>
      <c r="AO380">
        <f t="shared" si="126"/>
        <v>2826.76</v>
      </c>
      <c r="AP380">
        <f>IF(AN380=0,0,AO380/AN380)</f>
        <v>0.36142187535959863</v>
      </c>
      <c r="AQ380" t="str">
        <f t="shared" si="127"/>
        <v>May</v>
      </c>
      <c r="AR380">
        <f t="shared" si="128"/>
        <v>2025</v>
      </c>
      <c r="AS380" t="str">
        <f t="shared" si="129"/>
        <v>Clean</v>
      </c>
      <c r="AT380" t="str">
        <f>IF(OR(AC380&lt;0,AC380&gt;0.5),"Invalid Discount","Valid")</f>
        <v>Valid</v>
      </c>
      <c r="AU380" t="str">
        <f>IF(G380&lt;E380,"Invalid Shipping Record","Valid")</f>
        <v>Valid</v>
      </c>
      <c r="AV380" t="str">
        <f>IF(OR(AL380="Cancelled",AH380="Failed"),"Exclude","Include")</f>
        <v>Include</v>
      </c>
      <c r="AW380" t="str">
        <f t="shared" si="130"/>
        <v>Match</v>
      </c>
      <c r="AX380" t="str">
        <f t="shared" si="131"/>
        <v>Match</v>
      </c>
    </row>
    <row r="381" spans="1:50">
      <c r="A381" t="s">
        <v>1887</v>
      </c>
      <c r="B381">
        <f t="shared" si="132"/>
        <v>1</v>
      </c>
      <c r="C381" t="str">
        <f t="shared" si="120"/>
        <v/>
      </c>
      <c r="D381" s="3" t="s">
        <v>1888</v>
      </c>
      <c r="E381" s="7">
        <v>45554</v>
      </c>
      <c r="F381" s="3" t="s">
        <v>1889</v>
      </c>
      <c r="G381" s="7">
        <v>45558</v>
      </c>
      <c r="H381" s="7" t="str">
        <f t="shared" si="111"/>
        <v>Valid</v>
      </c>
      <c r="I381" s="9">
        <f t="shared" si="112"/>
        <v>4</v>
      </c>
      <c r="J381" s="9" t="str">
        <f t="shared" si="113"/>
        <v>Valid</v>
      </c>
      <c r="K381" t="s">
        <v>1890</v>
      </c>
      <c r="L381" t="s">
        <v>39</v>
      </c>
      <c r="M381" t="s">
        <v>39</v>
      </c>
      <c r="N381" t="s">
        <v>40</v>
      </c>
      <c r="O381" s="3" t="str">
        <f t="shared" si="114"/>
        <v>Small Business</v>
      </c>
      <c r="P381" t="s">
        <v>61</v>
      </c>
      <c r="Q381" s="3" t="str">
        <f t="shared" si="115"/>
        <v>South</v>
      </c>
      <c r="R381" t="s">
        <v>241</v>
      </c>
      <c r="S381" t="s">
        <v>242</v>
      </c>
      <c r="T381" t="s">
        <v>29</v>
      </c>
      <c r="U381" s="3" t="str">
        <f t="shared" si="116"/>
        <v>Office Supplies</v>
      </c>
      <c r="V381" t="s">
        <v>30</v>
      </c>
      <c r="W381" t="s">
        <v>1891</v>
      </c>
      <c r="X381" t="s">
        <v>66</v>
      </c>
      <c r="Y381" s="3" t="str">
        <f t="shared" si="117"/>
        <v>Standard Class</v>
      </c>
      <c r="Z381">
        <v>7</v>
      </c>
      <c r="AA381">
        <v>1136.68</v>
      </c>
      <c r="AC381">
        <f t="shared" si="118"/>
        <v>0</v>
      </c>
      <c r="AD381" t="str">
        <f t="shared" si="121"/>
        <v>Valid</v>
      </c>
      <c r="AE381">
        <v>7956.76</v>
      </c>
      <c r="AF381">
        <v>4799.54</v>
      </c>
      <c r="AG381">
        <v>3157.22</v>
      </c>
      <c r="AH381" t="s">
        <v>33</v>
      </c>
      <c r="AI381" t="str">
        <f t="shared" si="122"/>
        <v>Include</v>
      </c>
      <c r="AJ381" t="str">
        <f t="shared" si="123"/>
        <v/>
      </c>
      <c r="AK381" t="s">
        <v>34</v>
      </c>
      <c r="AL381" t="str">
        <f t="shared" si="119"/>
        <v>Completed</v>
      </c>
      <c r="AM381" t="str">
        <f t="shared" si="124"/>
        <v>Include</v>
      </c>
      <c r="AN381">
        <f t="shared" si="125"/>
        <v>7956.76</v>
      </c>
      <c r="AO381">
        <f t="shared" si="126"/>
        <v>3157.2200000000003</v>
      </c>
      <c r="AP381">
        <f>IF(AN381=0,0,AO381/AN381)</f>
        <v>0.39679718880549369</v>
      </c>
      <c r="AQ381" t="str">
        <f t="shared" si="127"/>
        <v>September</v>
      </c>
      <c r="AR381">
        <f t="shared" si="128"/>
        <v>2024</v>
      </c>
      <c r="AS381" t="str">
        <f t="shared" si="129"/>
        <v>Clean</v>
      </c>
      <c r="AT381" t="str">
        <f>IF(OR(AC381&lt;0,AC381&gt;0.5),"Invalid Discount","Valid")</f>
        <v>Valid</v>
      </c>
      <c r="AU381" t="str">
        <f>IF(G381&lt;E381,"Invalid Shipping Record","Valid")</f>
        <v>Valid</v>
      </c>
      <c r="AV381" t="str">
        <f>IF(OR(AL381="Cancelled",AH381="Failed"),"Exclude","Include")</f>
        <v>Include</v>
      </c>
      <c r="AW381" t="str">
        <f t="shared" si="130"/>
        <v>Match</v>
      </c>
      <c r="AX381" t="str">
        <f t="shared" si="131"/>
        <v>Match</v>
      </c>
    </row>
    <row r="382" spans="1:50">
      <c r="A382" t="s">
        <v>1892</v>
      </c>
      <c r="B382">
        <f t="shared" si="132"/>
        <v>1</v>
      </c>
      <c r="C382" t="str">
        <f t="shared" si="120"/>
        <v/>
      </c>
      <c r="D382" s="3" t="s">
        <v>1893</v>
      </c>
      <c r="E382" s="7">
        <v>45389</v>
      </c>
      <c r="F382" s="3" t="s">
        <v>1419</v>
      </c>
      <c r="G382" s="7">
        <v>45396</v>
      </c>
      <c r="H382" s="7" t="str">
        <f t="shared" si="111"/>
        <v>Valid</v>
      </c>
      <c r="I382" s="9">
        <f t="shared" si="112"/>
        <v>7</v>
      </c>
      <c r="J382" s="9" t="str">
        <f t="shared" si="113"/>
        <v>Valid</v>
      </c>
      <c r="K382" t="s">
        <v>1894</v>
      </c>
      <c r="L382" t="s">
        <v>82</v>
      </c>
      <c r="M382" t="s">
        <v>82</v>
      </c>
      <c r="N382" t="s">
        <v>25</v>
      </c>
      <c r="O382" s="3" t="str">
        <f t="shared" si="114"/>
        <v>Consumer</v>
      </c>
      <c r="P382" t="s">
        <v>72</v>
      </c>
      <c r="Q382" s="3" t="str">
        <f t="shared" si="115"/>
        <v>West</v>
      </c>
      <c r="R382" t="s">
        <v>73</v>
      </c>
      <c r="S382" t="s">
        <v>74</v>
      </c>
      <c r="T382" t="s">
        <v>44</v>
      </c>
      <c r="U382" s="3" t="str">
        <f t="shared" si="116"/>
        <v>Furniture</v>
      </c>
      <c r="V382" t="s">
        <v>203</v>
      </c>
      <c r="W382" t="s">
        <v>1895</v>
      </c>
      <c r="X382" t="s">
        <v>47</v>
      </c>
      <c r="Y382" s="3" t="str">
        <f t="shared" si="117"/>
        <v>Same Day</v>
      </c>
      <c r="Z382">
        <v>5</v>
      </c>
      <c r="AA382">
        <v>2235.85</v>
      </c>
      <c r="AB382">
        <v>0.25</v>
      </c>
      <c r="AC382">
        <f t="shared" si="118"/>
        <v>0.25</v>
      </c>
      <c r="AD382" t="str">
        <f t="shared" si="121"/>
        <v>Valid</v>
      </c>
      <c r="AE382">
        <v>8384.44</v>
      </c>
      <c r="AF382">
        <v>4765.96</v>
      </c>
      <c r="AG382">
        <v>3618.48</v>
      </c>
      <c r="AH382" t="s">
        <v>33</v>
      </c>
      <c r="AI382" t="str">
        <f t="shared" si="122"/>
        <v>Include</v>
      </c>
      <c r="AJ382" t="str">
        <f t="shared" si="123"/>
        <v/>
      </c>
      <c r="AK382" t="s">
        <v>124</v>
      </c>
      <c r="AL382" t="str">
        <f t="shared" si="119"/>
        <v>Returned</v>
      </c>
      <c r="AM382" t="str">
        <f t="shared" si="124"/>
        <v>Include</v>
      </c>
      <c r="AN382">
        <f t="shared" si="125"/>
        <v>8384.4375</v>
      </c>
      <c r="AO382">
        <f t="shared" si="126"/>
        <v>3618.4775</v>
      </c>
      <c r="AP382">
        <f>IF(AN382=0,0,AO382/AN382)</f>
        <v>0.43157069272685256</v>
      </c>
      <c r="AQ382" t="str">
        <f t="shared" si="127"/>
        <v>April</v>
      </c>
      <c r="AR382">
        <f t="shared" si="128"/>
        <v>2024</v>
      </c>
      <c r="AS382" t="str">
        <f t="shared" si="129"/>
        <v>Clean</v>
      </c>
      <c r="AT382" t="str">
        <f>IF(OR(AC382&lt;0,AC382&gt;0.5),"Invalid Discount","Valid")</f>
        <v>Valid</v>
      </c>
      <c r="AU382" t="str">
        <f>IF(G382&lt;E382,"Invalid Shipping Record","Valid")</f>
        <v>Valid</v>
      </c>
      <c r="AV382" t="str">
        <f>IF(OR(AL382="Cancelled",AH382="Failed"),"Exclude","Include")</f>
        <v>Include</v>
      </c>
      <c r="AW382" t="str">
        <f t="shared" si="130"/>
        <v>Match</v>
      </c>
      <c r="AX382" t="str">
        <f t="shared" si="131"/>
        <v>Match</v>
      </c>
    </row>
    <row r="383" spans="1:50">
      <c r="A383" t="s">
        <v>1896</v>
      </c>
      <c r="B383">
        <f t="shared" si="132"/>
        <v>1</v>
      </c>
      <c r="C383" t="str">
        <f t="shared" si="120"/>
        <v/>
      </c>
      <c r="D383" s="3" t="s">
        <v>1897</v>
      </c>
      <c r="E383" s="7">
        <v>45919</v>
      </c>
      <c r="F383" s="3" t="s">
        <v>1898</v>
      </c>
      <c r="G383" s="7">
        <v>45923</v>
      </c>
      <c r="H383" s="7" t="str">
        <f t="shared" si="111"/>
        <v>Valid</v>
      </c>
      <c r="I383" s="9">
        <f t="shared" si="112"/>
        <v>4</v>
      </c>
      <c r="J383" s="9" t="str">
        <f t="shared" si="113"/>
        <v>Valid</v>
      </c>
      <c r="K383" t="s">
        <v>1899</v>
      </c>
      <c r="L383" t="s">
        <v>60</v>
      </c>
      <c r="M383" t="s">
        <v>60</v>
      </c>
      <c r="N383" t="s">
        <v>1900</v>
      </c>
      <c r="O383" s="3" t="str">
        <f t="shared" si="114"/>
        <v>Home Office</v>
      </c>
      <c r="P383" t="s">
        <v>26</v>
      </c>
      <c r="Q383" s="3" t="str">
        <f t="shared" si="115"/>
        <v>North</v>
      </c>
      <c r="R383" t="s">
        <v>505</v>
      </c>
      <c r="S383" t="s">
        <v>506</v>
      </c>
      <c r="T383" t="s">
        <v>29</v>
      </c>
      <c r="U383" s="3" t="str">
        <f t="shared" si="116"/>
        <v>Office Supplies</v>
      </c>
      <c r="V383" t="s">
        <v>197</v>
      </c>
      <c r="W383" t="s">
        <v>1901</v>
      </c>
      <c r="X383" t="s">
        <v>66</v>
      </c>
      <c r="Y383" s="3" t="str">
        <f t="shared" si="117"/>
        <v>Standard Class</v>
      </c>
      <c r="Z383">
        <v>4</v>
      </c>
      <c r="AA383">
        <v>4387.1499999999996</v>
      </c>
      <c r="AB383">
        <v>0.05</v>
      </c>
      <c r="AC383">
        <f t="shared" si="118"/>
        <v>0.05</v>
      </c>
      <c r="AD383" t="str">
        <f t="shared" si="121"/>
        <v>Valid</v>
      </c>
      <c r="AE383">
        <v>16671.169999999998</v>
      </c>
      <c r="AF383">
        <v>10833.19</v>
      </c>
      <c r="AG383">
        <v>5837.98</v>
      </c>
      <c r="AH383" t="s">
        <v>199</v>
      </c>
      <c r="AI383" t="str">
        <f t="shared" si="122"/>
        <v>Exclude</v>
      </c>
      <c r="AJ383" t="str">
        <f t="shared" si="123"/>
        <v/>
      </c>
      <c r="AK383" t="s">
        <v>77</v>
      </c>
      <c r="AL383" t="str">
        <f t="shared" si="119"/>
        <v>Cancelled</v>
      </c>
      <c r="AM383" t="str">
        <f t="shared" si="124"/>
        <v>Exclude</v>
      </c>
      <c r="AN383">
        <f t="shared" si="125"/>
        <v>16671.169999999998</v>
      </c>
      <c r="AO383">
        <f t="shared" si="126"/>
        <v>5837.9799999999977</v>
      </c>
      <c r="AP383">
        <f>IF(AN383=0,0,AO383/AN383)</f>
        <v>0.35018418023450054</v>
      </c>
      <c r="AQ383" t="str">
        <f t="shared" si="127"/>
        <v>September</v>
      </c>
      <c r="AR383">
        <f t="shared" si="128"/>
        <v>2025</v>
      </c>
      <c r="AS383" t="str">
        <f t="shared" si="129"/>
        <v>Clean</v>
      </c>
      <c r="AT383" t="str">
        <f>IF(OR(AC383&lt;0,AC383&gt;0.5),"Invalid Discount","Valid")</f>
        <v>Valid</v>
      </c>
      <c r="AU383" t="str">
        <f>IF(G383&lt;E383,"Invalid Shipping Record","Valid")</f>
        <v>Valid</v>
      </c>
      <c r="AV383" t="str">
        <f>IF(OR(AL383="Cancelled",AH383="Failed"),"Exclude","Include")</f>
        <v>Exclude</v>
      </c>
      <c r="AW383" t="str">
        <f t="shared" si="130"/>
        <v>Match</v>
      </c>
      <c r="AX383" t="str">
        <f t="shared" si="131"/>
        <v>Match</v>
      </c>
    </row>
    <row r="384" spans="1:50">
      <c r="A384" t="s">
        <v>1902</v>
      </c>
      <c r="B384">
        <f t="shared" si="132"/>
        <v>1</v>
      </c>
      <c r="C384" t="str">
        <f t="shared" si="120"/>
        <v/>
      </c>
      <c r="D384" s="3" t="s">
        <v>1903</v>
      </c>
      <c r="E384" s="7">
        <v>45720</v>
      </c>
      <c r="F384" s="3" t="s">
        <v>554</v>
      </c>
      <c r="G384" s="7">
        <v>45724</v>
      </c>
      <c r="H384" s="7" t="str">
        <f t="shared" si="111"/>
        <v>Valid</v>
      </c>
      <c r="I384" s="9">
        <f t="shared" si="112"/>
        <v>4</v>
      </c>
      <c r="J384" s="9" t="str">
        <f t="shared" si="113"/>
        <v>Valid</v>
      </c>
      <c r="K384" t="s">
        <v>202</v>
      </c>
      <c r="L384" t="s">
        <v>60</v>
      </c>
      <c r="M384" t="s">
        <v>60</v>
      </c>
      <c r="N384" t="s">
        <v>40</v>
      </c>
      <c r="O384" s="3" t="str">
        <f t="shared" si="114"/>
        <v>Small Business</v>
      </c>
      <c r="P384" t="s">
        <v>41</v>
      </c>
      <c r="Q384" s="3" t="str">
        <f t="shared" si="115"/>
        <v>East</v>
      </c>
      <c r="R384" t="s">
        <v>185</v>
      </c>
      <c r="S384" t="s">
        <v>186</v>
      </c>
      <c r="T384" t="s">
        <v>1904</v>
      </c>
      <c r="U384" s="3" t="str">
        <f t="shared" si="116"/>
        <v>Technology</v>
      </c>
      <c r="V384" t="s">
        <v>222</v>
      </c>
      <c r="W384" t="s">
        <v>1905</v>
      </c>
      <c r="X384" t="s">
        <v>55</v>
      </c>
      <c r="Y384" s="3" t="str">
        <f t="shared" si="117"/>
        <v>First Class</v>
      </c>
      <c r="Z384">
        <v>3</v>
      </c>
      <c r="AA384">
        <v>4361.8500000000004</v>
      </c>
      <c r="AB384">
        <v>0.2</v>
      </c>
      <c r="AC384">
        <f t="shared" si="118"/>
        <v>0.2</v>
      </c>
      <c r="AD384" t="str">
        <f t="shared" si="121"/>
        <v>Valid</v>
      </c>
      <c r="AE384">
        <v>10468.44</v>
      </c>
      <c r="AF384">
        <v>8399.8700000000008</v>
      </c>
      <c r="AG384">
        <v>2068.5700000000002</v>
      </c>
      <c r="AH384" t="s">
        <v>33</v>
      </c>
      <c r="AI384" t="str">
        <f t="shared" si="122"/>
        <v>Include</v>
      </c>
      <c r="AJ384" t="str">
        <f t="shared" si="123"/>
        <v/>
      </c>
      <c r="AK384" t="s">
        <v>34</v>
      </c>
      <c r="AL384" t="str">
        <f t="shared" si="119"/>
        <v>Completed</v>
      </c>
      <c r="AM384" t="str">
        <f t="shared" si="124"/>
        <v>Include</v>
      </c>
      <c r="AN384">
        <f t="shared" si="125"/>
        <v>10468.440000000002</v>
      </c>
      <c r="AO384">
        <f t="shared" si="126"/>
        <v>2068.5700000000015</v>
      </c>
      <c r="AP384">
        <f>IF(AN384=0,0,AO384/AN384)</f>
        <v>0.19760059760575607</v>
      </c>
      <c r="AQ384" t="str">
        <f t="shared" si="127"/>
        <v>March</v>
      </c>
      <c r="AR384">
        <f t="shared" si="128"/>
        <v>2025</v>
      </c>
      <c r="AS384" t="str">
        <f t="shared" si="129"/>
        <v>Clean</v>
      </c>
      <c r="AT384" t="str">
        <f>IF(OR(AC384&lt;0,AC384&gt;0.5),"Invalid Discount","Valid")</f>
        <v>Valid</v>
      </c>
      <c r="AU384" t="str">
        <f>IF(G384&lt;E384,"Invalid Shipping Record","Valid")</f>
        <v>Valid</v>
      </c>
      <c r="AV384" t="str">
        <f>IF(OR(AL384="Cancelled",AH384="Failed"),"Exclude","Include")</f>
        <v>Include</v>
      </c>
      <c r="AW384" t="str">
        <f t="shared" si="130"/>
        <v>Match</v>
      </c>
      <c r="AX384" t="str">
        <f t="shared" si="131"/>
        <v>Match</v>
      </c>
    </row>
    <row r="385" spans="1:50">
      <c r="A385" t="s">
        <v>1906</v>
      </c>
      <c r="B385">
        <f t="shared" si="132"/>
        <v>1</v>
      </c>
      <c r="C385" t="str">
        <f t="shared" si="120"/>
        <v/>
      </c>
      <c r="D385" s="3" t="s">
        <v>1516</v>
      </c>
      <c r="E385" s="7">
        <v>45836</v>
      </c>
      <c r="F385" s="3" t="s">
        <v>1074</v>
      </c>
      <c r="G385" s="7">
        <v>45843</v>
      </c>
      <c r="H385" s="7" t="str">
        <f t="shared" si="111"/>
        <v>Valid</v>
      </c>
      <c r="I385" s="9">
        <f t="shared" si="112"/>
        <v>7</v>
      </c>
      <c r="J385" s="9" t="str">
        <f t="shared" si="113"/>
        <v>Valid</v>
      </c>
      <c r="K385" t="s">
        <v>1907</v>
      </c>
      <c r="L385" t="s">
        <v>82</v>
      </c>
      <c r="M385" t="s">
        <v>82</v>
      </c>
      <c r="N385" t="s">
        <v>107</v>
      </c>
      <c r="O385" s="3" t="str">
        <f t="shared" si="114"/>
        <v>Corporate</v>
      </c>
      <c r="P385" t="s">
        <v>41</v>
      </c>
      <c r="Q385" s="3" t="str">
        <f t="shared" si="115"/>
        <v>East</v>
      </c>
      <c r="R385" t="s">
        <v>120</v>
      </c>
      <c r="S385" t="s">
        <v>121</v>
      </c>
      <c r="T385" t="s">
        <v>29</v>
      </c>
      <c r="U385" s="3" t="str">
        <f t="shared" si="116"/>
        <v>Office Supplies</v>
      </c>
      <c r="V385" t="s">
        <v>53</v>
      </c>
      <c r="W385" t="s">
        <v>1908</v>
      </c>
      <c r="X385" t="s">
        <v>55</v>
      </c>
      <c r="Y385" s="3" t="str">
        <f t="shared" si="117"/>
        <v>First Class</v>
      </c>
      <c r="Z385">
        <v>2</v>
      </c>
      <c r="AA385">
        <v>2242.75</v>
      </c>
      <c r="AB385">
        <v>0</v>
      </c>
      <c r="AC385">
        <f t="shared" si="118"/>
        <v>0</v>
      </c>
      <c r="AD385" t="str">
        <f t="shared" si="121"/>
        <v>Valid</v>
      </c>
      <c r="AE385">
        <v>4485.5</v>
      </c>
      <c r="AF385">
        <v>3131.86</v>
      </c>
      <c r="AG385">
        <v>1353.64</v>
      </c>
      <c r="AH385" t="s">
        <v>33</v>
      </c>
      <c r="AI385" t="str">
        <f t="shared" si="122"/>
        <v>Exclude</v>
      </c>
      <c r="AJ385" t="str">
        <f t="shared" si="123"/>
        <v/>
      </c>
      <c r="AK385" t="s">
        <v>77</v>
      </c>
      <c r="AL385" t="str">
        <f t="shared" si="119"/>
        <v>Cancelled</v>
      </c>
      <c r="AM385" t="str">
        <f t="shared" si="124"/>
        <v>Exclude</v>
      </c>
      <c r="AN385">
        <f t="shared" si="125"/>
        <v>4485.5</v>
      </c>
      <c r="AO385">
        <f t="shared" si="126"/>
        <v>1353.6399999999999</v>
      </c>
      <c r="AP385">
        <f>IF(AN385=0,0,AO385/AN385)</f>
        <v>0.30178129528480657</v>
      </c>
      <c r="AQ385" t="str">
        <f t="shared" si="127"/>
        <v>June</v>
      </c>
      <c r="AR385">
        <f t="shared" si="128"/>
        <v>2025</v>
      </c>
      <c r="AS385" t="str">
        <f t="shared" si="129"/>
        <v>Clean</v>
      </c>
      <c r="AT385" t="str">
        <f>IF(OR(AC385&lt;0,AC385&gt;0.5),"Invalid Discount","Valid")</f>
        <v>Valid</v>
      </c>
      <c r="AU385" t="str">
        <f>IF(G385&lt;E385,"Invalid Shipping Record","Valid")</f>
        <v>Valid</v>
      </c>
      <c r="AV385" t="str">
        <f>IF(OR(AL385="Cancelled",AH385="Failed"),"Exclude","Include")</f>
        <v>Exclude</v>
      </c>
      <c r="AW385" t="str">
        <f t="shared" si="130"/>
        <v>Match</v>
      </c>
      <c r="AX385" t="str">
        <f t="shared" si="131"/>
        <v>Match</v>
      </c>
    </row>
    <row r="386" spans="1:50">
      <c r="A386" t="s">
        <v>1909</v>
      </c>
      <c r="B386">
        <f t="shared" si="132"/>
        <v>1</v>
      </c>
      <c r="C386" t="str">
        <f t="shared" si="120"/>
        <v/>
      </c>
      <c r="D386" s="3" t="s">
        <v>1910</v>
      </c>
      <c r="E386" s="7">
        <v>45366</v>
      </c>
      <c r="F386" s="3" t="s">
        <v>1911</v>
      </c>
      <c r="G386" s="7">
        <v>45371</v>
      </c>
      <c r="H386" s="7" t="str">
        <f t="shared" ref="H386:H449" si="133">IF(G386&lt;E386,"Invalid Shipping Record","Valid")</f>
        <v>Valid</v>
      </c>
      <c r="I386" s="9">
        <f t="shared" ref="I386:I449" si="134">G386-E386</f>
        <v>5</v>
      </c>
      <c r="J386" s="9" t="str">
        <f t="shared" ref="J386:J449" si="135">IF(OR(E386="",G386=""),"Missing Date",IF(OR(NOT(ISNUMBER(E386)),NOT(ISNUMBER(G386))),"Invalid Date",IF(G386&lt;E386,"Invalid Shipping Record","Valid")))</f>
        <v>Valid</v>
      </c>
      <c r="K386" t="s">
        <v>1912</v>
      </c>
      <c r="L386" t="s">
        <v>179</v>
      </c>
      <c r="M386" t="s">
        <v>179</v>
      </c>
      <c r="N386" t="s">
        <v>25</v>
      </c>
      <c r="O386" s="3" t="str">
        <f t="shared" ref="O386:O449" si="136">PROPER(TRIM(N386))</f>
        <v>Consumer</v>
      </c>
      <c r="P386" t="s">
        <v>41</v>
      </c>
      <c r="Q386" s="3" t="str">
        <f t="shared" ref="Q386:Q449" si="137">IF(TRIM(P386)="","Unknown",PROPER(TRIM(P386)))</f>
        <v>East</v>
      </c>
      <c r="R386" t="s">
        <v>310</v>
      </c>
      <c r="S386" t="s">
        <v>311</v>
      </c>
      <c r="T386" t="s">
        <v>85</v>
      </c>
      <c r="U386" s="3" t="str">
        <f t="shared" ref="U386:U449" si="138">PROPER(TRIM(T386))</f>
        <v>Technology</v>
      </c>
      <c r="V386" t="s">
        <v>93</v>
      </c>
      <c r="W386" t="s">
        <v>1913</v>
      </c>
      <c r="X386" t="s">
        <v>66</v>
      </c>
      <c r="Y386" s="3" t="str">
        <f t="shared" ref="Y386:Y449" si="139">IF(TRIM(X386)="","Unknown",PROPER(TRIM(X386)))</f>
        <v>Standard Class</v>
      </c>
      <c r="Z386">
        <v>2</v>
      </c>
      <c r="AA386">
        <v>1881.4</v>
      </c>
      <c r="AB386">
        <v>0.25</v>
      </c>
      <c r="AC386">
        <f t="shared" ref="AC386:AC449" si="140">IF(AND(AB386=" ",Z386=" ",AA386=" ",AF386=" "),0,AB386)</f>
        <v>0.25</v>
      </c>
      <c r="AD386" t="str">
        <f t="shared" si="121"/>
        <v>Valid</v>
      </c>
      <c r="AE386">
        <v>2822.1</v>
      </c>
      <c r="AF386">
        <v>1624.57</v>
      </c>
      <c r="AG386">
        <v>1197.53</v>
      </c>
      <c r="AH386" t="s">
        <v>33</v>
      </c>
      <c r="AI386" t="str">
        <f t="shared" si="122"/>
        <v>Include</v>
      </c>
      <c r="AJ386" t="str">
        <f t="shared" si="123"/>
        <v/>
      </c>
      <c r="AK386" t="s">
        <v>124</v>
      </c>
      <c r="AL386" t="str">
        <f t="shared" ref="AL386:AL449" si="141">PROPER(TRIM(AK386))</f>
        <v>Returned</v>
      </c>
      <c r="AM386" t="str">
        <f t="shared" si="124"/>
        <v>Include</v>
      </c>
      <c r="AN386">
        <f t="shared" si="125"/>
        <v>2822.1000000000004</v>
      </c>
      <c r="AO386">
        <f t="shared" si="126"/>
        <v>1197.5300000000004</v>
      </c>
      <c r="AP386">
        <f>IF(AN386=0,0,AO386/AN386)</f>
        <v>0.42434003047376079</v>
      </c>
      <c r="AQ386" t="str">
        <f t="shared" si="127"/>
        <v>March</v>
      </c>
      <c r="AR386">
        <f t="shared" si="128"/>
        <v>2024</v>
      </c>
      <c r="AS386" t="str">
        <f t="shared" si="129"/>
        <v>Clean</v>
      </c>
      <c r="AT386" t="str">
        <f>IF(OR(AC386&lt;0,AC386&gt;0.5),"Invalid Discount","Valid")</f>
        <v>Valid</v>
      </c>
      <c r="AU386" t="str">
        <f>IF(G386&lt;E386,"Invalid Shipping Record","Valid")</f>
        <v>Valid</v>
      </c>
      <c r="AV386" t="str">
        <f>IF(OR(AL386="Cancelled",AH386="Failed"),"Exclude","Include")</f>
        <v>Include</v>
      </c>
      <c r="AW386" t="str">
        <f t="shared" si="130"/>
        <v>Match</v>
      </c>
      <c r="AX386" t="str">
        <f t="shared" si="131"/>
        <v>Match</v>
      </c>
    </row>
    <row r="387" spans="1:50">
      <c r="A387" t="s">
        <v>1914</v>
      </c>
      <c r="B387">
        <f t="shared" si="132"/>
        <v>1</v>
      </c>
      <c r="C387" t="str">
        <f t="shared" ref="C387:C450" si="142">IF(B387&gt;1,"Review Required","")</f>
        <v/>
      </c>
      <c r="D387" s="3" t="s">
        <v>995</v>
      </c>
      <c r="E387" s="7">
        <v>45832</v>
      </c>
      <c r="F387" s="3" t="s">
        <v>1915</v>
      </c>
      <c r="G387" s="7">
        <v>45838</v>
      </c>
      <c r="H387" s="7" t="str">
        <f t="shared" si="133"/>
        <v>Valid</v>
      </c>
      <c r="I387" s="9">
        <f t="shared" si="134"/>
        <v>6</v>
      </c>
      <c r="J387" s="9" t="str">
        <f t="shared" si="135"/>
        <v>Valid</v>
      </c>
      <c r="K387" t="s">
        <v>1916</v>
      </c>
      <c r="L387" t="s">
        <v>60</v>
      </c>
      <c r="M387" t="s">
        <v>60</v>
      </c>
      <c r="N387" t="s">
        <v>25</v>
      </c>
      <c r="O387" s="3" t="str">
        <f t="shared" si="136"/>
        <v>Consumer</v>
      </c>
      <c r="P387" t="s">
        <v>26</v>
      </c>
      <c r="Q387" s="3" t="str">
        <f t="shared" si="137"/>
        <v>North</v>
      </c>
      <c r="R387" t="s">
        <v>322</v>
      </c>
      <c r="S387" t="s">
        <v>323</v>
      </c>
      <c r="T387" t="s">
        <v>29</v>
      </c>
      <c r="U387" s="3" t="str">
        <f t="shared" si="138"/>
        <v>Office Supplies</v>
      </c>
      <c r="V387" t="s">
        <v>108</v>
      </c>
      <c r="W387" t="s">
        <v>1917</v>
      </c>
      <c r="X387" t="s">
        <v>66</v>
      </c>
      <c r="Y387" s="3" t="str">
        <f t="shared" si="139"/>
        <v>Standard Class</v>
      </c>
      <c r="Z387">
        <v>6</v>
      </c>
      <c r="AA387">
        <v>365.76</v>
      </c>
      <c r="AB387">
        <v>0.1</v>
      </c>
      <c r="AC387">
        <f t="shared" si="140"/>
        <v>0.1</v>
      </c>
      <c r="AD387" t="str">
        <f t="shared" ref="AD387:AD450" si="143">IF(AC387&lt;0,"Invalid Discount","Valid")</f>
        <v>Valid</v>
      </c>
      <c r="AE387">
        <v>1975.1</v>
      </c>
      <c r="AF387">
        <v>1115.3499999999999</v>
      </c>
      <c r="AG387">
        <v>859.75</v>
      </c>
      <c r="AH387" t="s">
        <v>33</v>
      </c>
      <c r="AI387" t="str">
        <f t="shared" ref="AI387:AI450" si="144">IF(OR(AH387="Failed",AL387="Cancelled"),"Exclude","Include")</f>
        <v>Include</v>
      </c>
      <c r="AJ387" t="str">
        <f t="shared" ref="AJ387:AJ450" si="145">IF(AH387="Refunded","Refunded Order","")</f>
        <v/>
      </c>
      <c r="AK387" t="s">
        <v>34</v>
      </c>
      <c r="AL387" t="str">
        <f t="shared" si="141"/>
        <v>Completed</v>
      </c>
      <c r="AM387" t="str">
        <f t="shared" ref="AM387:AM450" si="146">IF(AL387="Cancelled","Exclude","Include")</f>
        <v>Include</v>
      </c>
      <c r="AN387">
        <f t="shared" ref="AN387:AN450" si="147">Z387*AA387*(1-AC387)</f>
        <v>1975.104</v>
      </c>
      <c r="AO387">
        <f t="shared" ref="AO387:AO450" si="148">AN387-AF387</f>
        <v>859.75400000000013</v>
      </c>
      <c r="AP387">
        <f>IF(AN387=0,0,AO387/AN387)</f>
        <v>0.4352955591199249</v>
      </c>
      <c r="AQ387" t="str">
        <f t="shared" ref="AQ387:AQ450" si="149">TEXT(E387,"mmmm")</f>
        <v>June</v>
      </c>
      <c r="AR387">
        <f t="shared" ref="AR387:AR450" si="150">YEAR(E387)</f>
        <v>2025</v>
      </c>
      <c r="AS387" t="str">
        <f t="shared" ref="AS387:AS450" si="151">IF(OR(AC387&lt;0,AC387&gt;1,G387&lt;E387),"Invalid",IF(OR(Q387="Unknown",Y387="Unknown"),"Warning","Clean"))</f>
        <v>Clean</v>
      </c>
      <c r="AT387" t="str">
        <f>IF(OR(AC387&lt;0,AC387&gt;0.5),"Invalid Discount","Valid")</f>
        <v>Valid</v>
      </c>
      <c r="AU387" t="str">
        <f>IF(G387&lt;E387,"Invalid Shipping Record","Valid")</f>
        <v>Valid</v>
      </c>
      <c r="AV387" t="str">
        <f>IF(OR(AL387="Cancelled",AH387="Failed"),"Exclude","Include")</f>
        <v>Include</v>
      </c>
      <c r="AW387" t="str">
        <f t="shared" ref="AW387:AW450" si="152">IF(ROUND(AE387,2)=ROUND(AN387,2),"Match","Mismatch")</f>
        <v>Match</v>
      </c>
      <c r="AX387" t="str">
        <f t="shared" ref="AX387:AX450" si="153">IF(ROUND(AG387,2)=ROUND(AO387,2),"Match","Mismatch")</f>
        <v>Match</v>
      </c>
    </row>
    <row r="388" spans="1:50">
      <c r="A388" t="s">
        <v>1918</v>
      </c>
      <c r="B388">
        <f t="shared" si="132"/>
        <v>1</v>
      </c>
      <c r="C388" t="str">
        <f t="shared" si="142"/>
        <v/>
      </c>
      <c r="D388" s="3" t="s">
        <v>1396</v>
      </c>
      <c r="E388" s="7">
        <v>45700</v>
      </c>
      <c r="F388" s="3" t="s">
        <v>1919</v>
      </c>
      <c r="G388" s="7">
        <v>45702</v>
      </c>
      <c r="H388" s="7" t="str">
        <f t="shared" si="133"/>
        <v>Valid</v>
      </c>
      <c r="I388" s="9">
        <f t="shared" si="134"/>
        <v>2</v>
      </c>
      <c r="J388" s="9" t="str">
        <f t="shared" si="135"/>
        <v>Valid</v>
      </c>
      <c r="K388" t="s">
        <v>1920</v>
      </c>
      <c r="L388" t="s">
        <v>167</v>
      </c>
      <c r="M388" t="s">
        <v>167</v>
      </c>
      <c r="N388" t="s">
        <v>25</v>
      </c>
      <c r="O388" s="3" t="str">
        <f t="shared" si="136"/>
        <v>Consumer</v>
      </c>
      <c r="P388" t="s">
        <v>72</v>
      </c>
      <c r="Q388" s="3" t="str">
        <f t="shared" si="137"/>
        <v>West</v>
      </c>
      <c r="R388" t="s">
        <v>73</v>
      </c>
      <c r="S388" t="s">
        <v>74</v>
      </c>
      <c r="T388" t="s">
        <v>44</v>
      </c>
      <c r="U388" s="3" t="str">
        <f t="shared" si="138"/>
        <v>Furniture</v>
      </c>
      <c r="V388" t="s">
        <v>64</v>
      </c>
      <c r="W388" t="s">
        <v>1921</v>
      </c>
      <c r="X388" t="s">
        <v>32</v>
      </c>
      <c r="Y388" s="3" t="str">
        <f t="shared" si="139"/>
        <v>Second Class</v>
      </c>
      <c r="Z388">
        <v>8</v>
      </c>
      <c r="AA388">
        <v>2786.66</v>
      </c>
      <c r="AB388">
        <v>0.1</v>
      </c>
      <c r="AC388">
        <f t="shared" si="140"/>
        <v>0.1</v>
      </c>
      <c r="AD388" t="str">
        <f t="shared" si="143"/>
        <v>Valid</v>
      </c>
      <c r="AE388">
        <v>20063.95</v>
      </c>
      <c r="AF388">
        <v>14363.38</v>
      </c>
      <c r="AG388">
        <v>5700.57</v>
      </c>
      <c r="AH388" t="s">
        <v>33</v>
      </c>
      <c r="AI388" t="str">
        <f t="shared" si="144"/>
        <v>Include</v>
      </c>
      <c r="AJ388" t="str">
        <f t="shared" si="145"/>
        <v/>
      </c>
      <c r="AK388" t="s">
        <v>34</v>
      </c>
      <c r="AL388" t="str">
        <f t="shared" si="141"/>
        <v>Completed</v>
      </c>
      <c r="AM388" t="str">
        <f t="shared" si="146"/>
        <v>Include</v>
      </c>
      <c r="AN388">
        <f t="shared" si="147"/>
        <v>20063.952000000001</v>
      </c>
      <c r="AO388">
        <f t="shared" si="148"/>
        <v>5700.5720000000019</v>
      </c>
      <c r="AP388">
        <f>IF(AN388=0,0,AO388/AN388)</f>
        <v>0.2841200975759911</v>
      </c>
      <c r="AQ388" t="str">
        <f t="shared" si="149"/>
        <v>February</v>
      </c>
      <c r="AR388">
        <f t="shared" si="150"/>
        <v>2025</v>
      </c>
      <c r="AS388" t="str">
        <f t="shared" si="151"/>
        <v>Clean</v>
      </c>
      <c r="AT388" t="str">
        <f>IF(OR(AC388&lt;0,AC388&gt;0.5),"Invalid Discount","Valid")</f>
        <v>Valid</v>
      </c>
      <c r="AU388" t="str">
        <f>IF(G388&lt;E388,"Invalid Shipping Record","Valid")</f>
        <v>Valid</v>
      </c>
      <c r="AV388" t="str">
        <f>IF(OR(AL388="Cancelled",AH388="Failed"),"Exclude","Include")</f>
        <v>Include</v>
      </c>
      <c r="AW388" t="str">
        <f t="shared" si="152"/>
        <v>Match</v>
      </c>
      <c r="AX388" t="str">
        <f t="shared" si="153"/>
        <v>Match</v>
      </c>
    </row>
    <row r="389" spans="1:50">
      <c r="A389" t="s">
        <v>1922</v>
      </c>
      <c r="B389">
        <f t="shared" si="132"/>
        <v>1</v>
      </c>
      <c r="C389" t="str">
        <f t="shared" si="142"/>
        <v/>
      </c>
      <c r="D389" s="3" t="s">
        <v>943</v>
      </c>
      <c r="E389" s="7">
        <v>45879</v>
      </c>
      <c r="F389" s="3" t="s">
        <v>1117</v>
      </c>
      <c r="G389" s="7">
        <v>45882</v>
      </c>
      <c r="H389" s="7" t="str">
        <f t="shared" si="133"/>
        <v>Valid</v>
      </c>
      <c r="I389" s="9">
        <f t="shared" si="134"/>
        <v>3</v>
      </c>
      <c r="J389" s="9" t="str">
        <f t="shared" si="135"/>
        <v>Valid</v>
      </c>
      <c r="K389" t="s">
        <v>1923</v>
      </c>
      <c r="L389" t="s">
        <v>141</v>
      </c>
      <c r="M389" t="s">
        <v>141</v>
      </c>
      <c r="N389" t="s">
        <v>40</v>
      </c>
      <c r="O389" s="3" t="str">
        <f t="shared" si="136"/>
        <v>Small Business</v>
      </c>
      <c r="P389" t="s">
        <v>72</v>
      </c>
      <c r="Q389" s="3" t="str">
        <f t="shared" si="137"/>
        <v>West</v>
      </c>
      <c r="R389" t="s">
        <v>83</v>
      </c>
      <c r="S389" t="s">
        <v>84</v>
      </c>
      <c r="T389" t="s">
        <v>44</v>
      </c>
      <c r="U389" s="3" t="str">
        <f t="shared" si="138"/>
        <v>Furniture</v>
      </c>
      <c r="V389" t="s">
        <v>75</v>
      </c>
      <c r="W389" t="s">
        <v>1924</v>
      </c>
      <c r="X389" t="s">
        <v>66</v>
      </c>
      <c r="Y389" s="3" t="str">
        <f t="shared" si="139"/>
        <v>Standard Class</v>
      </c>
      <c r="Z389">
        <v>5</v>
      </c>
      <c r="AA389">
        <v>352.86</v>
      </c>
      <c r="AB389">
        <v>0</v>
      </c>
      <c r="AC389">
        <f t="shared" si="140"/>
        <v>0</v>
      </c>
      <c r="AD389" t="str">
        <f t="shared" si="143"/>
        <v>Valid</v>
      </c>
      <c r="AE389">
        <v>1764.3</v>
      </c>
      <c r="AF389">
        <v>1332.49</v>
      </c>
      <c r="AG389">
        <v>431.81</v>
      </c>
      <c r="AH389" t="s">
        <v>136</v>
      </c>
      <c r="AI389" t="str">
        <f t="shared" si="144"/>
        <v>Exclude</v>
      </c>
      <c r="AJ389" t="str">
        <f t="shared" si="145"/>
        <v/>
      </c>
      <c r="AK389" t="s">
        <v>77</v>
      </c>
      <c r="AL389" t="str">
        <f t="shared" si="141"/>
        <v>Cancelled</v>
      </c>
      <c r="AM389" t="str">
        <f t="shared" si="146"/>
        <v>Exclude</v>
      </c>
      <c r="AN389">
        <f t="shared" si="147"/>
        <v>1764.3000000000002</v>
      </c>
      <c r="AO389">
        <f t="shared" si="148"/>
        <v>431.81000000000017</v>
      </c>
      <c r="AP389">
        <f>IF(AN389=0,0,AO389/AN389)</f>
        <v>0.24474862551720236</v>
      </c>
      <c r="AQ389" t="str">
        <f t="shared" si="149"/>
        <v>August</v>
      </c>
      <c r="AR389">
        <f t="shared" si="150"/>
        <v>2025</v>
      </c>
      <c r="AS389" t="str">
        <f t="shared" si="151"/>
        <v>Clean</v>
      </c>
      <c r="AT389" t="str">
        <f>IF(OR(AC389&lt;0,AC389&gt;0.5),"Invalid Discount","Valid")</f>
        <v>Valid</v>
      </c>
      <c r="AU389" t="str">
        <f>IF(G389&lt;E389,"Invalid Shipping Record","Valid")</f>
        <v>Valid</v>
      </c>
      <c r="AV389" t="str">
        <f>IF(OR(AL389="Cancelled",AH389="Failed"),"Exclude","Include")</f>
        <v>Exclude</v>
      </c>
      <c r="AW389" t="str">
        <f t="shared" si="152"/>
        <v>Match</v>
      </c>
      <c r="AX389" t="str">
        <f t="shared" si="153"/>
        <v>Match</v>
      </c>
    </row>
    <row r="390" spans="1:50">
      <c r="A390" t="s">
        <v>1925</v>
      </c>
      <c r="B390">
        <f t="shared" si="132"/>
        <v>1</v>
      </c>
      <c r="C390" t="str">
        <f t="shared" si="142"/>
        <v/>
      </c>
      <c r="D390" s="3" t="s">
        <v>1926</v>
      </c>
      <c r="E390" s="7">
        <v>45425</v>
      </c>
      <c r="F390" s="3" t="s">
        <v>1927</v>
      </c>
      <c r="G390" s="7">
        <v>45430</v>
      </c>
      <c r="H390" s="7" t="str">
        <f t="shared" si="133"/>
        <v>Valid</v>
      </c>
      <c r="I390" s="9">
        <f t="shared" si="134"/>
        <v>5</v>
      </c>
      <c r="J390" s="9" t="str">
        <f t="shared" si="135"/>
        <v>Valid</v>
      </c>
      <c r="K390" t="s">
        <v>1928</v>
      </c>
      <c r="L390" t="s">
        <v>52</v>
      </c>
      <c r="M390" t="s">
        <v>52</v>
      </c>
      <c r="N390" t="s">
        <v>40</v>
      </c>
      <c r="O390" s="3" t="str">
        <f t="shared" si="136"/>
        <v>Small Business</v>
      </c>
      <c r="P390" t="s">
        <v>72</v>
      </c>
      <c r="Q390" s="3" t="str">
        <f t="shared" si="137"/>
        <v>West</v>
      </c>
      <c r="R390" t="s">
        <v>234</v>
      </c>
      <c r="S390" t="s">
        <v>235</v>
      </c>
      <c r="T390" t="s">
        <v>44</v>
      </c>
      <c r="U390" s="3" t="str">
        <f t="shared" si="138"/>
        <v>Furniture</v>
      </c>
      <c r="V390" t="s">
        <v>75</v>
      </c>
      <c r="W390" t="s">
        <v>1929</v>
      </c>
      <c r="X390" t="s">
        <v>66</v>
      </c>
      <c r="Y390" s="3" t="str">
        <f t="shared" si="139"/>
        <v>Standard Class</v>
      </c>
      <c r="Z390">
        <v>3</v>
      </c>
      <c r="AA390">
        <v>3128.59</v>
      </c>
      <c r="AB390">
        <v>0</v>
      </c>
      <c r="AC390">
        <f t="shared" si="140"/>
        <v>0</v>
      </c>
      <c r="AD390" t="str">
        <f t="shared" si="143"/>
        <v>Valid</v>
      </c>
      <c r="AE390">
        <v>9385.77</v>
      </c>
      <c r="AF390">
        <v>6872.44</v>
      </c>
      <c r="AG390">
        <v>2783.66</v>
      </c>
      <c r="AH390" t="s">
        <v>33</v>
      </c>
      <c r="AI390" t="str">
        <f t="shared" si="144"/>
        <v>Include</v>
      </c>
      <c r="AJ390" t="str">
        <f t="shared" si="145"/>
        <v/>
      </c>
      <c r="AK390" t="s">
        <v>34</v>
      </c>
      <c r="AL390" t="str">
        <f t="shared" si="141"/>
        <v>Completed</v>
      </c>
      <c r="AM390" t="str">
        <f t="shared" si="146"/>
        <v>Include</v>
      </c>
      <c r="AN390">
        <f t="shared" si="147"/>
        <v>9385.77</v>
      </c>
      <c r="AO390">
        <f t="shared" si="148"/>
        <v>2513.3300000000008</v>
      </c>
      <c r="AP390">
        <f>IF(AN390=0,0,AO390/AN390)</f>
        <v>0.26778090662779941</v>
      </c>
      <c r="AQ390" t="str">
        <f t="shared" si="149"/>
        <v>May</v>
      </c>
      <c r="AR390">
        <f t="shared" si="150"/>
        <v>2024</v>
      </c>
      <c r="AS390" t="str">
        <f t="shared" si="151"/>
        <v>Clean</v>
      </c>
      <c r="AT390" t="str">
        <f>IF(OR(AC390&lt;0,AC390&gt;0.5),"Invalid Discount","Valid")</f>
        <v>Valid</v>
      </c>
      <c r="AU390" t="str">
        <f>IF(G390&lt;E390,"Invalid Shipping Record","Valid")</f>
        <v>Valid</v>
      </c>
      <c r="AV390" t="str">
        <f>IF(OR(AL390="Cancelled",AH390="Failed"),"Exclude","Include")</f>
        <v>Include</v>
      </c>
      <c r="AW390" t="str">
        <f t="shared" si="152"/>
        <v>Match</v>
      </c>
      <c r="AX390" t="str">
        <f t="shared" si="153"/>
        <v>Mismatch</v>
      </c>
    </row>
    <row r="391" spans="1:50">
      <c r="A391" t="s">
        <v>1930</v>
      </c>
      <c r="B391">
        <f t="shared" si="132"/>
        <v>1</v>
      </c>
      <c r="C391" t="str">
        <f t="shared" si="142"/>
        <v/>
      </c>
      <c r="D391" s="3" t="s">
        <v>1931</v>
      </c>
      <c r="E391" s="7">
        <v>45387</v>
      </c>
      <c r="F391" s="3" t="s">
        <v>348</v>
      </c>
      <c r="G391" s="7">
        <v>45395</v>
      </c>
      <c r="H391" s="7" t="str">
        <f t="shared" si="133"/>
        <v>Valid</v>
      </c>
      <c r="I391" s="9">
        <f t="shared" si="134"/>
        <v>8</v>
      </c>
      <c r="J391" s="9" t="str">
        <f t="shared" si="135"/>
        <v>Valid</v>
      </c>
      <c r="K391" t="s">
        <v>1932</v>
      </c>
      <c r="L391" t="s">
        <v>209</v>
      </c>
      <c r="M391" t="s">
        <v>209</v>
      </c>
      <c r="N391" t="s">
        <v>107</v>
      </c>
      <c r="O391" s="3" t="str">
        <f t="shared" si="136"/>
        <v>Corporate</v>
      </c>
      <c r="P391" t="s">
        <v>72</v>
      </c>
      <c r="Q391" s="3" t="str">
        <f t="shared" si="137"/>
        <v>West</v>
      </c>
      <c r="R391" t="s">
        <v>234</v>
      </c>
      <c r="S391" t="s">
        <v>235</v>
      </c>
      <c r="T391" t="s">
        <v>85</v>
      </c>
      <c r="U391" s="3" t="str">
        <f t="shared" si="138"/>
        <v>Technology</v>
      </c>
      <c r="V391" t="s">
        <v>381</v>
      </c>
      <c r="W391" t="s">
        <v>1933</v>
      </c>
      <c r="X391" t="s">
        <v>32</v>
      </c>
      <c r="Y391" s="3" t="str">
        <f t="shared" si="139"/>
        <v>Second Class</v>
      </c>
      <c r="Z391">
        <v>5</v>
      </c>
      <c r="AA391">
        <v>1937.54</v>
      </c>
      <c r="AB391">
        <v>0.2</v>
      </c>
      <c r="AC391">
        <f t="shared" si="140"/>
        <v>0.2</v>
      </c>
      <c r="AD391" t="str">
        <f t="shared" si="143"/>
        <v>Valid</v>
      </c>
      <c r="AE391">
        <v>7750.16</v>
      </c>
      <c r="AF391">
        <v>5434.3</v>
      </c>
      <c r="AG391">
        <v>2315.86</v>
      </c>
      <c r="AH391" t="s">
        <v>136</v>
      </c>
      <c r="AI391" t="str">
        <f t="shared" si="144"/>
        <v>Exclude</v>
      </c>
      <c r="AJ391" t="str">
        <f t="shared" si="145"/>
        <v/>
      </c>
      <c r="AK391" t="s">
        <v>77</v>
      </c>
      <c r="AL391" t="str">
        <f t="shared" si="141"/>
        <v>Cancelled</v>
      </c>
      <c r="AM391" t="str">
        <f t="shared" si="146"/>
        <v>Exclude</v>
      </c>
      <c r="AN391">
        <f t="shared" si="147"/>
        <v>7750.1600000000008</v>
      </c>
      <c r="AO391">
        <f t="shared" si="148"/>
        <v>2315.8600000000006</v>
      </c>
      <c r="AP391">
        <f>IF(AN391=0,0,AO391/AN391)</f>
        <v>0.29881447608823564</v>
      </c>
      <c r="AQ391" t="str">
        <f t="shared" si="149"/>
        <v>April</v>
      </c>
      <c r="AR391">
        <f t="shared" si="150"/>
        <v>2024</v>
      </c>
      <c r="AS391" t="str">
        <f t="shared" si="151"/>
        <v>Clean</v>
      </c>
      <c r="AT391" t="str">
        <f>IF(OR(AC391&lt;0,AC391&gt;0.5),"Invalid Discount","Valid")</f>
        <v>Valid</v>
      </c>
      <c r="AU391" t="str">
        <f>IF(G391&lt;E391,"Invalid Shipping Record","Valid")</f>
        <v>Valid</v>
      </c>
      <c r="AV391" t="str">
        <f>IF(OR(AL391="Cancelled",AH391="Failed"),"Exclude","Include")</f>
        <v>Exclude</v>
      </c>
      <c r="AW391" t="str">
        <f t="shared" si="152"/>
        <v>Match</v>
      </c>
      <c r="AX391" t="str">
        <f t="shared" si="153"/>
        <v>Match</v>
      </c>
    </row>
    <row r="392" spans="1:50">
      <c r="A392" t="s">
        <v>1934</v>
      </c>
      <c r="B392">
        <f t="shared" si="132"/>
        <v>1</v>
      </c>
      <c r="C392" t="str">
        <f t="shared" si="142"/>
        <v/>
      </c>
      <c r="D392" s="3" t="s">
        <v>1935</v>
      </c>
      <c r="E392" s="7">
        <v>45602</v>
      </c>
      <c r="F392" s="3" t="s">
        <v>483</v>
      </c>
      <c r="G392" s="7">
        <v>45607</v>
      </c>
      <c r="H392" s="7" t="str">
        <f t="shared" si="133"/>
        <v>Valid</v>
      </c>
      <c r="I392" s="9">
        <f t="shared" si="134"/>
        <v>5</v>
      </c>
      <c r="J392" s="9" t="str">
        <f t="shared" si="135"/>
        <v>Valid</v>
      </c>
      <c r="K392" t="s">
        <v>1936</v>
      </c>
      <c r="L392" t="s">
        <v>52</v>
      </c>
      <c r="M392" t="s">
        <v>52</v>
      </c>
      <c r="N392" t="s">
        <v>25</v>
      </c>
      <c r="O392" s="3" t="str">
        <f t="shared" si="136"/>
        <v>Consumer</v>
      </c>
      <c r="P392" t="s">
        <v>72</v>
      </c>
      <c r="Q392" s="3" t="str">
        <f t="shared" si="137"/>
        <v>West</v>
      </c>
      <c r="R392" t="s">
        <v>234</v>
      </c>
      <c r="S392" t="s">
        <v>235</v>
      </c>
      <c r="T392" t="s">
        <v>44</v>
      </c>
      <c r="U392" s="3" t="str">
        <f t="shared" si="138"/>
        <v>Furniture</v>
      </c>
      <c r="V392" t="s">
        <v>64</v>
      </c>
      <c r="W392" t="s">
        <v>1937</v>
      </c>
      <c r="X392" t="s">
        <v>66</v>
      </c>
      <c r="Y392" s="3" t="str">
        <f t="shared" si="139"/>
        <v>Standard Class</v>
      </c>
      <c r="Z392">
        <v>4</v>
      </c>
      <c r="AA392">
        <v>1917.26</v>
      </c>
      <c r="AB392">
        <v>0.2</v>
      </c>
      <c r="AC392">
        <f t="shared" si="140"/>
        <v>0.2</v>
      </c>
      <c r="AD392" t="str">
        <f t="shared" si="143"/>
        <v>Valid</v>
      </c>
      <c r="AE392">
        <v>6135.23</v>
      </c>
      <c r="AF392">
        <v>3439.79</v>
      </c>
      <c r="AG392">
        <v>2695.44</v>
      </c>
      <c r="AH392" t="s">
        <v>33</v>
      </c>
      <c r="AI392" t="str">
        <f t="shared" si="144"/>
        <v>Include</v>
      </c>
      <c r="AJ392" t="str">
        <f t="shared" si="145"/>
        <v/>
      </c>
      <c r="AK392" t="s">
        <v>34</v>
      </c>
      <c r="AL392" t="str">
        <f t="shared" si="141"/>
        <v>Completed</v>
      </c>
      <c r="AM392" t="str">
        <f t="shared" si="146"/>
        <v>Include</v>
      </c>
      <c r="AN392">
        <f t="shared" si="147"/>
        <v>6135.232</v>
      </c>
      <c r="AO392">
        <f t="shared" si="148"/>
        <v>2695.442</v>
      </c>
      <c r="AP392">
        <f>IF(AN392=0,0,AO392/AN392)</f>
        <v>0.43933823529411764</v>
      </c>
      <c r="AQ392" t="str">
        <f t="shared" si="149"/>
        <v>November</v>
      </c>
      <c r="AR392">
        <f t="shared" si="150"/>
        <v>2024</v>
      </c>
      <c r="AS392" t="str">
        <f t="shared" si="151"/>
        <v>Clean</v>
      </c>
      <c r="AT392" t="str">
        <f>IF(OR(AC392&lt;0,AC392&gt;0.5),"Invalid Discount","Valid")</f>
        <v>Valid</v>
      </c>
      <c r="AU392" t="str">
        <f>IF(G392&lt;E392,"Invalid Shipping Record","Valid")</f>
        <v>Valid</v>
      </c>
      <c r="AV392" t="str">
        <f>IF(OR(AL392="Cancelled",AH392="Failed"),"Exclude","Include")</f>
        <v>Include</v>
      </c>
      <c r="AW392" t="str">
        <f t="shared" si="152"/>
        <v>Match</v>
      </c>
      <c r="AX392" t="str">
        <f t="shared" si="153"/>
        <v>Match</v>
      </c>
    </row>
    <row r="393" spans="1:50">
      <c r="A393" t="s">
        <v>1938</v>
      </c>
      <c r="B393">
        <f t="shared" si="132"/>
        <v>1</v>
      </c>
      <c r="C393" t="str">
        <f t="shared" si="142"/>
        <v/>
      </c>
      <c r="D393" s="3" t="s">
        <v>1919</v>
      </c>
      <c r="E393" s="7">
        <v>45702</v>
      </c>
      <c r="F393" s="3" t="s">
        <v>1939</v>
      </c>
      <c r="G393" s="7">
        <v>45702</v>
      </c>
      <c r="H393" s="7" t="str">
        <f t="shared" si="133"/>
        <v>Valid</v>
      </c>
      <c r="I393" s="9">
        <f t="shared" si="134"/>
        <v>0</v>
      </c>
      <c r="J393" s="9" t="str">
        <f t="shared" si="135"/>
        <v>Valid</v>
      </c>
      <c r="K393" t="s">
        <v>1940</v>
      </c>
      <c r="L393" t="s">
        <v>209</v>
      </c>
      <c r="M393" t="s">
        <v>209</v>
      </c>
      <c r="N393" t="s">
        <v>25</v>
      </c>
      <c r="O393" s="3" t="str">
        <f t="shared" si="136"/>
        <v>Consumer</v>
      </c>
      <c r="P393" t="s">
        <v>61</v>
      </c>
      <c r="Q393" s="3" t="str">
        <f t="shared" si="137"/>
        <v>South</v>
      </c>
      <c r="R393" t="s">
        <v>228</v>
      </c>
      <c r="S393" t="s">
        <v>229</v>
      </c>
      <c r="T393" t="s">
        <v>29</v>
      </c>
      <c r="U393" s="3" t="str">
        <f t="shared" si="138"/>
        <v>Office Supplies</v>
      </c>
      <c r="V393" t="s">
        <v>155</v>
      </c>
      <c r="W393" t="s">
        <v>1941</v>
      </c>
      <c r="X393" t="s">
        <v>55</v>
      </c>
      <c r="Y393" s="3" t="str">
        <f t="shared" si="139"/>
        <v>First Class</v>
      </c>
      <c r="Z393">
        <v>1</v>
      </c>
      <c r="AA393">
        <v>714.43</v>
      </c>
      <c r="AB393">
        <v>0</v>
      </c>
      <c r="AC393">
        <f t="shared" si="140"/>
        <v>0</v>
      </c>
      <c r="AD393" t="str">
        <f t="shared" si="143"/>
        <v>Valid</v>
      </c>
      <c r="AE393">
        <v>714.43</v>
      </c>
      <c r="AF393">
        <v>565.44000000000005</v>
      </c>
      <c r="AG393">
        <v>148.99</v>
      </c>
      <c r="AH393" t="s">
        <v>33</v>
      </c>
      <c r="AI393" t="str">
        <f t="shared" si="144"/>
        <v>Include</v>
      </c>
      <c r="AJ393" t="str">
        <f t="shared" si="145"/>
        <v/>
      </c>
      <c r="AK393" t="s">
        <v>34</v>
      </c>
      <c r="AL393" t="str">
        <f t="shared" si="141"/>
        <v>Completed</v>
      </c>
      <c r="AM393" t="str">
        <f t="shared" si="146"/>
        <v>Include</v>
      </c>
      <c r="AN393">
        <f t="shared" si="147"/>
        <v>714.43</v>
      </c>
      <c r="AO393">
        <f t="shared" si="148"/>
        <v>148.9899999999999</v>
      </c>
      <c r="AP393">
        <f>IF(AN393=0,0,AO393/AN393)</f>
        <v>0.20854387413742412</v>
      </c>
      <c r="AQ393" t="str">
        <f t="shared" si="149"/>
        <v>February</v>
      </c>
      <c r="AR393">
        <f t="shared" si="150"/>
        <v>2025</v>
      </c>
      <c r="AS393" t="str">
        <f t="shared" si="151"/>
        <v>Clean</v>
      </c>
      <c r="AT393" t="str">
        <f>IF(OR(AC393&lt;0,AC393&gt;0.5),"Invalid Discount","Valid")</f>
        <v>Valid</v>
      </c>
      <c r="AU393" t="str">
        <f>IF(G393&lt;E393,"Invalid Shipping Record","Valid")</f>
        <v>Valid</v>
      </c>
      <c r="AV393" t="str">
        <f>IF(OR(AL393="Cancelled",AH393="Failed"),"Exclude","Include")</f>
        <v>Include</v>
      </c>
      <c r="AW393" t="str">
        <f t="shared" si="152"/>
        <v>Match</v>
      </c>
      <c r="AX393" t="str">
        <f t="shared" si="153"/>
        <v>Match</v>
      </c>
    </row>
    <row r="394" spans="1:50">
      <c r="A394" t="s">
        <v>1942</v>
      </c>
      <c r="B394">
        <f t="shared" si="132"/>
        <v>1</v>
      </c>
      <c r="C394" t="str">
        <f t="shared" si="142"/>
        <v/>
      </c>
      <c r="D394" s="3" t="s">
        <v>1943</v>
      </c>
      <c r="E394" s="7">
        <v>45341</v>
      </c>
      <c r="F394" s="3" t="s">
        <v>1944</v>
      </c>
      <c r="G394" s="7">
        <v>45344</v>
      </c>
      <c r="H394" s="7" t="str">
        <f t="shared" si="133"/>
        <v>Valid</v>
      </c>
      <c r="I394" s="9">
        <f t="shared" si="134"/>
        <v>3</v>
      </c>
      <c r="J394" s="9" t="str">
        <f t="shared" si="135"/>
        <v>Valid</v>
      </c>
      <c r="K394" t="s">
        <v>1945</v>
      </c>
      <c r="L394" t="s">
        <v>106</v>
      </c>
      <c r="M394" t="s">
        <v>106</v>
      </c>
      <c r="N394" t="s">
        <v>40</v>
      </c>
      <c r="O394" s="3" t="str">
        <f t="shared" si="136"/>
        <v>Small Business</v>
      </c>
      <c r="P394" t="s">
        <v>61</v>
      </c>
      <c r="Q394" s="3" t="str">
        <f t="shared" si="137"/>
        <v>South</v>
      </c>
      <c r="R394" t="s">
        <v>241</v>
      </c>
      <c r="S394" t="s">
        <v>242</v>
      </c>
      <c r="T394" t="s">
        <v>44</v>
      </c>
      <c r="U394" s="3" t="str">
        <f t="shared" si="138"/>
        <v>Furniture</v>
      </c>
      <c r="V394" t="s">
        <v>64</v>
      </c>
      <c r="W394" t="s">
        <v>1946</v>
      </c>
      <c r="X394" t="s">
        <v>47</v>
      </c>
      <c r="Y394" s="3" t="str">
        <f t="shared" si="139"/>
        <v>Same Day</v>
      </c>
      <c r="Z394">
        <v>9</v>
      </c>
      <c r="AA394">
        <v>4053.01</v>
      </c>
      <c r="AB394">
        <v>0</v>
      </c>
      <c r="AC394">
        <f t="shared" si="140"/>
        <v>0</v>
      </c>
      <c r="AD394" t="str">
        <f t="shared" si="143"/>
        <v>Valid</v>
      </c>
      <c r="AE394">
        <v>36477.089999999997</v>
      </c>
      <c r="AF394">
        <v>24525.48</v>
      </c>
      <c r="AG394">
        <v>11951.61</v>
      </c>
      <c r="AH394" t="s">
        <v>33</v>
      </c>
      <c r="AI394" t="str">
        <f t="shared" si="144"/>
        <v>Include</v>
      </c>
      <c r="AJ394" t="str">
        <f t="shared" si="145"/>
        <v/>
      </c>
      <c r="AK394" t="s">
        <v>34</v>
      </c>
      <c r="AL394" t="str">
        <f t="shared" si="141"/>
        <v>Completed</v>
      </c>
      <c r="AM394" t="str">
        <f t="shared" si="146"/>
        <v>Include</v>
      </c>
      <c r="AN394">
        <f t="shared" si="147"/>
        <v>36477.090000000004</v>
      </c>
      <c r="AO394">
        <f t="shared" si="148"/>
        <v>11951.610000000004</v>
      </c>
      <c r="AP394">
        <f>IF(AN394=0,0,AO394/AN394)</f>
        <v>0.32764702447481425</v>
      </c>
      <c r="AQ394" t="str">
        <f t="shared" si="149"/>
        <v>February</v>
      </c>
      <c r="AR394">
        <f t="shared" si="150"/>
        <v>2024</v>
      </c>
      <c r="AS394" t="str">
        <f t="shared" si="151"/>
        <v>Clean</v>
      </c>
      <c r="AT394" t="str">
        <f>IF(OR(AC394&lt;0,AC394&gt;0.5),"Invalid Discount","Valid")</f>
        <v>Valid</v>
      </c>
      <c r="AU394" t="str">
        <f>IF(G394&lt;E394,"Invalid Shipping Record","Valid")</f>
        <v>Valid</v>
      </c>
      <c r="AV394" t="str">
        <f>IF(OR(AL394="Cancelled",AH394="Failed"),"Exclude","Include")</f>
        <v>Include</v>
      </c>
      <c r="AW394" t="str">
        <f t="shared" si="152"/>
        <v>Match</v>
      </c>
      <c r="AX394" t="str">
        <f t="shared" si="153"/>
        <v>Match</v>
      </c>
    </row>
    <row r="395" spans="1:50">
      <c r="A395" t="s">
        <v>1947</v>
      </c>
      <c r="B395">
        <f t="shared" si="132"/>
        <v>1</v>
      </c>
      <c r="C395" t="str">
        <f t="shared" si="142"/>
        <v/>
      </c>
      <c r="D395" s="3" t="s">
        <v>1948</v>
      </c>
      <c r="E395" s="7">
        <v>45527</v>
      </c>
      <c r="F395" s="3" t="s">
        <v>1949</v>
      </c>
      <c r="G395" s="7">
        <v>45533</v>
      </c>
      <c r="H395" s="7" t="str">
        <f t="shared" si="133"/>
        <v>Valid</v>
      </c>
      <c r="I395" s="9">
        <f t="shared" si="134"/>
        <v>6</v>
      </c>
      <c r="J395" s="9" t="str">
        <f t="shared" si="135"/>
        <v>Valid</v>
      </c>
      <c r="K395" t="s">
        <v>1950</v>
      </c>
      <c r="L395" t="s">
        <v>39</v>
      </c>
      <c r="M395" t="s">
        <v>39</v>
      </c>
      <c r="N395" t="s">
        <v>107</v>
      </c>
      <c r="O395" s="3" t="str">
        <f t="shared" si="136"/>
        <v>Corporate</v>
      </c>
      <c r="P395" t="s">
        <v>26</v>
      </c>
      <c r="Q395" s="3" t="str">
        <f t="shared" si="137"/>
        <v>North</v>
      </c>
      <c r="R395" t="s">
        <v>173</v>
      </c>
      <c r="S395" t="s">
        <v>174</v>
      </c>
      <c r="T395" t="s">
        <v>29</v>
      </c>
      <c r="U395" s="3" t="str">
        <f t="shared" si="138"/>
        <v>Office Supplies</v>
      </c>
      <c r="V395" t="s">
        <v>108</v>
      </c>
      <c r="W395" t="s">
        <v>1951</v>
      </c>
      <c r="X395" t="s">
        <v>47</v>
      </c>
      <c r="Y395" s="3" t="str">
        <f t="shared" si="139"/>
        <v>Same Day</v>
      </c>
      <c r="Z395">
        <v>2</v>
      </c>
      <c r="AA395">
        <v>1936.91</v>
      </c>
      <c r="AB395">
        <v>0.05</v>
      </c>
      <c r="AC395">
        <f t="shared" si="140"/>
        <v>0.05</v>
      </c>
      <c r="AD395" t="str">
        <f t="shared" si="143"/>
        <v>Valid</v>
      </c>
      <c r="AE395">
        <v>3680.13</v>
      </c>
      <c r="AF395">
        <v>2967.46</v>
      </c>
      <c r="AG395">
        <v>712.67</v>
      </c>
      <c r="AH395" t="s">
        <v>33</v>
      </c>
      <c r="AI395" t="str">
        <f t="shared" si="144"/>
        <v>Include</v>
      </c>
      <c r="AJ395" t="str">
        <f t="shared" si="145"/>
        <v/>
      </c>
      <c r="AK395" t="s">
        <v>34</v>
      </c>
      <c r="AL395" t="str">
        <f t="shared" si="141"/>
        <v>Completed</v>
      </c>
      <c r="AM395" t="str">
        <f t="shared" si="146"/>
        <v>Include</v>
      </c>
      <c r="AN395">
        <f t="shared" si="147"/>
        <v>3680.1289999999999</v>
      </c>
      <c r="AO395">
        <f t="shared" si="148"/>
        <v>712.66899999999987</v>
      </c>
      <c r="AP395">
        <f>IF(AN395=0,0,AO395/AN395)</f>
        <v>0.19365326595888346</v>
      </c>
      <c r="AQ395" t="str">
        <f t="shared" si="149"/>
        <v>August</v>
      </c>
      <c r="AR395">
        <f t="shared" si="150"/>
        <v>2024</v>
      </c>
      <c r="AS395" t="str">
        <f t="shared" si="151"/>
        <v>Clean</v>
      </c>
      <c r="AT395" t="str">
        <f>IF(OR(AC395&lt;0,AC395&gt;0.5),"Invalid Discount","Valid")</f>
        <v>Valid</v>
      </c>
      <c r="AU395" t="str">
        <f>IF(G395&lt;E395,"Invalid Shipping Record","Valid")</f>
        <v>Valid</v>
      </c>
      <c r="AV395" t="str">
        <f>IF(OR(AL395="Cancelled",AH395="Failed"),"Exclude","Include")</f>
        <v>Include</v>
      </c>
      <c r="AW395" t="str">
        <f t="shared" si="152"/>
        <v>Match</v>
      </c>
      <c r="AX395" t="str">
        <f t="shared" si="153"/>
        <v>Match</v>
      </c>
    </row>
    <row r="396" spans="1:50">
      <c r="A396" t="s">
        <v>1952</v>
      </c>
      <c r="B396">
        <f t="shared" si="132"/>
        <v>1</v>
      </c>
      <c r="C396" t="str">
        <f t="shared" si="142"/>
        <v/>
      </c>
      <c r="D396" s="3" t="s">
        <v>1953</v>
      </c>
      <c r="E396" s="7">
        <v>45385</v>
      </c>
      <c r="F396" s="3" t="s">
        <v>1954</v>
      </c>
      <c r="G396" s="7">
        <v>45386</v>
      </c>
      <c r="H396" s="7" t="str">
        <f t="shared" si="133"/>
        <v>Valid</v>
      </c>
      <c r="I396" s="9">
        <f t="shared" si="134"/>
        <v>1</v>
      </c>
      <c r="J396" s="9" t="str">
        <f t="shared" si="135"/>
        <v>Valid</v>
      </c>
      <c r="K396" t="s">
        <v>1955</v>
      </c>
      <c r="L396" t="s">
        <v>365</v>
      </c>
      <c r="M396" t="s">
        <v>365</v>
      </c>
      <c r="N396" t="s">
        <v>25</v>
      </c>
      <c r="O396" s="3" t="str">
        <f t="shared" si="136"/>
        <v>Consumer</v>
      </c>
      <c r="P396" t="s">
        <v>72</v>
      </c>
      <c r="Q396" s="3" t="str">
        <f t="shared" si="137"/>
        <v>West</v>
      </c>
      <c r="R396" t="s">
        <v>73</v>
      </c>
      <c r="S396" t="s">
        <v>74</v>
      </c>
      <c r="T396" t="s">
        <v>44</v>
      </c>
      <c r="U396" s="3" t="str">
        <f t="shared" si="138"/>
        <v>Furniture</v>
      </c>
      <c r="V396" t="s">
        <v>64</v>
      </c>
      <c r="W396" t="s">
        <v>1956</v>
      </c>
      <c r="X396" t="s">
        <v>55</v>
      </c>
      <c r="Y396" s="3" t="str">
        <f t="shared" si="139"/>
        <v>First Class</v>
      </c>
      <c r="Z396">
        <v>7</v>
      </c>
      <c r="AA396">
        <v>3945.21</v>
      </c>
      <c r="AB396">
        <v>0</v>
      </c>
      <c r="AC396">
        <f t="shared" si="140"/>
        <v>0</v>
      </c>
      <c r="AD396" t="str">
        <f t="shared" si="143"/>
        <v>Valid</v>
      </c>
      <c r="AE396">
        <v>27616.47</v>
      </c>
      <c r="AF396">
        <v>21225.26</v>
      </c>
      <c r="AG396">
        <v>6391.21</v>
      </c>
      <c r="AH396" t="s">
        <v>33</v>
      </c>
      <c r="AI396" t="str">
        <f t="shared" si="144"/>
        <v>Include</v>
      </c>
      <c r="AJ396" t="str">
        <f t="shared" si="145"/>
        <v/>
      </c>
      <c r="AK396" t="s">
        <v>34</v>
      </c>
      <c r="AL396" t="str">
        <f t="shared" si="141"/>
        <v>Completed</v>
      </c>
      <c r="AM396" t="str">
        <f t="shared" si="146"/>
        <v>Include</v>
      </c>
      <c r="AN396">
        <f t="shared" si="147"/>
        <v>27616.47</v>
      </c>
      <c r="AO396">
        <f t="shared" si="148"/>
        <v>6391.2100000000028</v>
      </c>
      <c r="AP396">
        <f>IF(AN396=0,0,AO396/AN396)</f>
        <v>0.23142747787823725</v>
      </c>
      <c r="AQ396" t="str">
        <f t="shared" si="149"/>
        <v>April</v>
      </c>
      <c r="AR396">
        <f t="shared" si="150"/>
        <v>2024</v>
      </c>
      <c r="AS396" t="str">
        <f t="shared" si="151"/>
        <v>Clean</v>
      </c>
      <c r="AT396" t="str">
        <f>IF(OR(AC396&lt;0,AC396&gt;0.5),"Invalid Discount","Valid")</f>
        <v>Valid</v>
      </c>
      <c r="AU396" t="str">
        <f>IF(G396&lt;E396,"Invalid Shipping Record","Valid")</f>
        <v>Valid</v>
      </c>
      <c r="AV396" t="str">
        <f>IF(OR(AL396="Cancelled",AH396="Failed"),"Exclude","Include")</f>
        <v>Include</v>
      </c>
      <c r="AW396" t="str">
        <f t="shared" si="152"/>
        <v>Match</v>
      </c>
      <c r="AX396" t="str">
        <f t="shared" si="153"/>
        <v>Match</v>
      </c>
    </row>
    <row r="397" spans="1:50">
      <c r="A397" t="s">
        <v>1957</v>
      </c>
      <c r="B397">
        <f t="shared" si="132"/>
        <v>1</v>
      </c>
      <c r="C397" t="str">
        <f t="shared" si="142"/>
        <v/>
      </c>
      <c r="D397" s="3" t="s">
        <v>1066</v>
      </c>
      <c r="E397" s="7">
        <v>45449</v>
      </c>
      <c r="F397" s="3" t="s">
        <v>1753</v>
      </c>
      <c r="G397" s="7">
        <v>45450</v>
      </c>
      <c r="H397" s="7" t="str">
        <f t="shared" si="133"/>
        <v>Valid</v>
      </c>
      <c r="I397" s="9">
        <f t="shared" si="134"/>
        <v>1</v>
      </c>
      <c r="J397" s="9" t="str">
        <f t="shared" si="135"/>
        <v>Valid</v>
      </c>
      <c r="K397" t="s">
        <v>1958</v>
      </c>
      <c r="L397" t="s">
        <v>147</v>
      </c>
      <c r="M397" t="s">
        <v>147</v>
      </c>
      <c r="N397" t="s">
        <v>114</v>
      </c>
      <c r="O397" s="3" t="str">
        <f t="shared" si="136"/>
        <v>Home Office</v>
      </c>
      <c r="P397" t="s">
        <v>61</v>
      </c>
      <c r="Q397" s="3" t="str">
        <f t="shared" si="137"/>
        <v>South</v>
      </c>
      <c r="R397" t="s">
        <v>338</v>
      </c>
      <c r="S397" t="s">
        <v>339</v>
      </c>
      <c r="T397" t="s">
        <v>44</v>
      </c>
      <c r="U397" s="3" t="str">
        <f t="shared" si="138"/>
        <v>Furniture</v>
      </c>
      <c r="V397" t="s">
        <v>45</v>
      </c>
      <c r="W397" t="s">
        <v>1959</v>
      </c>
      <c r="X397" t="s">
        <v>47</v>
      </c>
      <c r="Y397" s="3" t="str">
        <f t="shared" si="139"/>
        <v>Same Day</v>
      </c>
      <c r="Z397">
        <v>7</v>
      </c>
      <c r="AA397">
        <v>861.91</v>
      </c>
      <c r="AB397">
        <v>0.05</v>
      </c>
      <c r="AC397">
        <f t="shared" si="140"/>
        <v>0.05</v>
      </c>
      <c r="AD397" t="str">
        <f t="shared" si="143"/>
        <v>Valid</v>
      </c>
      <c r="AE397">
        <v>5731.7</v>
      </c>
      <c r="AF397">
        <v>4115.5600000000004</v>
      </c>
      <c r="AG397">
        <v>1616.14</v>
      </c>
      <c r="AH397" t="s">
        <v>33</v>
      </c>
      <c r="AI397" t="str">
        <f t="shared" si="144"/>
        <v>Include</v>
      </c>
      <c r="AJ397" t="str">
        <f t="shared" si="145"/>
        <v/>
      </c>
      <c r="AK397" t="s">
        <v>34</v>
      </c>
      <c r="AL397" t="str">
        <f t="shared" si="141"/>
        <v>Completed</v>
      </c>
      <c r="AM397" t="str">
        <f t="shared" si="146"/>
        <v>Include</v>
      </c>
      <c r="AN397">
        <f t="shared" si="147"/>
        <v>5731.7014999999992</v>
      </c>
      <c r="AO397">
        <f t="shared" si="148"/>
        <v>1616.1414999999988</v>
      </c>
      <c r="AP397">
        <f>IF(AN397=0,0,AO397/AN397)</f>
        <v>0.28196539893084088</v>
      </c>
      <c r="AQ397" t="str">
        <f t="shared" si="149"/>
        <v>June</v>
      </c>
      <c r="AR397">
        <f t="shared" si="150"/>
        <v>2024</v>
      </c>
      <c r="AS397" t="str">
        <f t="shared" si="151"/>
        <v>Clean</v>
      </c>
      <c r="AT397" t="str">
        <f>IF(OR(AC397&lt;0,AC397&gt;0.5),"Invalid Discount","Valid")</f>
        <v>Valid</v>
      </c>
      <c r="AU397" t="str">
        <f>IF(G397&lt;E397,"Invalid Shipping Record","Valid")</f>
        <v>Valid</v>
      </c>
      <c r="AV397" t="str">
        <f>IF(OR(AL397="Cancelled",AH397="Failed"),"Exclude","Include")</f>
        <v>Include</v>
      </c>
      <c r="AW397" t="str">
        <f t="shared" si="152"/>
        <v>Match</v>
      </c>
      <c r="AX397" t="str">
        <f t="shared" si="153"/>
        <v>Match</v>
      </c>
    </row>
    <row r="398" spans="1:50">
      <c r="A398" t="s">
        <v>1960</v>
      </c>
      <c r="B398">
        <f t="shared" si="132"/>
        <v>1</v>
      </c>
      <c r="C398" t="str">
        <f t="shared" si="142"/>
        <v/>
      </c>
      <c r="D398" s="3" t="s">
        <v>1961</v>
      </c>
      <c r="E398" s="7">
        <v>45761</v>
      </c>
      <c r="F398" s="3" t="s">
        <v>1962</v>
      </c>
      <c r="G398" s="7">
        <v>45769</v>
      </c>
      <c r="H398" s="7" t="str">
        <f t="shared" si="133"/>
        <v>Valid</v>
      </c>
      <c r="I398" s="9">
        <f t="shared" si="134"/>
        <v>8</v>
      </c>
      <c r="J398" s="9" t="str">
        <f t="shared" si="135"/>
        <v>Valid</v>
      </c>
      <c r="K398" t="s">
        <v>1963</v>
      </c>
      <c r="L398" t="s">
        <v>106</v>
      </c>
      <c r="M398" t="s">
        <v>106</v>
      </c>
      <c r="N398" t="s">
        <v>40</v>
      </c>
      <c r="O398" s="3" t="str">
        <f t="shared" si="136"/>
        <v>Small Business</v>
      </c>
      <c r="P398" t="s">
        <v>61</v>
      </c>
      <c r="Q398" s="3" t="str">
        <f t="shared" si="137"/>
        <v>South</v>
      </c>
      <c r="R398" t="s">
        <v>228</v>
      </c>
      <c r="S398" t="s">
        <v>229</v>
      </c>
      <c r="T398" t="s">
        <v>85</v>
      </c>
      <c r="U398" s="3" t="str">
        <f t="shared" si="138"/>
        <v>Technology</v>
      </c>
      <c r="V398" t="s">
        <v>381</v>
      </c>
      <c r="W398" t="s">
        <v>1964</v>
      </c>
      <c r="X398" t="s">
        <v>66</v>
      </c>
      <c r="Y398" s="3" t="str">
        <f t="shared" si="139"/>
        <v>Standard Class</v>
      </c>
      <c r="Z398">
        <v>2</v>
      </c>
      <c r="AA398">
        <v>638.73</v>
      </c>
      <c r="AB398">
        <v>0.05</v>
      </c>
      <c r="AC398">
        <f t="shared" si="140"/>
        <v>0.05</v>
      </c>
      <c r="AD398" t="str">
        <f t="shared" si="143"/>
        <v>Valid</v>
      </c>
      <c r="AE398">
        <v>1213.5899999999999</v>
      </c>
      <c r="AF398">
        <v>956.22</v>
      </c>
      <c r="AG398">
        <v>257.37</v>
      </c>
      <c r="AH398" t="s">
        <v>33</v>
      </c>
      <c r="AI398" t="str">
        <f t="shared" si="144"/>
        <v>Include</v>
      </c>
      <c r="AJ398" t="str">
        <f t="shared" si="145"/>
        <v/>
      </c>
      <c r="AK398" t="s">
        <v>34</v>
      </c>
      <c r="AL398" t="str">
        <f t="shared" si="141"/>
        <v>Completed</v>
      </c>
      <c r="AM398" t="str">
        <f t="shared" si="146"/>
        <v>Include</v>
      </c>
      <c r="AN398">
        <f t="shared" si="147"/>
        <v>1213.587</v>
      </c>
      <c r="AO398">
        <f t="shared" si="148"/>
        <v>257.36699999999996</v>
      </c>
      <c r="AP398">
        <f>IF(AN398=0,0,AO398/AN398)</f>
        <v>0.21207132245154239</v>
      </c>
      <c r="AQ398" t="str">
        <f t="shared" si="149"/>
        <v>April</v>
      </c>
      <c r="AR398">
        <f t="shared" si="150"/>
        <v>2025</v>
      </c>
      <c r="AS398" t="str">
        <f t="shared" si="151"/>
        <v>Clean</v>
      </c>
      <c r="AT398" t="str">
        <f>IF(OR(AC398&lt;0,AC398&gt;0.5),"Invalid Discount","Valid")</f>
        <v>Valid</v>
      </c>
      <c r="AU398" t="str">
        <f>IF(G398&lt;E398,"Invalid Shipping Record","Valid")</f>
        <v>Valid</v>
      </c>
      <c r="AV398" t="str">
        <f>IF(OR(AL398="Cancelled",AH398="Failed"),"Exclude","Include")</f>
        <v>Include</v>
      </c>
      <c r="AW398" t="str">
        <f t="shared" si="152"/>
        <v>Match</v>
      </c>
      <c r="AX398" t="str">
        <f t="shared" si="153"/>
        <v>Match</v>
      </c>
    </row>
    <row r="399" spans="1:50">
      <c r="A399" t="s">
        <v>1965</v>
      </c>
      <c r="B399">
        <f t="shared" si="132"/>
        <v>1</v>
      </c>
      <c r="C399" t="str">
        <f t="shared" si="142"/>
        <v/>
      </c>
      <c r="D399" s="3" t="s">
        <v>1966</v>
      </c>
      <c r="E399" s="7">
        <v>45817</v>
      </c>
      <c r="F399" s="3" t="s">
        <v>1967</v>
      </c>
      <c r="G399" s="7">
        <v>45818</v>
      </c>
      <c r="H399" s="7" t="str">
        <f t="shared" si="133"/>
        <v>Valid</v>
      </c>
      <c r="I399" s="9">
        <f t="shared" si="134"/>
        <v>1</v>
      </c>
      <c r="J399" s="9" t="str">
        <f t="shared" si="135"/>
        <v>Valid</v>
      </c>
      <c r="K399" t="s">
        <v>1968</v>
      </c>
      <c r="L399" t="s">
        <v>167</v>
      </c>
      <c r="M399" t="s">
        <v>167</v>
      </c>
      <c r="N399" t="s">
        <v>40</v>
      </c>
      <c r="O399" s="3" t="str">
        <f t="shared" si="136"/>
        <v>Small Business</v>
      </c>
      <c r="P399" t="s">
        <v>26</v>
      </c>
      <c r="Q399" s="3" t="str">
        <f t="shared" si="137"/>
        <v>North</v>
      </c>
      <c r="R399" t="s">
        <v>173</v>
      </c>
      <c r="S399" t="s">
        <v>174</v>
      </c>
      <c r="T399" t="s">
        <v>44</v>
      </c>
      <c r="U399" s="3" t="str">
        <f t="shared" si="138"/>
        <v>Furniture</v>
      </c>
      <c r="V399" t="s">
        <v>45</v>
      </c>
      <c r="W399" t="s">
        <v>1969</v>
      </c>
      <c r="X399" t="s">
        <v>32</v>
      </c>
      <c r="Y399" s="3" t="str">
        <f t="shared" si="139"/>
        <v>Second Class</v>
      </c>
      <c r="Z399">
        <v>2</v>
      </c>
      <c r="AA399">
        <v>1731.88</v>
      </c>
      <c r="AB399">
        <v>0</v>
      </c>
      <c r="AC399">
        <f t="shared" si="140"/>
        <v>0</v>
      </c>
      <c r="AD399" t="str">
        <f t="shared" si="143"/>
        <v>Valid</v>
      </c>
      <c r="AE399">
        <v>3463.76</v>
      </c>
      <c r="AF399">
        <v>2143.7399999999998</v>
      </c>
      <c r="AG399">
        <v>1320.02</v>
      </c>
      <c r="AH399" t="s">
        <v>33</v>
      </c>
      <c r="AI399" t="str">
        <f t="shared" si="144"/>
        <v>Include</v>
      </c>
      <c r="AJ399" t="str">
        <f t="shared" si="145"/>
        <v/>
      </c>
      <c r="AK399" t="s">
        <v>34</v>
      </c>
      <c r="AL399" t="str">
        <f t="shared" si="141"/>
        <v>Completed</v>
      </c>
      <c r="AM399" t="str">
        <f t="shared" si="146"/>
        <v>Include</v>
      </c>
      <c r="AN399">
        <f t="shared" si="147"/>
        <v>3463.76</v>
      </c>
      <c r="AO399">
        <f t="shared" si="148"/>
        <v>1320.0200000000004</v>
      </c>
      <c r="AP399">
        <f>IF(AN399=0,0,AO399/AN399)</f>
        <v>0.38109453310852959</v>
      </c>
      <c r="AQ399" t="str">
        <f t="shared" si="149"/>
        <v>June</v>
      </c>
      <c r="AR399">
        <f t="shared" si="150"/>
        <v>2025</v>
      </c>
      <c r="AS399" t="str">
        <f t="shared" si="151"/>
        <v>Clean</v>
      </c>
      <c r="AT399" t="str">
        <f>IF(OR(AC399&lt;0,AC399&gt;0.5),"Invalid Discount","Valid")</f>
        <v>Valid</v>
      </c>
      <c r="AU399" t="str">
        <f>IF(G399&lt;E399,"Invalid Shipping Record","Valid")</f>
        <v>Valid</v>
      </c>
      <c r="AV399" t="str">
        <f>IF(OR(AL399="Cancelled",AH399="Failed"),"Exclude","Include")</f>
        <v>Include</v>
      </c>
      <c r="AW399" t="str">
        <f t="shared" si="152"/>
        <v>Match</v>
      </c>
      <c r="AX399" t="str">
        <f t="shared" si="153"/>
        <v>Match</v>
      </c>
    </row>
    <row r="400" spans="1:50">
      <c r="A400" t="s">
        <v>1970</v>
      </c>
      <c r="B400">
        <f t="shared" si="132"/>
        <v>1</v>
      </c>
      <c r="C400" t="str">
        <f t="shared" si="142"/>
        <v/>
      </c>
      <c r="D400" s="3" t="s">
        <v>1971</v>
      </c>
      <c r="E400" s="7">
        <v>45492</v>
      </c>
      <c r="F400" s="3" t="s">
        <v>1972</v>
      </c>
      <c r="G400" s="7">
        <v>45499</v>
      </c>
      <c r="H400" s="7" t="str">
        <f t="shared" si="133"/>
        <v>Valid</v>
      </c>
      <c r="I400" s="9">
        <f t="shared" si="134"/>
        <v>7</v>
      </c>
      <c r="J400" s="9" t="str">
        <f t="shared" si="135"/>
        <v>Valid</v>
      </c>
      <c r="K400" t="s">
        <v>1973</v>
      </c>
      <c r="L400" t="s">
        <v>82</v>
      </c>
      <c r="M400" t="s">
        <v>82</v>
      </c>
      <c r="N400" t="s">
        <v>107</v>
      </c>
      <c r="O400" s="3" t="str">
        <f t="shared" si="136"/>
        <v>Corporate</v>
      </c>
      <c r="P400" t="s">
        <v>26</v>
      </c>
      <c r="Q400" s="3" t="str">
        <f t="shared" si="137"/>
        <v>North</v>
      </c>
      <c r="R400" t="s">
        <v>153</v>
      </c>
      <c r="S400" t="s">
        <v>154</v>
      </c>
      <c r="T400" t="s">
        <v>85</v>
      </c>
      <c r="U400" s="3" t="str">
        <f t="shared" si="138"/>
        <v>Technology</v>
      </c>
      <c r="V400" t="s">
        <v>381</v>
      </c>
      <c r="W400" t="s">
        <v>1974</v>
      </c>
      <c r="X400" t="s">
        <v>47</v>
      </c>
      <c r="Y400" s="3" t="str">
        <f t="shared" si="139"/>
        <v>Same Day</v>
      </c>
      <c r="Z400">
        <v>2</v>
      </c>
      <c r="AA400">
        <v>1263.6500000000001</v>
      </c>
      <c r="AB400">
        <v>0.2</v>
      </c>
      <c r="AC400">
        <f t="shared" si="140"/>
        <v>0.2</v>
      </c>
      <c r="AD400" t="str">
        <f t="shared" si="143"/>
        <v>Valid</v>
      </c>
      <c r="AE400">
        <v>2021.84</v>
      </c>
      <c r="AF400">
        <v>1355.22</v>
      </c>
      <c r="AG400">
        <v>666.62</v>
      </c>
      <c r="AH400" t="s">
        <v>33</v>
      </c>
      <c r="AI400" t="str">
        <f t="shared" si="144"/>
        <v>Include</v>
      </c>
      <c r="AJ400" t="str">
        <f t="shared" si="145"/>
        <v/>
      </c>
      <c r="AK400" t="s">
        <v>34</v>
      </c>
      <c r="AL400" t="str">
        <f t="shared" si="141"/>
        <v>Completed</v>
      </c>
      <c r="AM400" t="str">
        <f t="shared" si="146"/>
        <v>Include</v>
      </c>
      <c r="AN400">
        <f t="shared" si="147"/>
        <v>2021.8400000000001</v>
      </c>
      <c r="AO400">
        <f t="shared" si="148"/>
        <v>666.62000000000012</v>
      </c>
      <c r="AP400">
        <f>IF(AN400=0,0,AO400/AN400)</f>
        <v>0.32970957147944452</v>
      </c>
      <c r="AQ400" t="str">
        <f t="shared" si="149"/>
        <v>July</v>
      </c>
      <c r="AR400">
        <f t="shared" si="150"/>
        <v>2024</v>
      </c>
      <c r="AS400" t="str">
        <f t="shared" si="151"/>
        <v>Clean</v>
      </c>
      <c r="AT400" t="str">
        <f>IF(OR(AC400&lt;0,AC400&gt;0.5),"Invalid Discount","Valid")</f>
        <v>Valid</v>
      </c>
      <c r="AU400" t="str">
        <f>IF(G400&lt;E400,"Invalid Shipping Record","Valid")</f>
        <v>Valid</v>
      </c>
      <c r="AV400" t="str">
        <f>IF(OR(AL400="Cancelled",AH400="Failed"),"Exclude","Include")</f>
        <v>Include</v>
      </c>
      <c r="AW400" t="str">
        <f t="shared" si="152"/>
        <v>Match</v>
      </c>
      <c r="AX400" t="str">
        <f t="shared" si="153"/>
        <v>Match</v>
      </c>
    </row>
    <row r="401" spans="1:50">
      <c r="A401" t="s">
        <v>1975</v>
      </c>
      <c r="B401">
        <f t="shared" si="132"/>
        <v>1</v>
      </c>
      <c r="C401" t="str">
        <f t="shared" si="142"/>
        <v/>
      </c>
      <c r="D401" s="3" t="s">
        <v>1976</v>
      </c>
      <c r="E401" s="7">
        <v>45771</v>
      </c>
      <c r="F401" s="3" t="s">
        <v>1977</v>
      </c>
      <c r="G401" s="7">
        <v>45776</v>
      </c>
      <c r="H401" s="7" t="str">
        <f t="shared" si="133"/>
        <v>Valid</v>
      </c>
      <c r="I401" s="9">
        <f t="shared" si="134"/>
        <v>5</v>
      </c>
      <c r="J401" s="9" t="str">
        <f t="shared" si="135"/>
        <v>Valid</v>
      </c>
      <c r="K401" t="s">
        <v>1978</v>
      </c>
      <c r="L401" t="s">
        <v>209</v>
      </c>
      <c r="M401" t="s">
        <v>209</v>
      </c>
      <c r="N401" t="s">
        <v>40</v>
      </c>
      <c r="O401" s="3" t="str">
        <f t="shared" si="136"/>
        <v>Small Business</v>
      </c>
      <c r="P401" t="s">
        <v>61</v>
      </c>
      <c r="Q401" s="3" t="str">
        <f t="shared" si="137"/>
        <v>South</v>
      </c>
      <c r="R401" t="s">
        <v>99</v>
      </c>
      <c r="S401" t="s">
        <v>100</v>
      </c>
      <c r="T401" t="s">
        <v>29</v>
      </c>
      <c r="U401" s="3" t="str">
        <f t="shared" si="138"/>
        <v>Office Supplies</v>
      </c>
      <c r="V401" t="s">
        <v>30</v>
      </c>
      <c r="W401" t="s">
        <v>1979</v>
      </c>
      <c r="X401" t="s">
        <v>47</v>
      </c>
      <c r="Y401" s="3" t="str">
        <f t="shared" si="139"/>
        <v>Same Day</v>
      </c>
      <c r="Z401">
        <v>1</v>
      </c>
      <c r="AA401">
        <v>4358.5</v>
      </c>
      <c r="AB401">
        <v>0.25</v>
      </c>
      <c r="AC401">
        <f t="shared" si="140"/>
        <v>0.25</v>
      </c>
      <c r="AD401" t="str">
        <f t="shared" si="143"/>
        <v>Valid</v>
      </c>
      <c r="AE401">
        <v>3268.88</v>
      </c>
      <c r="AF401">
        <v>1993.74</v>
      </c>
      <c r="AG401">
        <v>1275.1400000000001</v>
      </c>
      <c r="AH401" t="s">
        <v>33</v>
      </c>
      <c r="AI401" t="str">
        <f t="shared" si="144"/>
        <v>Include</v>
      </c>
      <c r="AJ401" t="str">
        <f t="shared" si="145"/>
        <v/>
      </c>
      <c r="AK401" t="s">
        <v>34</v>
      </c>
      <c r="AL401" t="str">
        <f t="shared" si="141"/>
        <v>Completed</v>
      </c>
      <c r="AM401" t="str">
        <f t="shared" si="146"/>
        <v>Include</v>
      </c>
      <c r="AN401">
        <f t="shared" si="147"/>
        <v>3268.875</v>
      </c>
      <c r="AO401">
        <f t="shared" si="148"/>
        <v>1275.135</v>
      </c>
      <c r="AP401">
        <f>IF(AN401=0,0,AO401/AN401)</f>
        <v>0.39008374440747962</v>
      </c>
      <c r="AQ401" t="str">
        <f t="shared" si="149"/>
        <v>April</v>
      </c>
      <c r="AR401">
        <f t="shared" si="150"/>
        <v>2025</v>
      </c>
      <c r="AS401" t="str">
        <f t="shared" si="151"/>
        <v>Clean</v>
      </c>
      <c r="AT401" t="str">
        <f>IF(OR(AC401&lt;0,AC401&gt;0.5),"Invalid Discount","Valid")</f>
        <v>Valid</v>
      </c>
      <c r="AU401" t="str">
        <f>IF(G401&lt;E401,"Invalid Shipping Record","Valid")</f>
        <v>Valid</v>
      </c>
      <c r="AV401" t="str">
        <f>IF(OR(AL401="Cancelled",AH401="Failed"),"Exclude","Include")</f>
        <v>Include</v>
      </c>
      <c r="AW401" t="str">
        <f t="shared" si="152"/>
        <v>Match</v>
      </c>
      <c r="AX401" t="str">
        <f t="shared" si="153"/>
        <v>Match</v>
      </c>
    </row>
    <row r="402" spans="1:50">
      <c r="A402" t="s">
        <v>1980</v>
      </c>
      <c r="B402">
        <f t="shared" si="132"/>
        <v>1</v>
      </c>
      <c r="C402" t="str">
        <f t="shared" si="142"/>
        <v/>
      </c>
      <c r="D402" s="3" t="s">
        <v>1981</v>
      </c>
      <c r="E402" s="7">
        <v>45814</v>
      </c>
      <c r="F402" s="3" t="s">
        <v>1982</v>
      </c>
      <c r="G402" s="7">
        <v>45819</v>
      </c>
      <c r="H402" s="7" t="str">
        <f t="shared" si="133"/>
        <v>Valid</v>
      </c>
      <c r="I402" s="9">
        <f t="shared" si="134"/>
        <v>5</v>
      </c>
      <c r="J402" s="9" t="str">
        <f t="shared" si="135"/>
        <v>Valid</v>
      </c>
      <c r="K402" t="s">
        <v>1983</v>
      </c>
      <c r="L402" t="s">
        <v>167</v>
      </c>
      <c r="M402" t="s">
        <v>167</v>
      </c>
      <c r="N402" t="s">
        <v>40</v>
      </c>
      <c r="O402" s="3" t="str">
        <f t="shared" si="136"/>
        <v>Small Business</v>
      </c>
      <c r="P402" t="s">
        <v>26</v>
      </c>
      <c r="Q402" s="3" t="str">
        <f t="shared" si="137"/>
        <v>North</v>
      </c>
      <c r="R402" t="s">
        <v>173</v>
      </c>
      <c r="S402" t="s">
        <v>174</v>
      </c>
      <c r="T402" t="s">
        <v>29</v>
      </c>
      <c r="U402" s="3" t="str">
        <f t="shared" si="138"/>
        <v>Office Supplies</v>
      </c>
      <c r="V402" t="s">
        <v>30</v>
      </c>
      <c r="W402" t="s">
        <v>1984</v>
      </c>
      <c r="X402" t="s">
        <v>47</v>
      </c>
      <c r="Y402" s="3" t="str">
        <f t="shared" si="139"/>
        <v>Same Day</v>
      </c>
      <c r="Z402">
        <v>7</v>
      </c>
      <c r="AA402">
        <v>878.09</v>
      </c>
      <c r="AB402">
        <v>-0.1</v>
      </c>
      <c r="AC402">
        <f t="shared" si="140"/>
        <v>-0.1</v>
      </c>
      <c r="AD402" t="str">
        <f t="shared" si="143"/>
        <v>Invalid Discount</v>
      </c>
      <c r="AE402">
        <v>5839.3</v>
      </c>
      <c r="AF402">
        <v>4877.38</v>
      </c>
      <c r="AG402">
        <v>961.92</v>
      </c>
      <c r="AH402" t="s">
        <v>33</v>
      </c>
      <c r="AI402" t="str">
        <f t="shared" si="144"/>
        <v>Include</v>
      </c>
      <c r="AJ402" t="str">
        <f t="shared" si="145"/>
        <v/>
      </c>
      <c r="AK402" t="s">
        <v>34</v>
      </c>
      <c r="AL402" t="str">
        <f t="shared" si="141"/>
        <v>Completed</v>
      </c>
      <c r="AM402" t="str">
        <f t="shared" si="146"/>
        <v>Include</v>
      </c>
      <c r="AN402">
        <f t="shared" si="147"/>
        <v>6761.2930000000006</v>
      </c>
      <c r="AO402">
        <f t="shared" si="148"/>
        <v>1883.9130000000005</v>
      </c>
      <c r="AP402">
        <f>IF(AN402=0,0,AO402/AN402)</f>
        <v>0.27863206046535777</v>
      </c>
      <c r="AQ402" t="str">
        <f t="shared" si="149"/>
        <v>June</v>
      </c>
      <c r="AR402">
        <f t="shared" si="150"/>
        <v>2025</v>
      </c>
      <c r="AS402" t="str">
        <f t="shared" si="151"/>
        <v>Invalid</v>
      </c>
      <c r="AT402" t="str">
        <f>IF(OR(AC402&lt;0,AC402&gt;0.5),"Invalid Discount","Valid")</f>
        <v>Invalid Discount</v>
      </c>
      <c r="AU402" t="str">
        <f>IF(G402&lt;E402,"Invalid Shipping Record","Valid")</f>
        <v>Valid</v>
      </c>
      <c r="AV402" t="str">
        <f>IF(OR(AL402="Cancelled",AH402="Failed"),"Exclude","Include")</f>
        <v>Include</v>
      </c>
      <c r="AW402" t="str">
        <f t="shared" si="152"/>
        <v>Mismatch</v>
      </c>
      <c r="AX402" t="str">
        <f t="shared" si="153"/>
        <v>Mismatch</v>
      </c>
    </row>
    <row r="403" spans="1:50">
      <c r="A403" t="s">
        <v>1985</v>
      </c>
      <c r="B403">
        <f t="shared" si="132"/>
        <v>1</v>
      </c>
      <c r="C403" t="str">
        <f t="shared" si="142"/>
        <v/>
      </c>
      <c r="D403" s="3" t="s">
        <v>1986</v>
      </c>
      <c r="E403" s="7">
        <v>45725</v>
      </c>
      <c r="F403" s="3" t="s">
        <v>1987</v>
      </c>
      <c r="G403" s="7">
        <v>45732</v>
      </c>
      <c r="H403" s="7" t="str">
        <f t="shared" si="133"/>
        <v>Valid</v>
      </c>
      <c r="I403" s="9">
        <f t="shared" si="134"/>
        <v>7</v>
      </c>
      <c r="J403" s="9" t="str">
        <f t="shared" si="135"/>
        <v>Valid</v>
      </c>
      <c r="K403" t="s">
        <v>1988</v>
      </c>
      <c r="L403" t="s">
        <v>60</v>
      </c>
      <c r="M403" t="s">
        <v>60</v>
      </c>
      <c r="N403" t="s">
        <v>40</v>
      </c>
      <c r="O403" s="3" t="str">
        <f t="shared" si="136"/>
        <v>Small Business</v>
      </c>
      <c r="P403" t="s">
        <v>41</v>
      </c>
      <c r="Q403" s="3" t="str">
        <f t="shared" si="137"/>
        <v>East</v>
      </c>
      <c r="R403" t="s">
        <v>310</v>
      </c>
      <c r="S403" t="s">
        <v>311</v>
      </c>
      <c r="T403" t="s">
        <v>44</v>
      </c>
      <c r="U403" s="3" t="str">
        <f t="shared" si="138"/>
        <v>Furniture</v>
      </c>
      <c r="V403" t="s">
        <v>45</v>
      </c>
      <c r="W403" t="s">
        <v>1989</v>
      </c>
      <c r="X403" t="s">
        <v>47</v>
      </c>
      <c r="Y403" s="3" t="str">
        <f t="shared" si="139"/>
        <v>Same Day</v>
      </c>
      <c r="Z403">
        <v>3</v>
      </c>
      <c r="AA403">
        <v>2625.85</v>
      </c>
      <c r="AB403">
        <v>0</v>
      </c>
      <c r="AC403">
        <f t="shared" si="140"/>
        <v>0</v>
      </c>
      <c r="AD403" t="str">
        <f t="shared" si="143"/>
        <v>Valid</v>
      </c>
      <c r="AE403">
        <v>7877.55</v>
      </c>
      <c r="AF403">
        <v>5562.77</v>
      </c>
      <c r="AG403">
        <v>2314.7800000000002</v>
      </c>
      <c r="AH403" t="s">
        <v>33</v>
      </c>
      <c r="AI403" t="str">
        <f t="shared" si="144"/>
        <v>Include</v>
      </c>
      <c r="AJ403" t="str">
        <f t="shared" si="145"/>
        <v/>
      </c>
      <c r="AK403" t="s">
        <v>34</v>
      </c>
      <c r="AL403" t="str">
        <f t="shared" si="141"/>
        <v>Completed</v>
      </c>
      <c r="AM403" t="str">
        <f t="shared" si="146"/>
        <v>Include</v>
      </c>
      <c r="AN403">
        <f t="shared" si="147"/>
        <v>7877.5499999999993</v>
      </c>
      <c r="AO403">
        <f t="shared" si="148"/>
        <v>2314.7799999999988</v>
      </c>
      <c r="AP403">
        <f>IF(AN403=0,0,AO403/AN403)</f>
        <v>0.29384516759652418</v>
      </c>
      <c r="AQ403" t="str">
        <f t="shared" si="149"/>
        <v>March</v>
      </c>
      <c r="AR403">
        <f t="shared" si="150"/>
        <v>2025</v>
      </c>
      <c r="AS403" t="str">
        <f t="shared" si="151"/>
        <v>Clean</v>
      </c>
      <c r="AT403" t="str">
        <f>IF(OR(AC403&lt;0,AC403&gt;0.5),"Invalid Discount","Valid")</f>
        <v>Valid</v>
      </c>
      <c r="AU403" t="str">
        <f>IF(G403&lt;E403,"Invalid Shipping Record","Valid")</f>
        <v>Valid</v>
      </c>
      <c r="AV403" t="str">
        <f>IF(OR(AL403="Cancelled",AH403="Failed"),"Exclude","Include")</f>
        <v>Include</v>
      </c>
      <c r="AW403" t="str">
        <f t="shared" si="152"/>
        <v>Match</v>
      </c>
      <c r="AX403" t="str">
        <f t="shared" si="153"/>
        <v>Match</v>
      </c>
    </row>
    <row r="404" spans="1:50">
      <c r="A404" t="s">
        <v>1990</v>
      </c>
      <c r="B404">
        <f t="shared" si="132"/>
        <v>1</v>
      </c>
      <c r="C404" t="str">
        <f t="shared" si="142"/>
        <v/>
      </c>
      <c r="D404" s="3" t="s">
        <v>1991</v>
      </c>
      <c r="E404" s="7">
        <v>45373</v>
      </c>
      <c r="F404" s="3" t="s">
        <v>1992</v>
      </c>
      <c r="G404" s="7">
        <v>45373</v>
      </c>
      <c r="H404" s="7" t="str">
        <f t="shared" si="133"/>
        <v>Valid</v>
      </c>
      <c r="I404" s="9">
        <f t="shared" si="134"/>
        <v>0</v>
      </c>
      <c r="J404" s="9" t="str">
        <f t="shared" si="135"/>
        <v>Valid</v>
      </c>
      <c r="K404" t="s">
        <v>1993</v>
      </c>
      <c r="L404" t="s">
        <v>141</v>
      </c>
      <c r="M404" t="s">
        <v>141</v>
      </c>
      <c r="N404" t="s">
        <v>40</v>
      </c>
      <c r="O404" s="3" t="str">
        <f t="shared" si="136"/>
        <v>Small Business</v>
      </c>
      <c r="P404" t="s">
        <v>61</v>
      </c>
      <c r="Q404" s="3" t="str">
        <f t="shared" si="137"/>
        <v>South</v>
      </c>
      <c r="R404" t="s">
        <v>228</v>
      </c>
      <c r="S404" t="s">
        <v>229</v>
      </c>
      <c r="T404" t="s">
        <v>44</v>
      </c>
      <c r="U404" s="3" t="str">
        <f t="shared" si="138"/>
        <v>Furniture</v>
      </c>
      <c r="V404" t="s">
        <v>45</v>
      </c>
      <c r="W404" t="s">
        <v>1994</v>
      </c>
      <c r="Y404" s="3" t="str">
        <f t="shared" si="139"/>
        <v>Unknown</v>
      </c>
      <c r="Z404">
        <v>3</v>
      </c>
      <c r="AA404">
        <v>1365.26</v>
      </c>
      <c r="AB404">
        <v>0</v>
      </c>
      <c r="AC404">
        <f t="shared" si="140"/>
        <v>0</v>
      </c>
      <c r="AD404" t="str">
        <f t="shared" si="143"/>
        <v>Valid</v>
      </c>
      <c r="AE404">
        <v>4095.78</v>
      </c>
      <c r="AF404">
        <v>2807.77</v>
      </c>
      <c r="AG404">
        <v>1288.01</v>
      </c>
      <c r="AH404" t="s">
        <v>33</v>
      </c>
      <c r="AI404" t="str">
        <f t="shared" si="144"/>
        <v>Include</v>
      </c>
      <c r="AJ404" t="str">
        <f t="shared" si="145"/>
        <v/>
      </c>
      <c r="AK404" t="s">
        <v>34</v>
      </c>
      <c r="AL404" t="str">
        <f t="shared" si="141"/>
        <v>Completed</v>
      </c>
      <c r="AM404" t="str">
        <f t="shared" si="146"/>
        <v>Include</v>
      </c>
      <c r="AN404">
        <f t="shared" si="147"/>
        <v>4095.7799999999997</v>
      </c>
      <c r="AO404">
        <f t="shared" si="148"/>
        <v>1288.0099999999998</v>
      </c>
      <c r="AP404">
        <f>IF(AN404=0,0,AO404/AN404)</f>
        <v>0.31447245701673426</v>
      </c>
      <c r="AQ404" t="str">
        <f t="shared" si="149"/>
        <v>March</v>
      </c>
      <c r="AR404">
        <f t="shared" si="150"/>
        <v>2024</v>
      </c>
      <c r="AS404" t="str">
        <f t="shared" si="151"/>
        <v>Warning</v>
      </c>
      <c r="AT404" t="str">
        <f>IF(OR(AC404&lt;0,AC404&gt;0.5),"Invalid Discount","Valid")</f>
        <v>Valid</v>
      </c>
      <c r="AU404" t="str">
        <f>IF(G404&lt;E404,"Invalid Shipping Record","Valid")</f>
        <v>Valid</v>
      </c>
      <c r="AV404" t="str">
        <f>IF(OR(AL404="Cancelled",AH404="Failed"),"Exclude","Include")</f>
        <v>Include</v>
      </c>
      <c r="AW404" t="str">
        <f t="shared" si="152"/>
        <v>Match</v>
      </c>
      <c r="AX404" t="str">
        <f t="shared" si="153"/>
        <v>Match</v>
      </c>
    </row>
    <row r="405" spans="1:50">
      <c r="A405" t="s">
        <v>1995</v>
      </c>
      <c r="B405">
        <f t="shared" si="132"/>
        <v>1</v>
      </c>
      <c r="C405" t="str">
        <f t="shared" si="142"/>
        <v/>
      </c>
      <c r="D405" s="3" t="s">
        <v>1996</v>
      </c>
      <c r="E405" s="7">
        <v>45565</v>
      </c>
      <c r="F405" s="3" t="s">
        <v>1997</v>
      </c>
      <c r="G405" s="7">
        <v>45569</v>
      </c>
      <c r="H405" s="7" t="str">
        <f t="shared" si="133"/>
        <v>Valid</v>
      </c>
      <c r="I405" s="9">
        <f t="shared" si="134"/>
        <v>4</v>
      </c>
      <c r="J405" s="9" t="str">
        <f t="shared" si="135"/>
        <v>Valid</v>
      </c>
      <c r="K405" t="s">
        <v>1998</v>
      </c>
      <c r="L405" t="s">
        <v>60</v>
      </c>
      <c r="M405" t="s">
        <v>60</v>
      </c>
      <c r="N405" t="s">
        <v>40</v>
      </c>
      <c r="O405" s="3" t="str">
        <f t="shared" si="136"/>
        <v>Small Business</v>
      </c>
      <c r="P405" t="s">
        <v>61</v>
      </c>
      <c r="Q405" s="3" t="str">
        <f t="shared" si="137"/>
        <v>South</v>
      </c>
      <c r="R405" t="s">
        <v>241</v>
      </c>
      <c r="S405" t="s">
        <v>242</v>
      </c>
      <c r="T405" t="s">
        <v>29</v>
      </c>
      <c r="U405" s="3" t="str">
        <f t="shared" si="138"/>
        <v>Office Supplies</v>
      </c>
      <c r="V405" t="s">
        <v>1999</v>
      </c>
      <c r="W405" t="s">
        <v>2000</v>
      </c>
      <c r="X405" t="s">
        <v>47</v>
      </c>
      <c r="Y405" s="3" t="str">
        <f t="shared" si="139"/>
        <v>Same Day</v>
      </c>
      <c r="Z405">
        <v>5</v>
      </c>
      <c r="AA405">
        <v>3512.25</v>
      </c>
      <c r="AB405">
        <v>0.05</v>
      </c>
      <c r="AC405">
        <f t="shared" si="140"/>
        <v>0.05</v>
      </c>
      <c r="AD405" t="str">
        <f t="shared" si="143"/>
        <v>Valid</v>
      </c>
      <c r="AE405">
        <v>16683.189999999999</v>
      </c>
      <c r="AF405">
        <v>10301.16</v>
      </c>
      <c r="AG405">
        <v>6382.03</v>
      </c>
      <c r="AH405" t="s">
        <v>33</v>
      </c>
      <c r="AI405" t="str">
        <f t="shared" si="144"/>
        <v>Include</v>
      </c>
      <c r="AJ405" t="str">
        <f t="shared" si="145"/>
        <v/>
      </c>
      <c r="AK405" t="s">
        <v>124</v>
      </c>
      <c r="AL405" t="str">
        <f t="shared" si="141"/>
        <v>Returned</v>
      </c>
      <c r="AM405" t="str">
        <f t="shared" si="146"/>
        <v>Include</v>
      </c>
      <c r="AN405">
        <f t="shared" si="147"/>
        <v>16683.1875</v>
      </c>
      <c r="AO405">
        <f t="shared" si="148"/>
        <v>6382.0275000000001</v>
      </c>
      <c r="AP405">
        <f>IF(AN405=0,0,AO405/AN405)</f>
        <v>0.38254245479168775</v>
      </c>
      <c r="AQ405" t="str">
        <f t="shared" si="149"/>
        <v>September</v>
      </c>
      <c r="AR405">
        <f t="shared" si="150"/>
        <v>2024</v>
      </c>
      <c r="AS405" t="str">
        <f t="shared" si="151"/>
        <v>Clean</v>
      </c>
      <c r="AT405" t="str">
        <f>IF(OR(AC405&lt;0,AC405&gt;0.5),"Invalid Discount","Valid")</f>
        <v>Valid</v>
      </c>
      <c r="AU405" t="str">
        <f>IF(G405&lt;E405,"Invalid Shipping Record","Valid")</f>
        <v>Valid</v>
      </c>
      <c r="AV405" t="str">
        <f>IF(OR(AL405="Cancelled",AH405="Failed"),"Exclude","Include")</f>
        <v>Include</v>
      </c>
      <c r="AW405" t="str">
        <f t="shared" si="152"/>
        <v>Match</v>
      </c>
      <c r="AX405" t="str">
        <f t="shared" si="153"/>
        <v>Match</v>
      </c>
    </row>
    <row r="406" spans="1:50">
      <c r="A406" t="s">
        <v>2001</v>
      </c>
      <c r="B406">
        <f t="shared" si="132"/>
        <v>1</v>
      </c>
      <c r="C406" t="str">
        <f t="shared" si="142"/>
        <v/>
      </c>
      <c r="D406" s="3" t="s">
        <v>2002</v>
      </c>
      <c r="E406" s="7">
        <v>45318</v>
      </c>
      <c r="F406" s="3" t="s">
        <v>2003</v>
      </c>
      <c r="G406" s="7">
        <v>45325</v>
      </c>
      <c r="H406" s="7" t="str">
        <f t="shared" si="133"/>
        <v>Valid</v>
      </c>
      <c r="I406" s="9">
        <f t="shared" si="134"/>
        <v>7</v>
      </c>
      <c r="J406" s="9" t="str">
        <f t="shared" si="135"/>
        <v>Valid</v>
      </c>
      <c r="K406" t="s">
        <v>2004</v>
      </c>
      <c r="L406" t="s">
        <v>106</v>
      </c>
      <c r="M406" t="s">
        <v>106</v>
      </c>
      <c r="N406" t="s">
        <v>107</v>
      </c>
      <c r="O406" s="3" t="str">
        <f t="shared" si="136"/>
        <v>Corporate</v>
      </c>
      <c r="P406" t="s">
        <v>72</v>
      </c>
      <c r="Q406" s="3" t="str">
        <f t="shared" si="137"/>
        <v>West</v>
      </c>
      <c r="R406" t="s">
        <v>27</v>
      </c>
      <c r="S406" t="s">
        <v>134</v>
      </c>
      <c r="T406" t="s">
        <v>44</v>
      </c>
      <c r="U406" s="3" t="str">
        <f t="shared" si="138"/>
        <v>Furniture</v>
      </c>
      <c r="V406" t="s">
        <v>75</v>
      </c>
      <c r="W406" t="s">
        <v>2005</v>
      </c>
      <c r="X406" t="s">
        <v>47</v>
      </c>
      <c r="Y406" s="3" t="str">
        <f t="shared" si="139"/>
        <v>Same Day</v>
      </c>
      <c r="Z406">
        <v>3</v>
      </c>
      <c r="AA406">
        <v>359.61</v>
      </c>
      <c r="AB406">
        <v>0</v>
      </c>
      <c r="AC406">
        <f t="shared" si="140"/>
        <v>0</v>
      </c>
      <c r="AD406" t="str">
        <f t="shared" si="143"/>
        <v>Valid</v>
      </c>
      <c r="AE406">
        <v>1078.83</v>
      </c>
      <c r="AF406">
        <v>926.35</v>
      </c>
      <c r="AG406">
        <v>152.47999999999999</v>
      </c>
      <c r="AH406" t="s">
        <v>33</v>
      </c>
      <c r="AI406" t="str">
        <f t="shared" si="144"/>
        <v>Include</v>
      </c>
      <c r="AJ406" t="str">
        <f t="shared" si="145"/>
        <v/>
      </c>
      <c r="AK406" t="s">
        <v>34</v>
      </c>
      <c r="AL406" t="str">
        <f t="shared" si="141"/>
        <v>Completed</v>
      </c>
      <c r="AM406" t="str">
        <f t="shared" si="146"/>
        <v>Include</v>
      </c>
      <c r="AN406">
        <f t="shared" si="147"/>
        <v>1078.83</v>
      </c>
      <c r="AO406">
        <f t="shared" si="148"/>
        <v>152.4799999999999</v>
      </c>
      <c r="AP406">
        <f>IF(AN406=0,0,AO406/AN406)</f>
        <v>0.14133830167867034</v>
      </c>
      <c r="AQ406" t="str">
        <f t="shared" si="149"/>
        <v>January</v>
      </c>
      <c r="AR406">
        <f t="shared" si="150"/>
        <v>2024</v>
      </c>
      <c r="AS406" t="str">
        <f t="shared" si="151"/>
        <v>Clean</v>
      </c>
      <c r="AT406" t="str">
        <f>IF(OR(AC406&lt;0,AC406&gt;0.5),"Invalid Discount","Valid")</f>
        <v>Valid</v>
      </c>
      <c r="AU406" t="str">
        <f>IF(G406&lt;E406,"Invalid Shipping Record","Valid")</f>
        <v>Valid</v>
      </c>
      <c r="AV406" t="str">
        <f>IF(OR(AL406="Cancelled",AH406="Failed"),"Exclude","Include")</f>
        <v>Include</v>
      </c>
      <c r="AW406" t="str">
        <f t="shared" si="152"/>
        <v>Match</v>
      </c>
      <c r="AX406" t="str">
        <f t="shared" si="153"/>
        <v>Match</v>
      </c>
    </row>
    <row r="407" spans="1:50">
      <c r="A407" t="s">
        <v>2006</v>
      </c>
      <c r="B407">
        <f t="shared" si="132"/>
        <v>1</v>
      </c>
      <c r="C407" t="str">
        <f t="shared" si="142"/>
        <v/>
      </c>
      <c r="D407" s="3" t="s">
        <v>2007</v>
      </c>
      <c r="E407" s="7">
        <v>45558</v>
      </c>
      <c r="F407" s="3" t="s">
        <v>2008</v>
      </c>
      <c r="G407" s="7">
        <v>45559</v>
      </c>
      <c r="H407" s="7" t="str">
        <f t="shared" si="133"/>
        <v>Valid</v>
      </c>
      <c r="I407" s="9">
        <f t="shared" si="134"/>
        <v>1</v>
      </c>
      <c r="J407" s="9" t="str">
        <f t="shared" si="135"/>
        <v>Valid</v>
      </c>
      <c r="K407" t="s">
        <v>2009</v>
      </c>
      <c r="L407" t="s">
        <v>106</v>
      </c>
      <c r="M407" t="s">
        <v>106</v>
      </c>
      <c r="N407" t="s">
        <v>114</v>
      </c>
      <c r="O407" s="3" t="str">
        <f t="shared" si="136"/>
        <v>Home Office</v>
      </c>
      <c r="P407" t="s">
        <v>72</v>
      </c>
      <c r="Q407" s="3" t="str">
        <f t="shared" si="137"/>
        <v>West</v>
      </c>
      <c r="R407" t="s">
        <v>234</v>
      </c>
      <c r="S407" t="s">
        <v>235</v>
      </c>
      <c r="T407" t="s">
        <v>44</v>
      </c>
      <c r="U407" s="3" t="str">
        <f t="shared" si="138"/>
        <v>Furniture</v>
      </c>
      <c r="V407" t="s">
        <v>203</v>
      </c>
      <c r="W407" t="s">
        <v>2010</v>
      </c>
      <c r="Y407" s="3" t="str">
        <f t="shared" si="139"/>
        <v>Unknown</v>
      </c>
      <c r="Z407">
        <v>7</v>
      </c>
      <c r="AA407">
        <v>3878.01</v>
      </c>
      <c r="AB407">
        <v>0.1</v>
      </c>
      <c r="AC407">
        <f t="shared" si="140"/>
        <v>0.1</v>
      </c>
      <c r="AD407" t="str">
        <f t="shared" si="143"/>
        <v>Valid</v>
      </c>
      <c r="AE407">
        <v>24431.46</v>
      </c>
      <c r="AF407">
        <v>18202.36</v>
      </c>
      <c r="AG407">
        <v>6229.1</v>
      </c>
      <c r="AH407" t="s">
        <v>33</v>
      </c>
      <c r="AI407" t="str">
        <f t="shared" si="144"/>
        <v>Include</v>
      </c>
      <c r="AJ407" t="str">
        <f t="shared" si="145"/>
        <v/>
      </c>
      <c r="AK407" t="s">
        <v>34</v>
      </c>
      <c r="AL407" t="str">
        <f t="shared" si="141"/>
        <v>Completed</v>
      </c>
      <c r="AM407" t="str">
        <f t="shared" si="146"/>
        <v>Include</v>
      </c>
      <c r="AN407">
        <f t="shared" si="147"/>
        <v>24431.463</v>
      </c>
      <c r="AO407">
        <f t="shared" si="148"/>
        <v>6229.1029999999992</v>
      </c>
      <c r="AP407">
        <f>IF(AN407=0,0,AO407/AN407)</f>
        <v>0.25496234097810677</v>
      </c>
      <c r="AQ407" t="str">
        <f t="shared" si="149"/>
        <v>September</v>
      </c>
      <c r="AR407">
        <f t="shared" si="150"/>
        <v>2024</v>
      </c>
      <c r="AS407" t="str">
        <f t="shared" si="151"/>
        <v>Warning</v>
      </c>
      <c r="AT407" t="str">
        <f>IF(OR(AC407&lt;0,AC407&gt;0.5),"Invalid Discount","Valid")</f>
        <v>Valid</v>
      </c>
      <c r="AU407" t="str">
        <f>IF(G407&lt;E407,"Invalid Shipping Record","Valid")</f>
        <v>Valid</v>
      </c>
      <c r="AV407" t="str">
        <f>IF(OR(AL407="Cancelled",AH407="Failed"),"Exclude","Include")</f>
        <v>Include</v>
      </c>
      <c r="AW407" t="str">
        <f t="shared" si="152"/>
        <v>Match</v>
      </c>
      <c r="AX407" t="str">
        <f t="shared" si="153"/>
        <v>Match</v>
      </c>
    </row>
    <row r="408" spans="1:50">
      <c r="A408" t="s">
        <v>2011</v>
      </c>
      <c r="B408">
        <f t="shared" si="132"/>
        <v>1</v>
      </c>
      <c r="C408" t="str">
        <f t="shared" si="142"/>
        <v/>
      </c>
      <c r="D408" s="3" t="s">
        <v>2012</v>
      </c>
      <c r="E408" s="7">
        <v>45713</v>
      </c>
      <c r="F408" s="3" t="s">
        <v>2012</v>
      </c>
      <c r="G408" s="7">
        <v>45713</v>
      </c>
      <c r="H408" s="7" t="str">
        <f t="shared" si="133"/>
        <v>Valid</v>
      </c>
      <c r="I408" s="9">
        <f t="shared" si="134"/>
        <v>0</v>
      </c>
      <c r="J408" s="9" t="str">
        <f t="shared" si="135"/>
        <v>Valid</v>
      </c>
      <c r="K408" t="s">
        <v>2013</v>
      </c>
      <c r="L408" t="s">
        <v>365</v>
      </c>
      <c r="M408" t="s">
        <v>365</v>
      </c>
      <c r="N408" t="s">
        <v>40</v>
      </c>
      <c r="O408" s="3" t="str">
        <f t="shared" si="136"/>
        <v>Small Business</v>
      </c>
      <c r="P408" t="s">
        <v>72</v>
      </c>
      <c r="Q408" s="3" t="str">
        <f t="shared" si="137"/>
        <v>West</v>
      </c>
      <c r="R408" t="s">
        <v>248</v>
      </c>
      <c r="S408" t="s">
        <v>249</v>
      </c>
      <c r="T408" t="s">
        <v>44</v>
      </c>
      <c r="U408" s="3" t="str">
        <f t="shared" si="138"/>
        <v>Furniture</v>
      </c>
      <c r="V408" t="s">
        <v>64</v>
      </c>
      <c r="W408" t="s">
        <v>2014</v>
      </c>
      <c r="X408" t="s">
        <v>66</v>
      </c>
      <c r="Y408" s="3" t="str">
        <f t="shared" si="139"/>
        <v>Standard Class</v>
      </c>
      <c r="Z408">
        <v>2</v>
      </c>
      <c r="AA408">
        <v>3924.2</v>
      </c>
      <c r="AB408">
        <v>0.25</v>
      </c>
      <c r="AC408">
        <f t="shared" si="140"/>
        <v>0.25</v>
      </c>
      <c r="AD408" t="str">
        <f t="shared" si="143"/>
        <v>Valid</v>
      </c>
      <c r="AE408">
        <v>5886.3</v>
      </c>
      <c r="AF408">
        <v>3621.76</v>
      </c>
      <c r="AG408">
        <v>2264.54</v>
      </c>
      <c r="AH408" t="s">
        <v>136</v>
      </c>
      <c r="AI408" t="str">
        <f t="shared" si="144"/>
        <v>Include</v>
      </c>
      <c r="AJ408" t="str">
        <f t="shared" si="145"/>
        <v/>
      </c>
      <c r="AK408" t="s">
        <v>124</v>
      </c>
      <c r="AL408" t="str">
        <f t="shared" si="141"/>
        <v>Returned</v>
      </c>
      <c r="AM408" t="str">
        <f t="shared" si="146"/>
        <v>Include</v>
      </c>
      <c r="AN408">
        <f t="shared" si="147"/>
        <v>5886.2999999999993</v>
      </c>
      <c r="AO408">
        <f t="shared" si="148"/>
        <v>2264.5399999999991</v>
      </c>
      <c r="AP408">
        <f>IF(AN408=0,0,AO408/AN408)</f>
        <v>0.38471365713606159</v>
      </c>
      <c r="AQ408" t="str">
        <f t="shared" si="149"/>
        <v>February</v>
      </c>
      <c r="AR408">
        <f t="shared" si="150"/>
        <v>2025</v>
      </c>
      <c r="AS408" t="str">
        <f t="shared" si="151"/>
        <v>Clean</v>
      </c>
      <c r="AT408" t="str">
        <f>IF(OR(AC408&lt;0,AC408&gt;0.5),"Invalid Discount","Valid")</f>
        <v>Valid</v>
      </c>
      <c r="AU408" t="str">
        <f>IF(G408&lt;E408,"Invalid Shipping Record","Valid")</f>
        <v>Valid</v>
      </c>
      <c r="AV408" t="str">
        <f>IF(OR(AL408="Cancelled",AH408="Failed"),"Exclude","Include")</f>
        <v>Include</v>
      </c>
      <c r="AW408" t="str">
        <f t="shared" si="152"/>
        <v>Match</v>
      </c>
      <c r="AX408" t="str">
        <f t="shared" si="153"/>
        <v>Match</v>
      </c>
    </row>
    <row r="409" spans="1:50">
      <c r="A409" t="s">
        <v>2015</v>
      </c>
      <c r="B409">
        <f t="shared" si="132"/>
        <v>1</v>
      </c>
      <c r="C409" t="str">
        <f t="shared" si="142"/>
        <v/>
      </c>
      <c r="D409" s="3" t="s">
        <v>2016</v>
      </c>
      <c r="E409" s="7">
        <v>45424</v>
      </c>
      <c r="F409" s="3" t="s">
        <v>2017</v>
      </c>
      <c r="G409" s="7">
        <v>45425</v>
      </c>
      <c r="H409" s="7" t="str">
        <f t="shared" si="133"/>
        <v>Valid</v>
      </c>
      <c r="I409" s="9">
        <f t="shared" si="134"/>
        <v>1</v>
      </c>
      <c r="J409" s="9" t="str">
        <f t="shared" si="135"/>
        <v>Valid</v>
      </c>
      <c r="K409" t="s">
        <v>2018</v>
      </c>
      <c r="L409" t="s">
        <v>147</v>
      </c>
      <c r="M409" t="s">
        <v>147</v>
      </c>
      <c r="N409" t="s">
        <v>107</v>
      </c>
      <c r="O409" s="3" t="str">
        <f t="shared" si="136"/>
        <v>Corporate</v>
      </c>
      <c r="P409" t="s">
        <v>72</v>
      </c>
      <c r="Q409" s="3" t="str">
        <f t="shared" si="137"/>
        <v>West</v>
      </c>
      <c r="R409" t="s">
        <v>248</v>
      </c>
      <c r="S409" t="s">
        <v>249</v>
      </c>
      <c r="T409" t="s">
        <v>29</v>
      </c>
      <c r="U409" s="3" t="str">
        <f t="shared" si="138"/>
        <v>Office Supplies</v>
      </c>
      <c r="V409" t="s">
        <v>108</v>
      </c>
      <c r="W409" t="s">
        <v>2019</v>
      </c>
      <c r="X409" t="s">
        <v>32</v>
      </c>
      <c r="Y409" s="3" t="str">
        <f t="shared" si="139"/>
        <v>Second Class</v>
      </c>
      <c r="Z409">
        <v>3</v>
      </c>
      <c r="AA409">
        <v>2644.55</v>
      </c>
      <c r="AB409">
        <v>0</v>
      </c>
      <c r="AC409">
        <f t="shared" si="140"/>
        <v>0</v>
      </c>
      <c r="AD409" t="str">
        <f t="shared" si="143"/>
        <v>Valid</v>
      </c>
      <c r="AE409">
        <v>7933.65</v>
      </c>
      <c r="AF409">
        <v>5698.42</v>
      </c>
      <c r="AG409">
        <v>2235.23</v>
      </c>
      <c r="AH409" t="s">
        <v>33</v>
      </c>
      <c r="AI409" t="str">
        <f t="shared" si="144"/>
        <v>Include</v>
      </c>
      <c r="AJ409" t="str">
        <f t="shared" si="145"/>
        <v/>
      </c>
      <c r="AK409" t="s">
        <v>34</v>
      </c>
      <c r="AL409" t="str">
        <f t="shared" si="141"/>
        <v>Completed</v>
      </c>
      <c r="AM409" t="str">
        <f t="shared" si="146"/>
        <v>Include</v>
      </c>
      <c r="AN409">
        <f t="shared" si="147"/>
        <v>7933.6500000000005</v>
      </c>
      <c r="AO409">
        <f t="shared" si="148"/>
        <v>2235.2300000000005</v>
      </c>
      <c r="AP409">
        <f>IF(AN409=0,0,AO409/AN409)</f>
        <v>0.2817404347305465</v>
      </c>
      <c r="AQ409" t="str">
        <f t="shared" si="149"/>
        <v>May</v>
      </c>
      <c r="AR409">
        <f t="shared" si="150"/>
        <v>2024</v>
      </c>
      <c r="AS409" t="str">
        <f t="shared" si="151"/>
        <v>Clean</v>
      </c>
      <c r="AT409" t="str">
        <f>IF(OR(AC409&lt;0,AC409&gt;0.5),"Invalid Discount","Valid")</f>
        <v>Valid</v>
      </c>
      <c r="AU409" t="str">
        <f>IF(G409&lt;E409,"Invalid Shipping Record","Valid")</f>
        <v>Valid</v>
      </c>
      <c r="AV409" t="str">
        <f>IF(OR(AL409="Cancelled",AH409="Failed"),"Exclude","Include")</f>
        <v>Include</v>
      </c>
      <c r="AW409" t="str">
        <f t="shared" si="152"/>
        <v>Match</v>
      </c>
      <c r="AX409" t="str">
        <f t="shared" si="153"/>
        <v>Match</v>
      </c>
    </row>
    <row r="410" spans="1:50">
      <c r="A410" t="s">
        <v>2020</v>
      </c>
      <c r="B410">
        <f t="shared" si="132"/>
        <v>1</v>
      </c>
      <c r="C410" t="str">
        <f t="shared" si="142"/>
        <v/>
      </c>
      <c r="D410" s="3" t="s">
        <v>819</v>
      </c>
      <c r="E410" s="7">
        <v>45870</v>
      </c>
      <c r="F410" s="3" t="s">
        <v>1079</v>
      </c>
      <c r="G410" s="7">
        <v>45872</v>
      </c>
      <c r="H410" s="7" t="str">
        <f t="shared" si="133"/>
        <v>Valid</v>
      </c>
      <c r="I410" s="9">
        <f t="shared" si="134"/>
        <v>2</v>
      </c>
      <c r="J410" s="9" t="str">
        <f t="shared" si="135"/>
        <v>Valid</v>
      </c>
      <c r="K410" t="s">
        <v>2021</v>
      </c>
      <c r="L410" t="s">
        <v>167</v>
      </c>
      <c r="M410" t="s">
        <v>167</v>
      </c>
      <c r="N410" t="s">
        <v>25</v>
      </c>
      <c r="O410" s="3" t="str">
        <f t="shared" si="136"/>
        <v>Consumer</v>
      </c>
      <c r="P410" t="s">
        <v>72</v>
      </c>
      <c r="Q410" s="3" t="str">
        <f t="shared" si="137"/>
        <v>West</v>
      </c>
      <c r="R410" t="s">
        <v>73</v>
      </c>
      <c r="S410" t="s">
        <v>74</v>
      </c>
      <c r="T410" t="s">
        <v>44</v>
      </c>
      <c r="U410" s="3" t="str">
        <f t="shared" si="138"/>
        <v>Furniture</v>
      </c>
      <c r="V410" t="s">
        <v>75</v>
      </c>
      <c r="W410" t="s">
        <v>2022</v>
      </c>
      <c r="X410" t="s">
        <v>55</v>
      </c>
      <c r="Y410" s="3" t="str">
        <f t="shared" si="139"/>
        <v>First Class</v>
      </c>
      <c r="Z410">
        <v>4</v>
      </c>
      <c r="AA410">
        <v>1773.46</v>
      </c>
      <c r="AB410">
        <v>0</v>
      </c>
      <c r="AC410">
        <f t="shared" si="140"/>
        <v>0</v>
      </c>
      <c r="AD410" t="str">
        <f t="shared" si="143"/>
        <v>Valid</v>
      </c>
      <c r="AE410">
        <v>7093.84</v>
      </c>
      <c r="AF410">
        <v>4587.49</v>
      </c>
      <c r="AG410">
        <v>2506.35</v>
      </c>
      <c r="AH410" t="s">
        <v>199</v>
      </c>
      <c r="AI410" t="str">
        <f t="shared" si="144"/>
        <v>Exclude</v>
      </c>
      <c r="AJ410" t="str">
        <f t="shared" si="145"/>
        <v/>
      </c>
      <c r="AK410" t="s">
        <v>124</v>
      </c>
      <c r="AL410" t="str">
        <f t="shared" si="141"/>
        <v>Returned</v>
      </c>
      <c r="AM410" t="str">
        <f t="shared" si="146"/>
        <v>Include</v>
      </c>
      <c r="AN410">
        <f t="shared" si="147"/>
        <v>7093.84</v>
      </c>
      <c r="AO410">
        <f t="shared" si="148"/>
        <v>2506.3500000000004</v>
      </c>
      <c r="AP410">
        <f>IF(AN410=0,0,AO410/AN410)</f>
        <v>0.35331357910525191</v>
      </c>
      <c r="AQ410" t="str">
        <f t="shared" si="149"/>
        <v>August</v>
      </c>
      <c r="AR410">
        <f t="shared" si="150"/>
        <v>2025</v>
      </c>
      <c r="AS410" t="str">
        <f t="shared" si="151"/>
        <v>Clean</v>
      </c>
      <c r="AT410" t="str">
        <f>IF(OR(AC410&lt;0,AC410&gt;0.5),"Invalid Discount","Valid")</f>
        <v>Valid</v>
      </c>
      <c r="AU410" t="str">
        <f>IF(G410&lt;E410,"Invalid Shipping Record","Valid")</f>
        <v>Valid</v>
      </c>
      <c r="AV410" t="str">
        <f>IF(OR(AL410="Cancelled",AH410="Failed"),"Exclude","Include")</f>
        <v>Exclude</v>
      </c>
      <c r="AW410" t="str">
        <f t="shared" si="152"/>
        <v>Match</v>
      </c>
      <c r="AX410" t="str">
        <f t="shared" si="153"/>
        <v>Match</v>
      </c>
    </row>
    <row r="411" spans="1:50">
      <c r="A411" t="s">
        <v>2023</v>
      </c>
      <c r="B411">
        <f t="shared" si="132"/>
        <v>1</v>
      </c>
      <c r="C411" t="str">
        <f t="shared" si="142"/>
        <v/>
      </c>
      <c r="D411" s="3" t="s">
        <v>829</v>
      </c>
      <c r="E411" s="7">
        <v>45701</v>
      </c>
      <c r="F411" s="3" t="s">
        <v>770</v>
      </c>
      <c r="G411" s="7">
        <v>45703</v>
      </c>
      <c r="H411" s="7" t="str">
        <f t="shared" si="133"/>
        <v>Valid</v>
      </c>
      <c r="I411" s="9">
        <f t="shared" si="134"/>
        <v>2</v>
      </c>
      <c r="J411" s="9" t="str">
        <f t="shared" si="135"/>
        <v>Valid</v>
      </c>
      <c r="K411" t="s">
        <v>2024</v>
      </c>
      <c r="L411" t="s">
        <v>24</v>
      </c>
      <c r="M411" t="s">
        <v>24</v>
      </c>
      <c r="N411" t="s">
        <v>25</v>
      </c>
      <c r="O411" s="3" t="str">
        <f t="shared" si="136"/>
        <v>Consumer</v>
      </c>
      <c r="P411" t="s">
        <v>41</v>
      </c>
      <c r="Q411" s="3" t="str">
        <f t="shared" si="137"/>
        <v>East</v>
      </c>
      <c r="R411" t="s">
        <v>215</v>
      </c>
      <c r="S411" t="s">
        <v>216</v>
      </c>
      <c r="T411" t="s">
        <v>85</v>
      </c>
      <c r="U411" s="3" t="str">
        <f t="shared" si="138"/>
        <v>Technology</v>
      </c>
      <c r="V411" t="s">
        <v>86</v>
      </c>
      <c r="W411" t="s">
        <v>2025</v>
      </c>
      <c r="X411" t="s">
        <v>47</v>
      </c>
      <c r="Y411" s="3" t="str">
        <f t="shared" si="139"/>
        <v>Same Day</v>
      </c>
      <c r="Z411">
        <v>1</v>
      </c>
      <c r="AA411">
        <v>3025.46</v>
      </c>
      <c r="AB411">
        <v>0.25</v>
      </c>
      <c r="AC411">
        <f t="shared" si="140"/>
        <v>0.25</v>
      </c>
      <c r="AD411" t="str">
        <f t="shared" si="143"/>
        <v>Valid</v>
      </c>
      <c r="AE411">
        <v>2269.1</v>
      </c>
      <c r="AF411">
        <v>1593.59</v>
      </c>
      <c r="AG411">
        <v>675.51</v>
      </c>
      <c r="AH411" t="s">
        <v>123</v>
      </c>
      <c r="AI411" t="str">
        <f t="shared" si="144"/>
        <v>Include</v>
      </c>
      <c r="AJ411" t="str">
        <f t="shared" si="145"/>
        <v>Refunded Order</v>
      </c>
      <c r="AK411" t="s">
        <v>124</v>
      </c>
      <c r="AL411" t="str">
        <f t="shared" si="141"/>
        <v>Returned</v>
      </c>
      <c r="AM411" t="str">
        <f t="shared" si="146"/>
        <v>Include</v>
      </c>
      <c r="AN411">
        <f t="shared" si="147"/>
        <v>2269.0950000000003</v>
      </c>
      <c r="AO411">
        <f t="shared" si="148"/>
        <v>675.50500000000034</v>
      </c>
      <c r="AP411">
        <f>IF(AN411=0,0,AO411/AN411)</f>
        <v>0.29769798091309541</v>
      </c>
      <c r="AQ411" t="str">
        <f t="shared" si="149"/>
        <v>February</v>
      </c>
      <c r="AR411">
        <f t="shared" si="150"/>
        <v>2025</v>
      </c>
      <c r="AS411" t="str">
        <f t="shared" si="151"/>
        <v>Clean</v>
      </c>
      <c r="AT411" t="str">
        <f>IF(OR(AC411&lt;0,AC411&gt;0.5),"Invalid Discount","Valid")</f>
        <v>Valid</v>
      </c>
      <c r="AU411" t="str">
        <f>IF(G411&lt;E411,"Invalid Shipping Record","Valid")</f>
        <v>Valid</v>
      </c>
      <c r="AV411" t="str">
        <f>IF(OR(AL411="Cancelled",AH411="Failed"),"Exclude","Include")</f>
        <v>Include</v>
      </c>
      <c r="AW411" t="str">
        <f t="shared" si="152"/>
        <v>Match</v>
      </c>
      <c r="AX411" t="str">
        <f t="shared" si="153"/>
        <v>Match</v>
      </c>
    </row>
    <row r="412" spans="1:50">
      <c r="A412" t="s">
        <v>2026</v>
      </c>
      <c r="B412">
        <f t="shared" ref="B412:B475" si="154">COUNTIF($A:$A,A412)</f>
        <v>1</v>
      </c>
      <c r="C412" t="str">
        <f t="shared" si="142"/>
        <v/>
      </c>
      <c r="D412" s="3" t="s">
        <v>2027</v>
      </c>
      <c r="E412" s="7">
        <v>45394</v>
      </c>
      <c r="F412" s="3" t="s">
        <v>2028</v>
      </c>
      <c r="G412" s="7">
        <v>45402</v>
      </c>
      <c r="H412" s="7" t="str">
        <f t="shared" si="133"/>
        <v>Valid</v>
      </c>
      <c r="I412" s="9">
        <f t="shared" si="134"/>
        <v>8</v>
      </c>
      <c r="J412" s="9" t="str">
        <f t="shared" si="135"/>
        <v>Valid</v>
      </c>
      <c r="K412" t="s">
        <v>2029</v>
      </c>
      <c r="L412" t="s">
        <v>209</v>
      </c>
      <c r="M412" t="s">
        <v>209</v>
      </c>
      <c r="N412" t="s">
        <v>25</v>
      </c>
      <c r="O412" s="3" t="str">
        <f t="shared" si="136"/>
        <v>Consumer</v>
      </c>
      <c r="P412" t="s">
        <v>72</v>
      </c>
      <c r="Q412" s="3" t="str">
        <f t="shared" si="137"/>
        <v>West</v>
      </c>
      <c r="R412" t="s">
        <v>248</v>
      </c>
      <c r="S412" t="s">
        <v>249</v>
      </c>
      <c r="T412" t="s">
        <v>44</v>
      </c>
      <c r="U412" s="3" t="str">
        <f t="shared" si="138"/>
        <v>Furniture</v>
      </c>
      <c r="V412" t="s">
        <v>45</v>
      </c>
      <c r="W412" t="s">
        <v>2030</v>
      </c>
      <c r="X412" t="s">
        <v>55</v>
      </c>
      <c r="Y412" s="3" t="str">
        <f t="shared" si="139"/>
        <v>First Class</v>
      </c>
      <c r="Z412">
        <v>9</v>
      </c>
      <c r="AA412">
        <v>1302.6099999999999</v>
      </c>
      <c r="AB412">
        <v>0.2</v>
      </c>
      <c r="AC412">
        <f t="shared" si="140"/>
        <v>0.2</v>
      </c>
      <c r="AD412" t="str">
        <f t="shared" si="143"/>
        <v>Valid</v>
      </c>
      <c r="AE412">
        <v>9378.7900000000009</v>
      </c>
      <c r="AF412">
        <v>6774.48</v>
      </c>
      <c r="AG412">
        <v>2604.31</v>
      </c>
      <c r="AH412" t="s">
        <v>33</v>
      </c>
      <c r="AI412" t="str">
        <f t="shared" si="144"/>
        <v>Include</v>
      </c>
      <c r="AJ412" t="str">
        <f t="shared" si="145"/>
        <v/>
      </c>
      <c r="AK412" t="s">
        <v>34</v>
      </c>
      <c r="AL412" t="str">
        <f t="shared" si="141"/>
        <v>Completed</v>
      </c>
      <c r="AM412" t="str">
        <f t="shared" si="146"/>
        <v>Include</v>
      </c>
      <c r="AN412">
        <f t="shared" si="147"/>
        <v>9378.7919999999995</v>
      </c>
      <c r="AO412">
        <f t="shared" si="148"/>
        <v>2604.3119999999999</v>
      </c>
      <c r="AP412">
        <f>IF(AN412=0,0,AO412/AN412)</f>
        <v>0.27768096360384154</v>
      </c>
      <c r="AQ412" t="str">
        <f t="shared" si="149"/>
        <v>April</v>
      </c>
      <c r="AR412">
        <f t="shared" si="150"/>
        <v>2024</v>
      </c>
      <c r="AS412" t="str">
        <f t="shared" si="151"/>
        <v>Clean</v>
      </c>
      <c r="AT412" t="str">
        <f>IF(OR(AC412&lt;0,AC412&gt;0.5),"Invalid Discount","Valid")</f>
        <v>Valid</v>
      </c>
      <c r="AU412" t="str">
        <f>IF(G412&lt;E412,"Invalid Shipping Record","Valid")</f>
        <v>Valid</v>
      </c>
      <c r="AV412" t="str">
        <f>IF(OR(AL412="Cancelled",AH412="Failed"),"Exclude","Include")</f>
        <v>Include</v>
      </c>
      <c r="AW412" t="str">
        <f t="shared" si="152"/>
        <v>Match</v>
      </c>
      <c r="AX412" t="str">
        <f t="shared" si="153"/>
        <v>Match</v>
      </c>
    </row>
    <row r="413" spans="1:50">
      <c r="A413" t="s">
        <v>2031</v>
      </c>
      <c r="B413">
        <f t="shared" si="154"/>
        <v>1</v>
      </c>
      <c r="C413" t="str">
        <f t="shared" si="142"/>
        <v/>
      </c>
      <c r="D413" s="3" t="s">
        <v>2032</v>
      </c>
      <c r="E413" s="7">
        <v>45892</v>
      </c>
      <c r="F413" s="3" t="s">
        <v>2033</v>
      </c>
      <c r="G413" s="7">
        <v>45897</v>
      </c>
      <c r="H413" s="7" t="str">
        <f t="shared" si="133"/>
        <v>Valid</v>
      </c>
      <c r="I413" s="9">
        <f t="shared" si="134"/>
        <v>5</v>
      </c>
      <c r="J413" s="9" t="str">
        <f t="shared" si="135"/>
        <v>Valid</v>
      </c>
      <c r="K413" t="s">
        <v>2034</v>
      </c>
      <c r="L413" t="s">
        <v>60</v>
      </c>
      <c r="M413" t="s">
        <v>60</v>
      </c>
      <c r="N413" t="s">
        <v>114</v>
      </c>
      <c r="O413" s="3" t="str">
        <f t="shared" si="136"/>
        <v>Home Office</v>
      </c>
      <c r="P413" t="s">
        <v>72</v>
      </c>
      <c r="Q413" s="3" t="str">
        <f t="shared" si="137"/>
        <v>West</v>
      </c>
      <c r="R413" t="s">
        <v>27</v>
      </c>
      <c r="S413" t="s">
        <v>134</v>
      </c>
      <c r="T413" t="s">
        <v>44</v>
      </c>
      <c r="U413" s="3" t="str">
        <f t="shared" si="138"/>
        <v>Furniture</v>
      </c>
      <c r="V413" t="s">
        <v>45</v>
      </c>
      <c r="W413" t="s">
        <v>2035</v>
      </c>
      <c r="X413" t="s">
        <v>55</v>
      </c>
      <c r="Y413" s="3" t="str">
        <f t="shared" si="139"/>
        <v>First Class</v>
      </c>
      <c r="Z413">
        <v>1</v>
      </c>
      <c r="AA413">
        <v>4167.8100000000004</v>
      </c>
      <c r="AB413">
        <v>0.2</v>
      </c>
      <c r="AC413">
        <f t="shared" si="140"/>
        <v>0.2</v>
      </c>
      <c r="AD413" t="str">
        <f t="shared" si="143"/>
        <v>Valid</v>
      </c>
      <c r="AE413">
        <v>3334.25</v>
      </c>
      <c r="AF413">
        <v>2768.77</v>
      </c>
      <c r="AG413">
        <v>565.48</v>
      </c>
      <c r="AH413" t="s">
        <v>199</v>
      </c>
      <c r="AI413" t="str">
        <f t="shared" si="144"/>
        <v>Exclude</v>
      </c>
      <c r="AJ413" t="str">
        <f t="shared" si="145"/>
        <v/>
      </c>
      <c r="AK413" t="s">
        <v>124</v>
      </c>
      <c r="AL413" t="str">
        <f t="shared" si="141"/>
        <v>Returned</v>
      </c>
      <c r="AM413" t="str">
        <f t="shared" si="146"/>
        <v>Include</v>
      </c>
      <c r="AN413">
        <f t="shared" si="147"/>
        <v>3334.2480000000005</v>
      </c>
      <c r="AO413">
        <f t="shared" si="148"/>
        <v>565.47800000000052</v>
      </c>
      <c r="AP413">
        <f>IF(AN413=0,0,AO413/AN413)</f>
        <v>0.16959686262089696</v>
      </c>
      <c r="AQ413" t="str">
        <f t="shared" si="149"/>
        <v>August</v>
      </c>
      <c r="AR413">
        <f t="shared" si="150"/>
        <v>2025</v>
      </c>
      <c r="AS413" t="str">
        <f t="shared" si="151"/>
        <v>Clean</v>
      </c>
      <c r="AT413" t="str">
        <f>IF(OR(AC413&lt;0,AC413&gt;0.5),"Invalid Discount","Valid")</f>
        <v>Valid</v>
      </c>
      <c r="AU413" t="str">
        <f>IF(G413&lt;E413,"Invalid Shipping Record","Valid")</f>
        <v>Valid</v>
      </c>
      <c r="AV413" t="str">
        <f>IF(OR(AL413="Cancelled",AH413="Failed"),"Exclude","Include")</f>
        <v>Exclude</v>
      </c>
      <c r="AW413" t="str">
        <f t="shared" si="152"/>
        <v>Match</v>
      </c>
      <c r="AX413" t="str">
        <f t="shared" si="153"/>
        <v>Match</v>
      </c>
    </row>
    <row r="414" spans="1:50">
      <c r="A414" t="s">
        <v>2036</v>
      </c>
      <c r="B414">
        <f t="shared" si="154"/>
        <v>1</v>
      </c>
      <c r="C414" t="str">
        <f t="shared" si="142"/>
        <v/>
      </c>
      <c r="D414" s="3" t="s">
        <v>2037</v>
      </c>
      <c r="E414" s="7">
        <v>45313</v>
      </c>
      <c r="F414" s="3" t="s">
        <v>833</v>
      </c>
      <c r="G414" s="7">
        <v>45321</v>
      </c>
      <c r="H414" s="7" t="str">
        <f t="shared" si="133"/>
        <v>Valid</v>
      </c>
      <c r="I414" s="9">
        <f t="shared" si="134"/>
        <v>8</v>
      </c>
      <c r="J414" s="9" t="str">
        <f t="shared" si="135"/>
        <v>Valid</v>
      </c>
      <c r="K414" t="s">
        <v>2038</v>
      </c>
      <c r="L414" t="s">
        <v>52</v>
      </c>
      <c r="M414" t="s">
        <v>52</v>
      </c>
      <c r="N414" t="s">
        <v>107</v>
      </c>
      <c r="O414" s="3" t="str">
        <f t="shared" si="136"/>
        <v>Corporate</v>
      </c>
      <c r="P414" t="s">
        <v>61</v>
      </c>
      <c r="Q414" s="3" t="str">
        <f t="shared" si="137"/>
        <v>South</v>
      </c>
      <c r="R414" t="s">
        <v>228</v>
      </c>
      <c r="S414" t="s">
        <v>229</v>
      </c>
      <c r="T414" t="s">
        <v>44</v>
      </c>
      <c r="U414" s="3" t="str">
        <f t="shared" si="138"/>
        <v>Furniture</v>
      </c>
      <c r="V414" t="s">
        <v>75</v>
      </c>
      <c r="W414" t="s">
        <v>2039</v>
      </c>
      <c r="X414" t="s">
        <v>47</v>
      </c>
      <c r="Y414" s="3" t="str">
        <f t="shared" si="139"/>
        <v>Same Day</v>
      </c>
      <c r="Z414">
        <v>1</v>
      </c>
      <c r="AA414">
        <v>2111.39</v>
      </c>
      <c r="AB414">
        <v>0.25</v>
      </c>
      <c r="AC414">
        <f t="shared" si="140"/>
        <v>0.25</v>
      </c>
      <c r="AD414" t="str">
        <f t="shared" si="143"/>
        <v>Valid</v>
      </c>
      <c r="AE414">
        <v>1583.54</v>
      </c>
      <c r="AF414">
        <v>1014.19</v>
      </c>
      <c r="AG414">
        <v>569.35</v>
      </c>
      <c r="AH414" t="s">
        <v>33</v>
      </c>
      <c r="AI414" t="str">
        <f t="shared" si="144"/>
        <v>Include</v>
      </c>
      <c r="AJ414" t="str">
        <f t="shared" si="145"/>
        <v/>
      </c>
      <c r="AK414" t="s">
        <v>34</v>
      </c>
      <c r="AL414" t="str">
        <f t="shared" si="141"/>
        <v>Completed</v>
      </c>
      <c r="AM414" t="str">
        <f t="shared" si="146"/>
        <v>Include</v>
      </c>
      <c r="AN414">
        <f t="shared" si="147"/>
        <v>1583.5425</v>
      </c>
      <c r="AO414">
        <f t="shared" si="148"/>
        <v>569.35249999999996</v>
      </c>
      <c r="AP414">
        <f>IF(AN414=0,0,AO414/AN414)</f>
        <v>0.35954355503562424</v>
      </c>
      <c r="AQ414" t="str">
        <f t="shared" si="149"/>
        <v>January</v>
      </c>
      <c r="AR414">
        <f t="shared" si="150"/>
        <v>2024</v>
      </c>
      <c r="AS414" t="str">
        <f t="shared" si="151"/>
        <v>Clean</v>
      </c>
      <c r="AT414" t="str">
        <f>IF(OR(AC414&lt;0,AC414&gt;0.5),"Invalid Discount","Valid")</f>
        <v>Valid</v>
      </c>
      <c r="AU414" t="str">
        <f>IF(G414&lt;E414,"Invalid Shipping Record","Valid")</f>
        <v>Valid</v>
      </c>
      <c r="AV414" t="str">
        <f>IF(OR(AL414="Cancelled",AH414="Failed"),"Exclude","Include")</f>
        <v>Include</v>
      </c>
      <c r="AW414" t="str">
        <f t="shared" si="152"/>
        <v>Match</v>
      </c>
      <c r="AX414" t="str">
        <f t="shared" si="153"/>
        <v>Match</v>
      </c>
    </row>
    <row r="415" spans="1:50">
      <c r="A415" t="s">
        <v>2040</v>
      </c>
      <c r="B415">
        <f t="shared" si="154"/>
        <v>1</v>
      </c>
      <c r="C415" t="str">
        <f t="shared" si="142"/>
        <v/>
      </c>
      <c r="D415" s="3" t="s">
        <v>239</v>
      </c>
      <c r="E415" s="7">
        <v>45882</v>
      </c>
      <c r="F415" s="3" t="s">
        <v>2041</v>
      </c>
      <c r="G415" s="7">
        <v>45886</v>
      </c>
      <c r="H415" s="7" t="str">
        <f t="shared" si="133"/>
        <v>Valid</v>
      </c>
      <c r="I415" s="9">
        <f t="shared" si="134"/>
        <v>4</v>
      </c>
      <c r="J415" s="9" t="str">
        <f t="shared" si="135"/>
        <v>Valid</v>
      </c>
      <c r="K415" t="s">
        <v>2042</v>
      </c>
      <c r="L415" t="s">
        <v>92</v>
      </c>
      <c r="M415" t="s">
        <v>92</v>
      </c>
      <c r="N415" t="s">
        <v>114</v>
      </c>
      <c r="O415" s="3" t="str">
        <f t="shared" si="136"/>
        <v>Home Office</v>
      </c>
      <c r="P415" t="s">
        <v>72</v>
      </c>
      <c r="Q415" s="3" t="str">
        <f t="shared" si="137"/>
        <v>West</v>
      </c>
      <c r="R415" t="s">
        <v>83</v>
      </c>
      <c r="S415" t="s">
        <v>84</v>
      </c>
      <c r="T415" t="s">
        <v>85</v>
      </c>
      <c r="U415" s="3" t="str">
        <f t="shared" si="138"/>
        <v>Technology</v>
      </c>
      <c r="V415" t="s">
        <v>86</v>
      </c>
      <c r="W415" t="s">
        <v>2043</v>
      </c>
      <c r="X415" t="s">
        <v>32</v>
      </c>
      <c r="Y415" s="3" t="str">
        <f t="shared" si="139"/>
        <v>Second Class</v>
      </c>
      <c r="Z415">
        <v>8</v>
      </c>
      <c r="AA415">
        <v>1918.23</v>
      </c>
      <c r="AB415">
        <v>0</v>
      </c>
      <c r="AC415">
        <f t="shared" si="140"/>
        <v>0</v>
      </c>
      <c r="AD415" t="str">
        <f t="shared" si="143"/>
        <v>Valid</v>
      </c>
      <c r="AE415">
        <v>15345.84</v>
      </c>
      <c r="AF415">
        <v>10735.33</v>
      </c>
      <c r="AG415">
        <v>4610.51</v>
      </c>
      <c r="AH415" t="s">
        <v>136</v>
      </c>
      <c r="AI415" t="str">
        <f t="shared" si="144"/>
        <v>Exclude</v>
      </c>
      <c r="AJ415" t="str">
        <f t="shared" si="145"/>
        <v/>
      </c>
      <c r="AK415" t="s">
        <v>77</v>
      </c>
      <c r="AL415" t="str">
        <f t="shared" si="141"/>
        <v>Cancelled</v>
      </c>
      <c r="AM415" t="str">
        <f t="shared" si="146"/>
        <v>Exclude</v>
      </c>
      <c r="AN415">
        <f t="shared" si="147"/>
        <v>15345.84</v>
      </c>
      <c r="AO415">
        <f t="shared" si="148"/>
        <v>4610.51</v>
      </c>
      <c r="AP415">
        <f>IF(AN415=0,0,AO415/AN415)</f>
        <v>0.30044037993358463</v>
      </c>
      <c r="AQ415" t="str">
        <f t="shared" si="149"/>
        <v>August</v>
      </c>
      <c r="AR415">
        <f t="shared" si="150"/>
        <v>2025</v>
      </c>
      <c r="AS415" t="str">
        <f t="shared" si="151"/>
        <v>Clean</v>
      </c>
      <c r="AT415" t="str">
        <f>IF(OR(AC415&lt;0,AC415&gt;0.5),"Invalid Discount","Valid")</f>
        <v>Valid</v>
      </c>
      <c r="AU415" t="str">
        <f>IF(G415&lt;E415,"Invalid Shipping Record","Valid")</f>
        <v>Valid</v>
      </c>
      <c r="AV415" t="str">
        <f>IF(OR(AL415="Cancelled",AH415="Failed"),"Exclude","Include")</f>
        <v>Exclude</v>
      </c>
      <c r="AW415" t="str">
        <f t="shared" si="152"/>
        <v>Match</v>
      </c>
      <c r="AX415" t="str">
        <f t="shared" si="153"/>
        <v>Match</v>
      </c>
    </row>
    <row r="416" spans="1:50">
      <c r="A416" t="s">
        <v>2044</v>
      </c>
      <c r="B416">
        <f t="shared" si="154"/>
        <v>1</v>
      </c>
      <c r="C416" t="str">
        <f t="shared" si="142"/>
        <v/>
      </c>
      <c r="D416" s="3" t="s">
        <v>2045</v>
      </c>
      <c r="E416" s="7">
        <v>45533</v>
      </c>
      <c r="F416" s="3" t="s">
        <v>2046</v>
      </c>
      <c r="G416" s="7">
        <v>45534</v>
      </c>
      <c r="H416" s="7" t="str">
        <f t="shared" si="133"/>
        <v>Valid</v>
      </c>
      <c r="I416" s="9">
        <f t="shared" si="134"/>
        <v>1</v>
      </c>
      <c r="J416" s="9" t="str">
        <f t="shared" si="135"/>
        <v>Valid</v>
      </c>
      <c r="K416" t="s">
        <v>2047</v>
      </c>
      <c r="L416" t="s">
        <v>60</v>
      </c>
      <c r="M416" t="s">
        <v>60</v>
      </c>
      <c r="N416" t="s">
        <v>114</v>
      </c>
      <c r="O416" s="3" t="str">
        <f t="shared" si="136"/>
        <v>Home Office</v>
      </c>
      <c r="P416" t="s">
        <v>41</v>
      </c>
      <c r="Q416" s="3" t="str">
        <f t="shared" si="137"/>
        <v>East</v>
      </c>
      <c r="R416" t="s">
        <v>215</v>
      </c>
      <c r="S416" t="s">
        <v>216</v>
      </c>
      <c r="T416" t="s">
        <v>29</v>
      </c>
      <c r="U416" s="3" t="str">
        <f t="shared" si="138"/>
        <v>Office Supplies</v>
      </c>
      <c r="V416" t="s">
        <v>155</v>
      </c>
      <c r="W416" t="s">
        <v>2048</v>
      </c>
      <c r="X416" t="s">
        <v>55</v>
      </c>
      <c r="Y416" s="3" t="str">
        <f t="shared" si="139"/>
        <v>First Class</v>
      </c>
      <c r="Z416">
        <v>4</v>
      </c>
      <c r="AA416">
        <v>2484.08</v>
      </c>
      <c r="AB416">
        <v>0.05</v>
      </c>
      <c r="AC416">
        <f t="shared" si="140"/>
        <v>0.05</v>
      </c>
      <c r="AD416" t="str">
        <f t="shared" si="143"/>
        <v>Valid</v>
      </c>
      <c r="AE416">
        <v>9439.5</v>
      </c>
      <c r="AF416">
        <v>5519.39</v>
      </c>
      <c r="AG416">
        <v>3920.11</v>
      </c>
      <c r="AH416" t="s">
        <v>33</v>
      </c>
      <c r="AI416" t="str">
        <f t="shared" si="144"/>
        <v>Include</v>
      </c>
      <c r="AJ416" t="str">
        <f t="shared" si="145"/>
        <v/>
      </c>
      <c r="AK416" t="s">
        <v>34</v>
      </c>
      <c r="AL416" t="str">
        <f t="shared" si="141"/>
        <v>Completed</v>
      </c>
      <c r="AM416" t="str">
        <f t="shared" si="146"/>
        <v>Include</v>
      </c>
      <c r="AN416">
        <f t="shared" si="147"/>
        <v>9439.503999999999</v>
      </c>
      <c r="AO416">
        <f t="shared" si="148"/>
        <v>3920.1139999999987</v>
      </c>
      <c r="AP416">
        <f>IF(AN416=0,0,AO416/AN416)</f>
        <v>0.41528813378330037</v>
      </c>
      <c r="AQ416" t="str">
        <f t="shared" si="149"/>
        <v>August</v>
      </c>
      <c r="AR416">
        <f t="shared" si="150"/>
        <v>2024</v>
      </c>
      <c r="AS416" t="str">
        <f t="shared" si="151"/>
        <v>Clean</v>
      </c>
      <c r="AT416" t="str">
        <f>IF(OR(AC416&lt;0,AC416&gt;0.5),"Invalid Discount","Valid")</f>
        <v>Valid</v>
      </c>
      <c r="AU416" t="str">
        <f>IF(G416&lt;E416,"Invalid Shipping Record","Valid")</f>
        <v>Valid</v>
      </c>
      <c r="AV416" t="str">
        <f>IF(OR(AL416="Cancelled",AH416="Failed"),"Exclude","Include")</f>
        <v>Include</v>
      </c>
      <c r="AW416" t="str">
        <f t="shared" si="152"/>
        <v>Match</v>
      </c>
      <c r="AX416" t="str">
        <f t="shared" si="153"/>
        <v>Match</v>
      </c>
    </row>
    <row r="417" spans="1:50">
      <c r="A417" t="s">
        <v>2049</v>
      </c>
      <c r="B417">
        <f t="shared" si="154"/>
        <v>1</v>
      </c>
      <c r="C417" t="str">
        <f t="shared" si="142"/>
        <v/>
      </c>
      <c r="D417" s="3" t="s">
        <v>2050</v>
      </c>
      <c r="E417" s="7">
        <v>45316</v>
      </c>
      <c r="F417" s="3" t="s">
        <v>2002</v>
      </c>
      <c r="G417" s="7">
        <v>45318</v>
      </c>
      <c r="H417" s="7" t="str">
        <f t="shared" si="133"/>
        <v>Valid</v>
      </c>
      <c r="I417" s="9">
        <f t="shared" si="134"/>
        <v>2</v>
      </c>
      <c r="J417" s="9" t="str">
        <f t="shared" si="135"/>
        <v>Valid</v>
      </c>
      <c r="K417" t="s">
        <v>2051</v>
      </c>
      <c r="L417" t="s">
        <v>161</v>
      </c>
      <c r="M417" t="s">
        <v>161</v>
      </c>
      <c r="N417" t="s">
        <v>107</v>
      </c>
      <c r="O417" s="3" t="str">
        <f t="shared" si="136"/>
        <v>Corporate</v>
      </c>
      <c r="P417" t="s">
        <v>61</v>
      </c>
      <c r="Q417" s="3" t="str">
        <f t="shared" si="137"/>
        <v>South</v>
      </c>
      <c r="R417" t="s">
        <v>228</v>
      </c>
      <c r="S417" t="s">
        <v>229</v>
      </c>
      <c r="T417" t="s">
        <v>29</v>
      </c>
      <c r="U417" s="3" t="str">
        <f t="shared" si="138"/>
        <v>Office Supplies</v>
      </c>
      <c r="V417" t="s">
        <v>155</v>
      </c>
      <c r="W417" t="s">
        <v>2052</v>
      </c>
      <c r="X417" t="s">
        <v>47</v>
      </c>
      <c r="Y417" s="3" t="str">
        <f t="shared" si="139"/>
        <v>Same Day</v>
      </c>
      <c r="Z417">
        <v>7</v>
      </c>
      <c r="AA417">
        <v>1727.26</v>
      </c>
      <c r="AB417">
        <v>0.15</v>
      </c>
      <c r="AC417">
        <f t="shared" si="140"/>
        <v>0.15</v>
      </c>
      <c r="AD417" t="str">
        <f t="shared" si="143"/>
        <v>Valid</v>
      </c>
      <c r="AE417">
        <v>10277.200000000001</v>
      </c>
      <c r="AF417">
        <v>7906.5</v>
      </c>
      <c r="AG417">
        <v>2370.6999999999998</v>
      </c>
      <c r="AH417" t="s">
        <v>33</v>
      </c>
      <c r="AI417" t="str">
        <f t="shared" si="144"/>
        <v>Include</v>
      </c>
      <c r="AJ417" t="str">
        <f t="shared" si="145"/>
        <v/>
      </c>
      <c r="AK417" t="s">
        <v>124</v>
      </c>
      <c r="AL417" t="str">
        <f t="shared" si="141"/>
        <v>Returned</v>
      </c>
      <c r="AM417" t="str">
        <f t="shared" si="146"/>
        <v>Include</v>
      </c>
      <c r="AN417">
        <f t="shared" si="147"/>
        <v>10277.197</v>
      </c>
      <c r="AO417">
        <f t="shared" si="148"/>
        <v>2370.6970000000001</v>
      </c>
      <c r="AP417">
        <f>IF(AN417=0,0,AO417/AN417)</f>
        <v>0.23067544584384245</v>
      </c>
      <c r="AQ417" t="str">
        <f t="shared" si="149"/>
        <v>January</v>
      </c>
      <c r="AR417">
        <f t="shared" si="150"/>
        <v>2024</v>
      </c>
      <c r="AS417" t="str">
        <f t="shared" si="151"/>
        <v>Clean</v>
      </c>
      <c r="AT417" t="str">
        <f>IF(OR(AC417&lt;0,AC417&gt;0.5),"Invalid Discount","Valid")</f>
        <v>Valid</v>
      </c>
      <c r="AU417" t="str">
        <f>IF(G417&lt;E417,"Invalid Shipping Record","Valid")</f>
        <v>Valid</v>
      </c>
      <c r="AV417" t="str">
        <f>IF(OR(AL417="Cancelled",AH417="Failed"),"Exclude","Include")</f>
        <v>Include</v>
      </c>
      <c r="AW417" t="str">
        <f t="shared" si="152"/>
        <v>Match</v>
      </c>
      <c r="AX417" t="str">
        <f t="shared" si="153"/>
        <v>Match</v>
      </c>
    </row>
    <row r="418" spans="1:50">
      <c r="A418" t="s">
        <v>2053</v>
      </c>
      <c r="B418">
        <f t="shared" si="154"/>
        <v>1</v>
      </c>
      <c r="C418" t="str">
        <f t="shared" si="142"/>
        <v/>
      </c>
      <c r="D418" s="3" t="s">
        <v>2054</v>
      </c>
      <c r="E418" s="7">
        <v>45665</v>
      </c>
      <c r="F418" s="3" t="s">
        <v>2055</v>
      </c>
      <c r="G418" s="7">
        <v>45673</v>
      </c>
      <c r="H418" s="7" t="str">
        <f t="shared" si="133"/>
        <v>Valid</v>
      </c>
      <c r="I418" s="9">
        <f t="shared" si="134"/>
        <v>8</v>
      </c>
      <c r="J418" s="9" t="str">
        <f t="shared" si="135"/>
        <v>Valid</v>
      </c>
      <c r="K418" t="s">
        <v>2056</v>
      </c>
      <c r="L418" t="s">
        <v>92</v>
      </c>
      <c r="M418" t="s">
        <v>92</v>
      </c>
      <c r="N418" t="s">
        <v>25</v>
      </c>
      <c r="O418" s="3" t="str">
        <f t="shared" si="136"/>
        <v>Consumer</v>
      </c>
      <c r="P418" t="s">
        <v>61</v>
      </c>
      <c r="Q418" s="3" t="str">
        <f t="shared" si="137"/>
        <v>South</v>
      </c>
      <c r="R418" t="s">
        <v>62</v>
      </c>
      <c r="S418" t="s">
        <v>63</v>
      </c>
      <c r="T418" t="s">
        <v>44</v>
      </c>
      <c r="U418" s="3" t="str">
        <f t="shared" si="138"/>
        <v>Furniture</v>
      </c>
      <c r="V418" t="s">
        <v>64</v>
      </c>
      <c r="W418" t="s">
        <v>2057</v>
      </c>
      <c r="X418" t="s">
        <v>55</v>
      </c>
      <c r="Y418" s="3" t="str">
        <f t="shared" si="139"/>
        <v>First Class</v>
      </c>
      <c r="Z418">
        <v>8</v>
      </c>
      <c r="AA418">
        <v>638.95000000000005</v>
      </c>
      <c r="AB418">
        <v>0.25</v>
      </c>
      <c r="AC418">
        <f t="shared" si="140"/>
        <v>0.25</v>
      </c>
      <c r="AD418" t="str">
        <f t="shared" si="143"/>
        <v>Valid</v>
      </c>
      <c r="AE418">
        <v>3833.7</v>
      </c>
      <c r="AF418">
        <v>2886.35</v>
      </c>
      <c r="AG418">
        <v>947.35</v>
      </c>
      <c r="AH418" t="s">
        <v>33</v>
      </c>
      <c r="AI418" t="str">
        <f t="shared" si="144"/>
        <v>Include</v>
      </c>
      <c r="AJ418" t="str">
        <f t="shared" si="145"/>
        <v/>
      </c>
      <c r="AK418" t="s">
        <v>34</v>
      </c>
      <c r="AL418" t="str">
        <f t="shared" si="141"/>
        <v>Completed</v>
      </c>
      <c r="AM418" t="str">
        <f t="shared" si="146"/>
        <v>Include</v>
      </c>
      <c r="AN418">
        <f t="shared" si="147"/>
        <v>3833.7000000000003</v>
      </c>
      <c r="AO418">
        <f t="shared" si="148"/>
        <v>947.35000000000036</v>
      </c>
      <c r="AP418">
        <f>IF(AN418=0,0,AO418/AN418)</f>
        <v>0.24711114589039318</v>
      </c>
      <c r="AQ418" t="str">
        <f t="shared" si="149"/>
        <v>January</v>
      </c>
      <c r="AR418">
        <f t="shared" si="150"/>
        <v>2025</v>
      </c>
      <c r="AS418" t="str">
        <f t="shared" si="151"/>
        <v>Clean</v>
      </c>
      <c r="AT418" t="str">
        <f>IF(OR(AC418&lt;0,AC418&gt;0.5),"Invalid Discount","Valid")</f>
        <v>Valid</v>
      </c>
      <c r="AU418" t="str">
        <f>IF(G418&lt;E418,"Invalid Shipping Record","Valid")</f>
        <v>Valid</v>
      </c>
      <c r="AV418" t="str">
        <f>IF(OR(AL418="Cancelled",AH418="Failed"),"Exclude","Include")</f>
        <v>Include</v>
      </c>
      <c r="AW418" t="str">
        <f t="shared" si="152"/>
        <v>Match</v>
      </c>
      <c r="AX418" t="str">
        <f t="shared" si="153"/>
        <v>Match</v>
      </c>
    </row>
    <row r="419" spans="1:50">
      <c r="A419" t="s">
        <v>2058</v>
      </c>
      <c r="B419">
        <f t="shared" si="154"/>
        <v>1</v>
      </c>
      <c r="C419" t="str">
        <f t="shared" si="142"/>
        <v/>
      </c>
      <c r="D419" s="3" t="s">
        <v>1793</v>
      </c>
      <c r="E419" s="7">
        <v>45686</v>
      </c>
      <c r="F419" s="3" t="s">
        <v>2059</v>
      </c>
      <c r="G419" s="7">
        <v>45693</v>
      </c>
      <c r="H419" s="7" t="str">
        <f t="shared" si="133"/>
        <v>Valid</v>
      </c>
      <c r="I419" s="9">
        <f t="shared" si="134"/>
        <v>7</v>
      </c>
      <c r="J419" s="9" t="str">
        <f t="shared" si="135"/>
        <v>Valid</v>
      </c>
      <c r="K419" t="s">
        <v>2060</v>
      </c>
      <c r="L419" t="s">
        <v>39</v>
      </c>
      <c r="M419" t="s">
        <v>39</v>
      </c>
      <c r="N419" t="s">
        <v>25</v>
      </c>
      <c r="O419" s="3" t="str">
        <f t="shared" si="136"/>
        <v>Consumer</v>
      </c>
      <c r="P419" t="s">
        <v>72</v>
      </c>
      <c r="Q419" s="3" t="str">
        <f t="shared" si="137"/>
        <v>West</v>
      </c>
      <c r="R419" t="s">
        <v>234</v>
      </c>
      <c r="S419" t="s">
        <v>235</v>
      </c>
      <c r="T419" t="s">
        <v>29</v>
      </c>
      <c r="U419" s="3" t="str">
        <f t="shared" si="138"/>
        <v>Office Supplies</v>
      </c>
      <c r="V419" t="s">
        <v>53</v>
      </c>
      <c r="W419" t="s">
        <v>2061</v>
      </c>
      <c r="X419" t="s">
        <v>55</v>
      </c>
      <c r="Y419" s="3" t="str">
        <f t="shared" si="139"/>
        <v>First Class</v>
      </c>
      <c r="Z419">
        <v>6</v>
      </c>
      <c r="AA419">
        <v>3863</v>
      </c>
      <c r="AB419">
        <v>0.2</v>
      </c>
      <c r="AC419">
        <f t="shared" si="140"/>
        <v>0.2</v>
      </c>
      <c r="AD419" t="str">
        <f t="shared" si="143"/>
        <v>Valid</v>
      </c>
      <c r="AE419">
        <v>18542.400000000001</v>
      </c>
      <c r="AF419">
        <v>11193.75</v>
      </c>
      <c r="AG419">
        <v>7348.65</v>
      </c>
      <c r="AH419" t="s">
        <v>33</v>
      </c>
      <c r="AI419" t="str">
        <f t="shared" si="144"/>
        <v>Include</v>
      </c>
      <c r="AJ419" t="str">
        <f t="shared" si="145"/>
        <v/>
      </c>
      <c r="AK419" t="s">
        <v>34</v>
      </c>
      <c r="AL419" t="str">
        <f t="shared" si="141"/>
        <v>Completed</v>
      </c>
      <c r="AM419" t="str">
        <f t="shared" si="146"/>
        <v>Include</v>
      </c>
      <c r="AN419">
        <f t="shared" si="147"/>
        <v>18542.400000000001</v>
      </c>
      <c r="AO419">
        <f t="shared" si="148"/>
        <v>7348.6500000000015</v>
      </c>
      <c r="AP419">
        <f>IF(AN419=0,0,AO419/AN419)</f>
        <v>0.39631601087237905</v>
      </c>
      <c r="AQ419" t="str">
        <f t="shared" si="149"/>
        <v>January</v>
      </c>
      <c r="AR419">
        <f t="shared" si="150"/>
        <v>2025</v>
      </c>
      <c r="AS419" t="str">
        <f t="shared" si="151"/>
        <v>Clean</v>
      </c>
      <c r="AT419" t="str">
        <f>IF(OR(AC419&lt;0,AC419&gt;0.5),"Invalid Discount","Valid")</f>
        <v>Valid</v>
      </c>
      <c r="AU419" t="str">
        <f>IF(G419&lt;E419,"Invalid Shipping Record","Valid")</f>
        <v>Valid</v>
      </c>
      <c r="AV419" t="str">
        <f>IF(OR(AL419="Cancelled",AH419="Failed"),"Exclude","Include")</f>
        <v>Include</v>
      </c>
      <c r="AW419" t="str">
        <f t="shared" si="152"/>
        <v>Match</v>
      </c>
      <c r="AX419" t="str">
        <f t="shared" si="153"/>
        <v>Match</v>
      </c>
    </row>
    <row r="420" spans="1:50">
      <c r="A420" t="s">
        <v>2062</v>
      </c>
      <c r="B420">
        <f t="shared" si="154"/>
        <v>1</v>
      </c>
      <c r="C420" t="str">
        <f t="shared" si="142"/>
        <v/>
      </c>
      <c r="D420" s="3" t="s">
        <v>2063</v>
      </c>
      <c r="E420" s="7">
        <v>45605</v>
      </c>
      <c r="F420" s="3" t="s">
        <v>2064</v>
      </c>
      <c r="G420" s="7">
        <v>45613</v>
      </c>
      <c r="H420" s="7" t="str">
        <f t="shared" si="133"/>
        <v>Valid</v>
      </c>
      <c r="I420" s="9">
        <f t="shared" si="134"/>
        <v>8</v>
      </c>
      <c r="J420" s="9" t="str">
        <f t="shared" si="135"/>
        <v>Valid</v>
      </c>
      <c r="K420" t="s">
        <v>2065</v>
      </c>
      <c r="L420" t="s">
        <v>167</v>
      </c>
      <c r="M420" t="s">
        <v>167</v>
      </c>
      <c r="N420" t="s">
        <v>107</v>
      </c>
      <c r="O420" s="3" t="str">
        <f t="shared" si="136"/>
        <v>Corporate</v>
      </c>
      <c r="P420" t="s">
        <v>41</v>
      </c>
      <c r="Q420" s="3" t="str">
        <f t="shared" si="137"/>
        <v>East</v>
      </c>
      <c r="R420" t="s">
        <v>42</v>
      </c>
      <c r="S420" t="s">
        <v>43</v>
      </c>
      <c r="T420" t="s">
        <v>85</v>
      </c>
      <c r="U420" s="3" t="str">
        <f t="shared" si="138"/>
        <v>Technology</v>
      </c>
      <c r="V420" t="s">
        <v>93</v>
      </c>
      <c r="W420" t="s">
        <v>2066</v>
      </c>
      <c r="X420" t="s">
        <v>66</v>
      </c>
      <c r="Y420" s="3" t="str">
        <f t="shared" si="139"/>
        <v>Standard Class</v>
      </c>
      <c r="Z420">
        <v>6</v>
      </c>
      <c r="AA420">
        <v>3660.4</v>
      </c>
      <c r="AB420">
        <v>0</v>
      </c>
      <c r="AC420">
        <f t="shared" si="140"/>
        <v>0</v>
      </c>
      <c r="AD420" t="str">
        <f t="shared" si="143"/>
        <v>Valid</v>
      </c>
      <c r="AE420">
        <v>21962.400000000001</v>
      </c>
      <c r="AF420">
        <v>15331.99</v>
      </c>
      <c r="AG420">
        <v>6630.41</v>
      </c>
      <c r="AH420" t="s">
        <v>199</v>
      </c>
      <c r="AI420" t="str">
        <f t="shared" si="144"/>
        <v>Exclude</v>
      </c>
      <c r="AJ420" t="str">
        <f t="shared" si="145"/>
        <v/>
      </c>
      <c r="AK420" t="s">
        <v>77</v>
      </c>
      <c r="AL420" t="str">
        <f t="shared" si="141"/>
        <v>Cancelled</v>
      </c>
      <c r="AM420" t="str">
        <f t="shared" si="146"/>
        <v>Exclude</v>
      </c>
      <c r="AN420">
        <f t="shared" si="147"/>
        <v>21962.400000000001</v>
      </c>
      <c r="AO420">
        <f t="shared" si="148"/>
        <v>6630.4100000000017</v>
      </c>
      <c r="AP420">
        <f>IF(AN420=0,0,AO420/AN420)</f>
        <v>0.3018982442720286</v>
      </c>
      <c r="AQ420" t="str">
        <f t="shared" si="149"/>
        <v>November</v>
      </c>
      <c r="AR420">
        <f t="shared" si="150"/>
        <v>2024</v>
      </c>
      <c r="AS420" t="str">
        <f t="shared" si="151"/>
        <v>Clean</v>
      </c>
      <c r="AT420" t="str">
        <f>IF(OR(AC420&lt;0,AC420&gt;0.5),"Invalid Discount","Valid")</f>
        <v>Valid</v>
      </c>
      <c r="AU420" t="str">
        <f>IF(G420&lt;E420,"Invalid Shipping Record","Valid")</f>
        <v>Valid</v>
      </c>
      <c r="AV420" t="str">
        <f>IF(OR(AL420="Cancelled",AH420="Failed"),"Exclude","Include")</f>
        <v>Exclude</v>
      </c>
      <c r="AW420" t="str">
        <f t="shared" si="152"/>
        <v>Match</v>
      </c>
      <c r="AX420" t="str">
        <f t="shared" si="153"/>
        <v>Match</v>
      </c>
    </row>
    <row r="421" spans="1:50">
      <c r="A421" t="s">
        <v>2067</v>
      </c>
      <c r="B421">
        <f t="shared" si="154"/>
        <v>1</v>
      </c>
      <c r="C421" t="str">
        <f t="shared" si="142"/>
        <v/>
      </c>
      <c r="D421" s="3" t="s">
        <v>2068</v>
      </c>
      <c r="E421" s="7">
        <v>45926</v>
      </c>
      <c r="F421" s="3" t="s">
        <v>2069</v>
      </c>
      <c r="G421" s="7">
        <v>45930</v>
      </c>
      <c r="H421" s="7" t="str">
        <f t="shared" si="133"/>
        <v>Valid</v>
      </c>
      <c r="I421" s="9">
        <f t="shared" si="134"/>
        <v>4</v>
      </c>
      <c r="J421" s="9" t="str">
        <f t="shared" si="135"/>
        <v>Valid</v>
      </c>
      <c r="K421" t="s">
        <v>2070</v>
      </c>
      <c r="L421" t="s">
        <v>167</v>
      </c>
      <c r="M421" t="s">
        <v>167</v>
      </c>
      <c r="N421" t="s">
        <v>114</v>
      </c>
      <c r="O421" s="3" t="str">
        <f t="shared" si="136"/>
        <v>Home Office</v>
      </c>
      <c r="P421" t="s">
        <v>26</v>
      </c>
      <c r="Q421" s="3" t="str">
        <f t="shared" si="137"/>
        <v>North</v>
      </c>
      <c r="R421" t="s">
        <v>322</v>
      </c>
      <c r="S421" t="s">
        <v>323</v>
      </c>
      <c r="T421" t="s">
        <v>85</v>
      </c>
      <c r="U421" s="3" t="str">
        <f t="shared" si="138"/>
        <v>Technology</v>
      </c>
      <c r="V421" t="s">
        <v>222</v>
      </c>
      <c r="W421" t="s">
        <v>2071</v>
      </c>
      <c r="X421" t="s">
        <v>47</v>
      </c>
      <c r="Y421" s="3" t="str">
        <f t="shared" si="139"/>
        <v>Same Day</v>
      </c>
      <c r="Z421">
        <v>2</v>
      </c>
      <c r="AA421">
        <v>688.83</v>
      </c>
      <c r="AB421">
        <v>0.05</v>
      </c>
      <c r="AC421">
        <f t="shared" si="140"/>
        <v>0.05</v>
      </c>
      <c r="AD421" t="str">
        <f t="shared" si="143"/>
        <v>Valid</v>
      </c>
      <c r="AE421">
        <v>1308.78</v>
      </c>
      <c r="AF421">
        <v>843</v>
      </c>
      <c r="AG421">
        <v>465.78</v>
      </c>
      <c r="AH421" t="s">
        <v>33</v>
      </c>
      <c r="AI421" t="str">
        <f t="shared" si="144"/>
        <v>Include</v>
      </c>
      <c r="AJ421" t="str">
        <f t="shared" si="145"/>
        <v/>
      </c>
      <c r="AK421" t="s">
        <v>34</v>
      </c>
      <c r="AL421" t="str">
        <f t="shared" si="141"/>
        <v>Completed</v>
      </c>
      <c r="AM421" t="str">
        <f t="shared" si="146"/>
        <v>Include</v>
      </c>
      <c r="AN421">
        <f t="shared" si="147"/>
        <v>1308.777</v>
      </c>
      <c r="AO421">
        <f t="shared" si="148"/>
        <v>465.77700000000004</v>
      </c>
      <c r="AP421">
        <f>IF(AN421=0,0,AO421/AN421)</f>
        <v>0.35588721378813964</v>
      </c>
      <c r="AQ421" t="str">
        <f t="shared" si="149"/>
        <v>September</v>
      </c>
      <c r="AR421">
        <f t="shared" si="150"/>
        <v>2025</v>
      </c>
      <c r="AS421" t="str">
        <f t="shared" si="151"/>
        <v>Clean</v>
      </c>
      <c r="AT421" t="str">
        <f>IF(OR(AC421&lt;0,AC421&gt;0.5),"Invalid Discount","Valid")</f>
        <v>Valid</v>
      </c>
      <c r="AU421" t="str">
        <f>IF(G421&lt;E421,"Invalid Shipping Record","Valid")</f>
        <v>Valid</v>
      </c>
      <c r="AV421" t="str">
        <f>IF(OR(AL421="Cancelled",AH421="Failed"),"Exclude","Include")</f>
        <v>Include</v>
      </c>
      <c r="AW421" t="str">
        <f t="shared" si="152"/>
        <v>Match</v>
      </c>
      <c r="AX421" t="str">
        <f t="shared" si="153"/>
        <v>Match</v>
      </c>
    </row>
    <row r="422" spans="1:50">
      <c r="A422" t="s">
        <v>2072</v>
      </c>
      <c r="B422">
        <f t="shared" si="154"/>
        <v>1</v>
      </c>
      <c r="C422" t="str">
        <f t="shared" si="142"/>
        <v/>
      </c>
      <c r="D422" s="3" t="s">
        <v>962</v>
      </c>
      <c r="E422" s="7">
        <v>45734</v>
      </c>
      <c r="F422" s="3" t="s">
        <v>2073</v>
      </c>
      <c r="G422" s="7">
        <v>45735</v>
      </c>
      <c r="H422" s="7" t="str">
        <f t="shared" si="133"/>
        <v>Valid</v>
      </c>
      <c r="I422" s="9">
        <f t="shared" si="134"/>
        <v>1</v>
      </c>
      <c r="J422" s="9" t="str">
        <f t="shared" si="135"/>
        <v>Valid</v>
      </c>
      <c r="K422" t="s">
        <v>2074</v>
      </c>
      <c r="L422" t="s">
        <v>52</v>
      </c>
      <c r="M422" t="s">
        <v>52</v>
      </c>
      <c r="N422" t="s">
        <v>107</v>
      </c>
      <c r="O422" s="3" t="str">
        <f t="shared" si="136"/>
        <v>Corporate</v>
      </c>
      <c r="P422" t="s">
        <v>61</v>
      </c>
      <c r="Q422" s="3" t="str">
        <f t="shared" si="137"/>
        <v>South</v>
      </c>
      <c r="R422" t="s">
        <v>338</v>
      </c>
      <c r="S422" t="s">
        <v>339</v>
      </c>
      <c r="T422" t="s">
        <v>85</v>
      </c>
      <c r="U422" s="3" t="str">
        <f t="shared" si="138"/>
        <v>Technology</v>
      </c>
      <c r="V422" t="s">
        <v>381</v>
      </c>
      <c r="W422" t="s">
        <v>2075</v>
      </c>
      <c r="X422" t="s">
        <v>66</v>
      </c>
      <c r="Y422" s="3" t="str">
        <f t="shared" si="139"/>
        <v>Standard Class</v>
      </c>
      <c r="Z422">
        <v>2</v>
      </c>
      <c r="AA422">
        <v>1209.99</v>
      </c>
      <c r="AB422">
        <v>0.25</v>
      </c>
      <c r="AC422">
        <f t="shared" si="140"/>
        <v>0.25</v>
      </c>
      <c r="AD422" t="str">
        <f t="shared" si="143"/>
        <v>Valid</v>
      </c>
      <c r="AE422">
        <v>1814.99</v>
      </c>
      <c r="AF422">
        <v>1120.06</v>
      </c>
      <c r="AG422">
        <v>694.93</v>
      </c>
      <c r="AH422" t="s">
        <v>136</v>
      </c>
      <c r="AI422" t="str">
        <f t="shared" si="144"/>
        <v>Exclude</v>
      </c>
      <c r="AJ422" t="str">
        <f t="shared" si="145"/>
        <v/>
      </c>
      <c r="AK422" t="s">
        <v>77</v>
      </c>
      <c r="AL422" t="str">
        <f t="shared" si="141"/>
        <v>Cancelled</v>
      </c>
      <c r="AM422" t="str">
        <f t="shared" si="146"/>
        <v>Exclude</v>
      </c>
      <c r="AN422">
        <f t="shared" si="147"/>
        <v>1814.9850000000001</v>
      </c>
      <c r="AO422">
        <f t="shared" si="148"/>
        <v>694.92500000000018</v>
      </c>
      <c r="AP422">
        <f>IF(AN422=0,0,AO422/AN422)</f>
        <v>0.38288195219244242</v>
      </c>
      <c r="AQ422" t="str">
        <f t="shared" si="149"/>
        <v>March</v>
      </c>
      <c r="AR422">
        <f t="shared" si="150"/>
        <v>2025</v>
      </c>
      <c r="AS422" t="str">
        <f t="shared" si="151"/>
        <v>Clean</v>
      </c>
      <c r="AT422" t="str">
        <f>IF(OR(AC422&lt;0,AC422&gt;0.5),"Invalid Discount","Valid")</f>
        <v>Valid</v>
      </c>
      <c r="AU422" t="str">
        <f>IF(G422&lt;E422,"Invalid Shipping Record","Valid")</f>
        <v>Valid</v>
      </c>
      <c r="AV422" t="str">
        <f>IF(OR(AL422="Cancelled",AH422="Failed"),"Exclude","Include")</f>
        <v>Exclude</v>
      </c>
      <c r="AW422" t="str">
        <f t="shared" si="152"/>
        <v>Match</v>
      </c>
      <c r="AX422" t="str">
        <f t="shared" si="153"/>
        <v>Match</v>
      </c>
    </row>
    <row r="423" spans="1:50">
      <c r="A423" t="s">
        <v>2076</v>
      </c>
      <c r="B423">
        <f t="shared" si="154"/>
        <v>1</v>
      </c>
      <c r="C423" t="str">
        <f t="shared" si="142"/>
        <v/>
      </c>
      <c r="D423" s="3" t="s">
        <v>2077</v>
      </c>
      <c r="E423" s="7">
        <v>45822</v>
      </c>
      <c r="F423" s="3" t="s">
        <v>2078</v>
      </c>
      <c r="G423" s="7">
        <v>45827</v>
      </c>
      <c r="H423" s="7" t="str">
        <f t="shared" si="133"/>
        <v>Valid</v>
      </c>
      <c r="I423" s="9">
        <f t="shared" si="134"/>
        <v>5</v>
      </c>
      <c r="J423" s="9" t="str">
        <f t="shared" si="135"/>
        <v>Valid</v>
      </c>
      <c r="K423" t="s">
        <v>2079</v>
      </c>
      <c r="L423" t="s">
        <v>179</v>
      </c>
      <c r="M423" t="s">
        <v>179</v>
      </c>
      <c r="N423" t="s">
        <v>40</v>
      </c>
      <c r="O423" s="3" t="str">
        <f t="shared" si="136"/>
        <v>Small Business</v>
      </c>
      <c r="P423" t="s">
        <v>26</v>
      </c>
      <c r="Q423" s="3" t="str">
        <f t="shared" si="137"/>
        <v>North</v>
      </c>
      <c r="R423" t="s">
        <v>505</v>
      </c>
      <c r="S423" t="s">
        <v>506</v>
      </c>
      <c r="T423" t="s">
        <v>29</v>
      </c>
      <c r="U423" s="3" t="str">
        <f t="shared" si="138"/>
        <v>Office Supplies</v>
      </c>
      <c r="V423" t="s">
        <v>197</v>
      </c>
      <c r="W423" t="s">
        <v>2080</v>
      </c>
      <c r="X423" t="s">
        <v>47</v>
      </c>
      <c r="Y423" s="3" t="str">
        <f t="shared" si="139"/>
        <v>Same Day</v>
      </c>
      <c r="Z423">
        <v>3</v>
      </c>
      <c r="AA423">
        <v>1037.45</v>
      </c>
      <c r="AB423">
        <v>0.2</v>
      </c>
      <c r="AC423">
        <f t="shared" si="140"/>
        <v>0.2</v>
      </c>
      <c r="AD423" t="str">
        <f t="shared" si="143"/>
        <v>Valid</v>
      </c>
      <c r="AE423">
        <v>2489.88</v>
      </c>
      <c r="AF423">
        <v>1707.52</v>
      </c>
      <c r="AG423">
        <v>782.36</v>
      </c>
      <c r="AH423" t="s">
        <v>136</v>
      </c>
      <c r="AI423" t="str">
        <f t="shared" si="144"/>
        <v>Include</v>
      </c>
      <c r="AJ423" t="str">
        <f t="shared" si="145"/>
        <v/>
      </c>
      <c r="AK423" t="s">
        <v>124</v>
      </c>
      <c r="AL423" t="str">
        <f t="shared" si="141"/>
        <v>Returned</v>
      </c>
      <c r="AM423" t="str">
        <f t="shared" si="146"/>
        <v>Include</v>
      </c>
      <c r="AN423">
        <f t="shared" si="147"/>
        <v>2489.8800000000006</v>
      </c>
      <c r="AO423">
        <f t="shared" si="148"/>
        <v>782.36000000000058</v>
      </c>
      <c r="AP423">
        <f>IF(AN423=0,0,AO423/AN423)</f>
        <v>0.31421594615001541</v>
      </c>
      <c r="AQ423" t="str">
        <f t="shared" si="149"/>
        <v>June</v>
      </c>
      <c r="AR423">
        <f t="shared" si="150"/>
        <v>2025</v>
      </c>
      <c r="AS423" t="str">
        <f t="shared" si="151"/>
        <v>Clean</v>
      </c>
      <c r="AT423" t="str">
        <f>IF(OR(AC423&lt;0,AC423&gt;0.5),"Invalid Discount","Valid")</f>
        <v>Valid</v>
      </c>
      <c r="AU423" t="str">
        <f>IF(G423&lt;E423,"Invalid Shipping Record","Valid")</f>
        <v>Valid</v>
      </c>
      <c r="AV423" t="str">
        <f>IF(OR(AL423="Cancelled",AH423="Failed"),"Exclude","Include")</f>
        <v>Include</v>
      </c>
      <c r="AW423" t="str">
        <f t="shared" si="152"/>
        <v>Match</v>
      </c>
      <c r="AX423" t="str">
        <f t="shared" si="153"/>
        <v>Match</v>
      </c>
    </row>
    <row r="424" spans="1:50">
      <c r="A424" t="s">
        <v>2081</v>
      </c>
      <c r="B424">
        <f t="shared" si="154"/>
        <v>1</v>
      </c>
      <c r="C424" t="str">
        <f t="shared" si="142"/>
        <v/>
      </c>
      <c r="D424" s="3" t="s">
        <v>2082</v>
      </c>
      <c r="E424" s="7">
        <v>45903</v>
      </c>
      <c r="F424" s="3" t="s">
        <v>2083</v>
      </c>
      <c r="G424" s="7">
        <v>45906</v>
      </c>
      <c r="H424" s="7" t="str">
        <f t="shared" si="133"/>
        <v>Valid</v>
      </c>
      <c r="I424" s="9">
        <f t="shared" si="134"/>
        <v>3</v>
      </c>
      <c r="J424" s="9" t="str">
        <f t="shared" si="135"/>
        <v>Valid</v>
      </c>
      <c r="K424" t="s">
        <v>2084</v>
      </c>
      <c r="L424" t="s">
        <v>365</v>
      </c>
      <c r="M424" t="s">
        <v>365</v>
      </c>
      <c r="N424" t="s">
        <v>25</v>
      </c>
      <c r="O424" s="3" t="str">
        <f t="shared" si="136"/>
        <v>Consumer</v>
      </c>
      <c r="P424" t="s">
        <v>72</v>
      </c>
      <c r="Q424" s="3" t="str">
        <f t="shared" si="137"/>
        <v>West</v>
      </c>
      <c r="R424" t="s">
        <v>83</v>
      </c>
      <c r="S424" t="s">
        <v>84</v>
      </c>
      <c r="T424" t="s">
        <v>85</v>
      </c>
      <c r="U424" s="3" t="str">
        <f t="shared" si="138"/>
        <v>Technology</v>
      </c>
      <c r="V424" t="s">
        <v>93</v>
      </c>
      <c r="W424" t="s">
        <v>2085</v>
      </c>
      <c r="X424" t="s">
        <v>47</v>
      </c>
      <c r="Y424" s="3" t="str">
        <f t="shared" si="139"/>
        <v>Same Day</v>
      </c>
      <c r="Z424">
        <v>7</v>
      </c>
      <c r="AA424">
        <v>688.85</v>
      </c>
      <c r="AB424">
        <v>0.15</v>
      </c>
      <c r="AC424">
        <f t="shared" si="140"/>
        <v>0.15</v>
      </c>
      <c r="AD424" t="str">
        <f t="shared" si="143"/>
        <v>Valid</v>
      </c>
      <c r="AE424">
        <v>4098.66</v>
      </c>
      <c r="AF424">
        <v>2678.06</v>
      </c>
      <c r="AG424">
        <v>1420.6</v>
      </c>
      <c r="AH424" t="s">
        <v>33</v>
      </c>
      <c r="AI424" t="str">
        <f t="shared" si="144"/>
        <v>Include</v>
      </c>
      <c r="AJ424" t="str">
        <f t="shared" si="145"/>
        <v/>
      </c>
      <c r="AK424" t="s">
        <v>34</v>
      </c>
      <c r="AL424" t="str">
        <f t="shared" si="141"/>
        <v>Completed</v>
      </c>
      <c r="AM424" t="str">
        <f t="shared" si="146"/>
        <v>Include</v>
      </c>
      <c r="AN424">
        <f t="shared" si="147"/>
        <v>4098.6574999999993</v>
      </c>
      <c r="AO424">
        <f t="shared" si="148"/>
        <v>1420.5974999999994</v>
      </c>
      <c r="AP424">
        <f>IF(AN424=0,0,AO424/AN424)</f>
        <v>0.34660068571233377</v>
      </c>
      <c r="AQ424" t="str">
        <f t="shared" si="149"/>
        <v>September</v>
      </c>
      <c r="AR424">
        <f t="shared" si="150"/>
        <v>2025</v>
      </c>
      <c r="AS424" t="str">
        <f t="shared" si="151"/>
        <v>Clean</v>
      </c>
      <c r="AT424" t="str">
        <f>IF(OR(AC424&lt;0,AC424&gt;0.5),"Invalid Discount","Valid")</f>
        <v>Valid</v>
      </c>
      <c r="AU424" t="str">
        <f>IF(G424&lt;E424,"Invalid Shipping Record","Valid")</f>
        <v>Valid</v>
      </c>
      <c r="AV424" t="str">
        <f>IF(OR(AL424="Cancelled",AH424="Failed"),"Exclude","Include")</f>
        <v>Include</v>
      </c>
      <c r="AW424" t="str">
        <f t="shared" si="152"/>
        <v>Match</v>
      </c>
      <c r="AX424" t="str">
        <f t="shared" si="153"/>
        <v>Match</v>
      </c>
    </row>
    <row r="425" spans="1:50">
      <c r="A425" t="s">
        <v>548</v>
      </c>
      <c r="B425">
        <f t="shared" si="154"/>
        <v>2</v>
      </c>
      <c r="C425" t="str">
        <f t="shared" si="142"/>
        <v>Review Required</v>
      </c>
      <c r="D425" s="3" t="s">
        <v>549</v>
      </c>
      <c r="E425" s="7">
        <v>45893</v>
      </c>
      <c r="F425" s="3" t="s">
        <v>68</v>
      </c>
      <c r="G425" s="7">
        <v>45898</v>
      </c>
      <c r="H425" s="7" t="str">
        <f t="shared" si="133"/>
        <v>Valid</v>
      </c>
      <c r="I425" s="9">
        <f t="shared" si="134"/>
        <v>5</v>
      </c>
      <c r="J425" s="9" t="str">
        <f t="shared" si="135"/>
        <v>Valid</v>
      </c>
      <c r="K425" t="s">
        <v>550</v>
      </c>
      <c r="L425" t="s">
        <v>161</v>
      </c>
      <c r="M425" t="s">
        <v>161</v>
      </c>
      <c r="N425" t="s">
        <v>40</v>
      </c>
      <c r="O425" s="3" t="str">
        <f t="shared" si="136"/>
        <v>Small Business</v>
      </c>
      <c r="P425" t="s">
        <v>41</v>
      </c>
      <c r="Q425" s="3" t="str">
        <f t="shared" si="137"/>
        <v>East</v>
      </c>
      <c r="R425" t="s">
        <v>185</v>
      </c>
      <c r="S425" t="s">
        <v>186</v>
      </c>
      <c r="T425" t="s">
        <v>85</v>
      </c>
      <c r="U425" s="3" t="str">
        <f t="shared" si="138"/>
        <v>Technology</v>
      </c>
      <c r="V425" t="s">
        <v>93</v>
      </c>
      <c r="W425" t="s">
        <v>551</v>
      </c>
      <c r="X425" t="s">
        <v>55</v>
      </c>
      <c r="Y425" s="3" t="str">
        <f t="shared" si="139"/>
        <v>First Class</v>
      </c>
      <c r="Z425">
        <v>3</v>
      </c>
      <c r="AA425">
        <v>3703.96</v>
      </c>
      <c r="AB425">
        <v>0.15</v>
      </c>
      <c r="AC425">
        <f t="shared" si="140"/>
        <v>0.15</v>
      </c>
      <c r="AD425" t="str">
        <f t="shared" si="143"/>
        <v>Valid</v>
      </c>
      <c r="AE425">
        <v>9445.1</v>
      </c>
      <c r="AF425">
        <v>5586.28</v>
      </c>
      <c r="AG425">
        <v>3858.82</v>
      </c>
      <c r="AH425" t="s">
        <v>33</v>
      </c>
      <c r="AI425" t="str">
        <f t="shared" si="144"/>
        <v>Include</v>
      </c>
      <c r="AJ425" t="str">
        <f t="shared" si="145"/>
        <v/>
      </c>
      <c r="AK425" t="s">
        <v>34</v>
      </c>
      <c r="AL425" t="str">
        <f t="shared" si="141"/>
        <v>Completed</v>
      </c>
      <c r="AM425" t="str">
        <f t="shared" si="146"/>
        <v>Include</v>
      </c>
      <c r="AN425">
        <f t="shared" si="147"/>
        <v>9445.098</v>
      </c>
      <c r="AO425">
        <f t="shared" si="148"/>
        <v>3858.8180000000002</v>
      </c>
      <c r="AP425">
        <f>IF(AN425=0,0,AO425/AN425)</f>
        <v>0.40855245758170006</v>
      </c>
      <c r="AQ425" t="str">
        <f t="shared" si="149"/>
        <v>August</v>
      </c>
      <c r="AR425">
        <f t="shared" si="150"/>
        <v>2025</v>
      </c>
      <c r="AS425" t="str">
        <f t="shared" si="151"/>
        <v>Clean</v>
      </c>
      <c r="AT425" t="str">
        <f>IF(OR(AC425&lt;0,AC425&gt;0.5),"Invalid Discount","Valid")</f>
        <v>Valid</v>
      </c>
      <c r="AU425" t="str">
        <f>IF(G425&lt;E425,"Invalid Shipping Record","Valid")</f>
        <v>Valid</v>
      </c>
      <c r="AV425" t="str">
        <f>IF(OR(AL425="Cancelled",AH425="Failed"),"Exclude","Include")</f>
        <v>Include</v>
      </c>
      <c r="AW425" t="str">
        <f t="shared" si="152"/>
        <v>Match</v>
      </c>
      <c r="AX425" t="str">
        <f t="shared" si="153"/>
        <v>Match</v>
      </c>
    </row>
    <row r="426" spans="1:50">
      <c r="A426" t="s">
        <v>2092</v>
      </c>
      <c r="B426">
        <f t="shared" si="154"/>
        <v>1</v>
      </c>
      <c r="C426" t="str">
        <f t="shared" si="142"/>
        <v/>
      </c>
      <c r="D426" s="3" t="s">
        <v>2093</v>
      </c>
      <c r="E426" s="7">
        <v>45469</v>
      </c>
      <c r="F426" s="3" t="s">
        <v>2094</v>
      </c>
      <c r="G426" s="7">
        <v>45472</v>
      </c>
      <c r="H426" s="7" t="str">
        <f t="shared" si="133"/>
        <v>Valid</v>
      </c>
      <c r="I426" s="9">
        <f t="shared" si="134"/>
        <v>3</v>
      </c>
      <c r="J426" s="9" t="str">
        <f t="shared" si="135"/>
        <v>Valid</v>
      </c>
      <c r="K426" t="s">
        <v>2095</v>
      </c>
      <c r="L426" t="s">
        <v>92</v>
      </c>
      <c r="M426" t="s">
        <v>92</v>
      </c>
      <c r="N426" t="s">
        <v>107</v>
      </c>
      <c r="O426" s="3" t="str">
        <f t="shared" si="136"/>
        <v>Corporate</v>
      </c>
      <c r="P426" t="s">
        <v>26</v>
      </c>
      <c r="Q426" s="3" t="str">
        <f t="shared" si="137"/>
        <v>North</v>
      </c>
      <c r="R426" t="s">
        <v>153</v>
      </c>
      <c r="S426" t="s">
        <v>154</v>
      </c>
      <c r="T426" t="s">
        <v>85</v>
      </c>
      <c r="U426" s="3" t="str">
        <f t="shared" si="138"/>
        <v>Technology</v>
      </c>
      <c r="V426" t="s">
        <v>222</v>
      </c>
      <c r="W426" t="s">
        <v>2096</v>
      </c>
      <c r="X426" t="s">
        <v>66</v>
      </c>
      <c r="Y426" s="3" t="str">
        <f t="shared" si="139"/>
        <v>Standard Class</v>
      </c>
      <c r="Z426">
        <v>8</v>
      </c>
      <c r="AA426">
        <v>804.52</v>
      </c>
      <c r="AB426">
        <v>0</v>
      </c>
      <c r="AC426">
        <f t="shared" si="140"/>
        <v>0</v>
      </c>
      <c r="AD426" t="str">
        <f t="shared" si="143"/>
        <v>Valid</v>
      </c>
      <c r="AE426">
        <v>6436.16</v>
      </c>
      <c r="AF426">
        <v>4263.83</v>
      </c>
      <c r="AG426">
        <v>2172.33</v>
      </c>
      <c r="AH426" t="s">
        <v>33</v>
      </c>
      <c r="AI426" t="str">
        <f t="shared" si="144"/>
        <v>Include</v>
      </c>
      <c r="AJ426" t="str">
        <f t="shared" si="145"/>
        <v/>
      </c>
      <c r="AK426" t="s">
        <v>34</v>
      </c>
      <c r="AL426" t="str">
        <f t="shared" si="141"/>
        <v>Completed</v>
      </c>
      <c r="AM426" t="str">
        <f t="shared" si="146"/>
        <v>Include</v>
      </c>
      <c r="AN426">
        <f t="shared" si="147"/>
        <v>6436.16</v>
      </c>
      <c r="AO426">
        <f t="shared" si="148"/>
        <v>2172.33</v>
      </c>
      <c r="AP426">
        <f>IF(AN426=0,0,AO426/AN426)</f>
        <v>0.33751957689056827</v>
      </c>
      <c r="AQ426" t="str">
        <f t="shared" si="149"/>
        <v>June</v>
      </c>
      <c r="AR426">
        <f t="shared" si="150"/>
        <v>2024</v>
      </c>
      <c r="AS426" t="str">
        <f t="shared" si="151"/>
        <v>Clean</v>
      </c>
      <c r="AT426" t="str">
        <f>IF(OR(AC426&lt;0,AC426&gt;0.5),"Invalid Discount","Valid")</f>
        <v>Valid</v>
      </c>
      <c r="AU426" t="str">
        <f>IF(G426&lt;E426,"Invalid Shipping Record","Valid")</f>
        <v>Valid</v>
      </c>
      <c r="AV426" t="str">
        <f>IF(OR(AL426="Cancelled",AH426="Failed"),"Exclude","Include")</f>
        <v>Include</v>
      </c>
      <c r="AW426" t="str">
        <f t="shared" si="152"/>
        <v>Match</v>
      </c>
      <c r="AX426" t="str">
        <f t="shared" si="153"/>
        <v>Match</v>
      </c>
    </row>
    <row r="427" spans="1:50">
      <c r="A427" t="s">
        <v>2097</v>
      </c>
      <c r="B427">
        <f t="shared" si="154"/>
        <v>1</v>
      </c>
      <c r="C427" t="str">
        <f t="shared" si="142"/>
        <v/>
      </c>
      <c r="D427" s="3" t="s">
        <v>2098</v>
      </c>
      <c r="E427" s="7">
        <v>45561</v>
      </c>
      <c r="F427" s="3" t="s">
        <v>2099</v>
      </c>
      <c r="G427" s="7">
        <v>45562</v>
      </c>
      <c r="H427" s="7" t="str">
        <f t="shared" si="133"/>
        <v>Valid</v>
      </c>
      <c r="I427" s="9">
        <f t="shared" si="134"/>
        <v>1</v>
      </c>
      <c r="J427" s="9" t="str">
        <f t="shared" si="135"/>
        <v>Valid</v>
      </c>
      <c r="K427" t="s">
        <v>2100</v>
      </c>
      <c r="L427" t="s">
        <v>52</v>
      </c>
      <c r="M427" t="s">
        <v>52</v>
      </c>
      <c r="N427" t="s">
        <v>114</v>
      </c>
      <c r="O427" s="3" t="str">
        <f t="shared" si="136"/>
        <v>Home Office</v>
      </c>
      <c r="P427" t="s">
        <v>26</v>
      </c>
      <c r="Q427" s="3" t="str">
        <f t="shared" si="137"/>
        <v>North</v>
      </c>
      <c r="R427" t="s">
        <v>505</v>
      </c>
      <c r="S427" t="s">
        <v>506</v>
      </c>
      <c r="T427" t="s">
        <v>29</v>
      </c>
      <c r="U427" s="3" t="str">
        <f t="shared" si="138"/>
        <v>Office Supplies</v>
      </c>
      <c r="V427" t="s">
        <v>108</v>
      </c>
      <c r="W427" t="s">
        <v>2101</v>
      </c>
      <c r="X427" t="s">
        <v>55</v>
      </c>
      <c r="Y427" s="3" t="str">
        <f t="shared" si="139"/>
        <v>First Class</v>
      </c>
      <c r="Z427">
        <v>2</v>
      </c>
      <c r="AA427">
        <v>1065.69</v>
      </c>
      <c r="AB427">
        <v>0.1</v>
      </c>
      <c r="AC427">
        <f t="shared" si="140"/>
        <v>0.1</v>
      </c>
      <c r="AD427" t="str">
        <f t="shared" si="143"/>
        <v>Valid</v>
      </c>
      <c r="AE427">
        <v>1918.24</v>
      </c>
      <c r="AF427">
        <v>1373.52</v>
      </c>
      <c r="AG427">
        <v>544.72</v>
      </c>
      <c r="AH427" t="s">
        <v>123</v>
      </c>
      <c r="AI427" t="str">
        <f t="shared" si="144"/>
        <v>Exclude</v>
      </c>
      <c r="AJ427" t="str">
        <f t="shared" si="145"/>
        <v>Refunded Order</v>
      </c>
      <c r="AK427" t="s">
        <v>77</v>
      </c>
      <c r="AL427" t="str">
        <f t="shared" si="141"/>
        <v>Cancelled</v>
      </c>
      <c r="AM427" t="str">
        <f t="shared" si="146"/>
        <v>Exclude</v>
      </c>
      <c r="AN427">
        <f t="shared" si="147"/>
        <v>1918.2420000000002</v>
      </c>
      <c r="AO427">
        <f t="shared" si="148"/>
        <v>544.72200000000021</v>
      </c>
      <c r="AP427">
        <f>IF(AN427=0,0,AO427/AN427)</f>
        <v>0.2839693844676533</v>
      </c>
      <c r="AQ427" t="str">
        <f t="shared" si="149"/>
        <v>September</v>
      </c>
      <c r="AR427">
        <f t="shared" si="150"/>
        <v>2024</v>
      </c>
      <c r="AS427" t="str">
        <f t="shared" si="151"/>
        <v>Clean</v>
      </c>
      <c r="AT427" t="str">
        <f>IF(OR(AC427&lt;0,AC427&gt;0.5),"Invalid Discount","Valid")</f>
        <v>Valid</v>
      </c>
      <c r="AU427" t="str">
        <f>IF(G427&lt;E427,"Invalid Shipping Record","Valid")</f>
        <v>Valid</v>
      </c>
      <c r="AV427" t="str">
        <f>IF(OR(AL427="Cancelled",AH427="Failed"),"Exclude","Include")</f>
        <v>Exclude</v>
      </c>
      <c r="AW427" t="str">
        <f t="shared" si="152"/>
        <v>Match</v>
      </c>
      <c r="AX427" t="str">
        <f t="shared" si="153"/>
        <v>Match</v>
      </c>
    </row>
    <row r="428" spans="1:50">
      <c r="A428" t="s">
        <v>2102</v>
      </c>
      <c r="B428">
        <f t="shared" si="154"/>
        <v>1</v>
      </c>
      <c r="C428" t="str">
        <f t="shared" si="142"/>
        <v/>
      </c>
      <c r="D428" s="3" t="s">
        <v>2103</v>
      </c>
      <c r="E428" s="7">
        <v>45473</v>
      </c>
      <c r="F428" s="3" t="s">
        <v>2104</v>
      </c>
      <c r="G428" s="7">
        <v>45474</v>
      </c>
      <c r="H428" s="7" t="str">
        <f t="shared" si="133"/>
        <v>Valid</v>
      </c>
      <c r="I428" s="9">
        <f t="shared" si="134"/>
        <v>1</v>
      </c>
      <c r="J428" s="9" t="str">
        <f t="shared" si="135"/>
        <v>Valid</v>
      </c>
      <c r="K428" t="s">
        <v>2105</v>
      </c>
      <c r="L428" t="s">
        <v>106</v>
      </c>
      <c r="M428" t="s">
        <v>106</v>
      </c>
      <c r="N428" t="s">
        <v>25</v>
      </c>
      <c r="O428" s="3" t="str">
        <f t="shared" si="136"/>
        <v>Consumer</v>
      </c>
      <c r="P428" t="s">
        <v>26</v>
      </c>
      <c r="Q428" s="3" t="str">
        <f t="shared" si="137"/>
        <v>North</v>
      </c>
      <c r="R428" t="s">
        <v>322</v>
      </c>
      <c r="S428" t="s">
        <v>323</v>
      </c>
      <c r="T428" t="s">
        <v>85</v>
      </c>
      <c r="U428" s="3" t="str">
        <f t="shared" si="138"/>
        <v>Technology</v>
      </c>
      <c r="V428" t="s">
        <v>93</v>
      </c>
      <c r="W428" t="s">
        <v>2106</v>
      </c>
      <c r="X428" t="s">
        <v>47</v>
      </c>
      <c r="Y428" s="3" t="str">
        <f t="shared" si="139"/>
        <v>Same Day</v>
      </c>
      <c r="Z428">
        <v>8</v>
      </c>
      <c r="AA428">
        <v>3756.66</v>
      </c>
      <c r="AB428">
        <v>0.1</v>
      </c>
      <c r="AC428">
        <f t="shared" si="140"/>
        <v>0.1</v>
      </c>
      <c r="AD428" t="str">
        <f t="shared" si="143"/>
        <v>Valid</v>
      </c>
      <c r="AE428">
        <v>27047.95</v>
      </c>
      <c r="AF428">
        <v>18431.330000000002</v>
      </c>
      <c r="AG428">
        <v>8616.6200000000008</v>
      </c>
      <c r="AH428" t="s">
        <v>33</v>
      </c>
      <c r="AI428" t="str">
        <f t="shared" si="144"/>
        <v>Include</v>
      </c>
      <c r="AJ428" t="str">
        <f t="shared" si="145"/>
        <v/>
      </c>
      <c r="AK428" t="s">
        <v>34</v>
      </c>
      <c r="AL428" t="str">
        <f t="shared" si="141"/>
        <v>Completed</v>
      </c>
      <c r="AM428" t="str">
        <f t="shared" si="146"/>
        <v>Include</v>
      </c>
      <c r="AN428">
        <f t="shared" si="147"/>
        <v>27047.952000000001</v>
      </c>
      <c r="AO428">
        <f t="shared" si="148"/>
        <v>8616.6219999999994</v>
      </c>
      <c r="AP428">
        <f>IF(AN428=0,0,AO428/AN428)</f>
        <v>0.31856837072174626</v>
      </c>
      <c r="AQ428" t="str">
        <f t="shared" si="149"/>
        <v>June</v>
      </c>
      <c r="AR428">
        <f t="shared" si="150"/>
        <v>2024</v>
      </c>
      <c r="AS428" t="str">
        <f t="shared" si="151"/>
        <v>Clean</v>
      </c>
      <c r="AT428" t="str">
        <f>IF(OR(AC428&lt;0,AC428&gt;0.5),"Invalid Discount","Valid")</f>
        <v>Valid</v>
      </c>
      <c r="AU428" t="str">
        <f>IF(G428&lt;E428,"Invalid Shipping Record","Valid")</f>
        <v>Valid</v>
      </c>
      <c r="AV428" t="str">
        <f>IF(OR(AL428="Cancelled",AH428="Failed"),"Exclude","Include")</f>
        <v>Include</v>
      </c>
      <c r="AW428" t="str">
        <f t="shared" si="152"/>
        <v>Match</v>
      </c>
      <c r="AX428" t="str">
        <f t="shared" si="153"/>
        <v>Match</v>
      </c>
    </row>
    <row r="429" spans="1:50">
      <c r="A429" t="s">
        <v>2107</v>
      </c>
      <c r="B429">
        <f t="shared" si="154"/>
        <v>1</v>
      </c>
      <c r="C429" t="str">
        <f t="shared" si="142"/>
        <v/>
      </c>
      <c r="D429" s="3" t="s">
        <v>2108</v>
      </c>
      <c r="E429" s="7">
        <v>45769</v>
      </c>
      <c r="F429" s="3" t="s">
        <v>2109</v>
      </c>
      <c r="G429" s="7">
        <v>45771</v>
      </c>
      <c r="H429" s="7" t="str">
        <f t="shared" si="133"/>
        <v>Valid</v>
      </c>
      <c r="I429" s="9">
        <f t="shared" si="134"/>
        <v>2</v>
      </c>
      <c r="J429" s="9" t="str">
        <f t="shared" si="135"/>
        <v>Valid</v>
      </c>
      <c r="K429" t="s">
        <v>2110</v>
      </c>
      <c r="L429" t="s">
        <v>52</v>
      </c>
      <c r="M429" t="s">
        <v>52</v>
      </c>
      <c r="N429" t="s">
        <v>107</v>
      </c>
      <c r="O429" s="3" t="str">
        <f t="shared" si="136"/>
        <v>Corporate</v>
      </c>
      <c r="Q429" s="3" t="str">
        <f t="shared" si="137"/>
        <v>Unknown</v>
      </c>
      <c r="R429" t="s">
        <v>310</v>
      </c>
      <c r="S429" t="s">
        <v>311</v>
      </c>
      <c r="T429" t="s">
        <v>85</v>
      </c>
      <c r="U429" s="3" t="str">
        <f t="shared" si="138"/>
        <v>Technology</v>
      </c>
      <c r="V429" t="s">
        <v>86</v>
      </c>
      <c r="W429" t="s">
        <v>2111</v>
      </c>
      <c r="X429" t="s">
        <v>285</v>
      </c>
      <c r="Y429" s="3" t="str">
        <f t="shared" si="139"/>
        <v>Standard Class</v>
      </c>
      <c r="Z429">
        <v>9</v>
      </c>
      <c r="AA429">
        <v>2939.44</v>
      </c>
      <c r="AB429">
        <v>0</v>
      </c>
      <c r="AC429">
        <f t="shared" si="140"/>
        <v>0</v>
      </c>
      <c r="AD429" t="str">
        <f t="shared" si="143"/>
        <v>Valid</v>
      </c>
      <c r="AE429">
        <v>26454.959999999999</v>
      </c>
      <c r="AF429">
        <v>17630.25</v>
      </c>
      <c r="AG429">
        <v>8824.7099999999991</v>
      </c>
      <c r="AH429" t="s">
        <v>33</v>
      </c>
      <c r="AI429" t="str">
        <f t="shared" si="144"/>
        <v>Include</v>
      </c>
      <c r="AJ429" t="str">
        <f t="shared" si="145"/>
        <v/>
      </c>
      <c r="AK429" t="s">
        <v>34</v>
      </c>
      <c r="AL429" t="str">
        <f t="shared" si="141"/>
        <v>Completed</v>
      </c>
      <c r="AM429" t="str">
        <f t="shared" si="146"/>
        <v>Include</v>
      </c>
      <c r="AN429">
        <f t="shared" si="147"/>
        <v>26454.959999999999</v>
      </c>
      <c r="AO429">
        <f t="shared" si="148"/>
        <v>8824.7099999999991</v>
      </c>
      <c r="AP429">
        <f>IF(AN429=0,0,AO429/AN429)</f>
        <v>0.33357487594008833</v>
      </c>
      <c r="AQ429" t="str">
        <f t="shared" si="149"/>
        <v>April</v>
      </c>
      <c r="AR429">
        <f t="shared" si="150"/>
        <v>2025</v>
      </c>
      <c r="AS429" t="str">
        <f t="shared" si="151"/>
        <v>Warning</v>
      </c>
      <c r="AT429" t="str">
        <f>IF(OR(AC429&lt;0,AC429&gt;0.5),"Invalid Discount","Valid")</f>
        <v>Valid</v>
      </c>
      <c r="AU429" t="str">
        <f>IF(G429&lt;E429,"Invalid Shipping Record","Valid")</f>
        <v>Valid</v>
      </c>
      <c r="AV429" t="str">
        <f>IF(OR(AL429="Cancelled",AH429="Failed"),"Exclude","Include")</f>
        <v>Include</v>
      </c>
      <c r="AW429" t="str">
        <f t="shared" si="152"/>
        <v>Match</v>
      </c>
      <c r="AX429" t="str">
        <f t="shared" si="153"/>
        <v>Match</v>
      </c>
    </row>
    <row r="430" spans="1:50">
      <c r="A430" t="s">
        <v>2112</v>
      </c>
      <c r="B430">
        <f t="shared" si="154"/>
        <v>1</v>
      </c>
      <c r="C430" t="str">
        <f t="shared" si="142"/>
        <v/>
      </c>
      <c r="D430" s="3" t="s">
        <v>2113</v>
      </c>
      <c r="E430" s="7">
        <v>45731</v>
      </c>
      <c r="F430" s="3" t="s">
        <v>2114</v>
      </c>
      <c r="G430" s="7">
        <v>45738</v>
      </c>
      <c r="H430" s="7" t="str">
        <f t="shared" si="133"/>
        <v>Valid</v>
      </c>
      <c r="I430" s="9">
        <f t="shared" si="134"/>
        <v>7</v>
      </c>
      <c r="J430" s="9" t="str">
        <f t="shared" si="135"/>
        <v>Valid</v>
      </c>
      <c r="K430" t="s">
        <v>2115</v>
      </c>
      <c r="L430" t="s">
        <v>24</v>
      </c>
      <c r="M430" t="s">
        <v>24</v>
      </c>
      <c r="N430" t="s">
        <v>40</v>
      </c>
      <c r="O430" s="3" t="str">
        <f t="shared" si="136"/>
        <v>Small Business</v>
      </c>
      <c r="P430" t="s">
        <v>41</v>
      </c>
      <c r="Q430" s="3" t="str">
        <f t="shared" si="137"/>
        <v>East</v>
      </c>
      <c r="R430" t="s">
        <v>120</v>
      </c>
      <c r="S430" t="s">
        <v>121</v>
      </c>
      <c r="T430" t="s">
        <v>85</v>
      </c>
      <c r="U430" s="3" t="str">
        <f t="shared" si="138"/>
        <v>Technology</v>
      </c>
      <c r="V430" t="s">
        <v>222</v>
      </c>
      <c r="W430" t="s">
        <v>2116</v>
      </c>
      <c r="X430" t="s">
        <v>47</v>
      </c>
      <c r="Y430" s="3" t="str">
        <f t="shared" si="139"/>
        <v>Same Day</v>
      </c>
      <c r="Z430">
        <v>2</v>
      </c>
      <c r="AA430">
        <v>1235.93</v>
      </c>
      <c r="AB430">
        <v>0.25</v>
      </c>
      <c r="AC430">
        <f t="shared" si="140"/>
        <v>0.25</v>
      </c>
      <c r="AD430" t="str">
        <f t="shared" si="143"/>
        <v>Valid</v>
      </c>
      <c r="AE430">
        <v>1853.89</v>
      </c>
      <c r="AF430">
        <v>1101.23</v>
      </c>
      <c r="AG430">
        <v>752.66</v>
      </c>
      <c r="AH430" t="s">
        <v>136</v>
      </c>
      <c r="AI430" t="str">
        <f t="shared" si="144"/>
        <v>Exclude</v>
      </c>
      <c r="AJ430" t="str">
        <f t="shared" si="145"/>
        <v/>
      </c>
      <c r="AK430" t="s">
        <v>77</v>
      </c>
      <c r="AL430" t="str">
        <f t="shared" si="141"/>
        <v>Cancelled</v>
      </c>
      <c r="AM430" t="str">
        <f t="shared" si="146"/>
        <v>Exclude</v>
      </c>
      <c r="AN430">
        <f t="shared" si="147"/>
        <v>1853.895</v>
      </c>
      <c r="AO430">
        <f t="shared" si="148"/>
        <v>752.66499999999996</v>
      </c>
      <c r="AP430">
        <f>IF(AN430=0,0,AO430/AN430)</f>
        <v>0.40599116994220275</v>
      </c>
      <c r="AQ430" t="str">
        <f t="shared" si="149"/>
        <v>March</v>
      </c>
      <c r="AR430">
        <f t="shared" si="150"/>
        <v>2025</v>
      </c>
      <c r="AS430" t="str">
        <f t="shared" si="151"/>
        <v>Clean</v>
      </c>
      <c r="AT430" t="str">
        <f>IF(OR(AC430&lt;0,AC430&gt;0.5),"Invalid Discount","Valid")</f>
        <v>Valid</v>
      </c>
      <c r="AU430" t="str">
        <f>IF(G430&lt;E430,"Invalid Shipping Record","Valid")</f>
        <v>Valid</v>
      </c>
      <c r="AV430" t="str">
        <f>IF(OR(AL430="Cancelled",AH430="Failed"),"Exclude","Include")</f>
        <v>Exclude</v>
      </c>
      <c r="AW430" t="str">
        <f t="shared" si="152"/>
        <v>Mismatch</v>
      </c>
      <c r="AX430" t="str">
        <f t="shared" si="153"/>
        <v>Mismatch</v>
      </c>
    </row>
    <row r="431" spans="1:50">
      <c r="A431" t="s">
        <v>2117</v>
      </c>
      <c r="B431">
        <f t="shared" si="154"/>
        <v>1</v>
      </c>
      <c r="C431" t="str">
        <f t="shared" si="142"/>
        <v/>
      </c>
      <c r="D431" s="3" t="s">
        <v>2118</v>
      </c>
      <c r="E431" s="7">
        <v>45717</v>
      </c>
      <c r="F431" s="3" t="s">
        <v>2119</v>
      </c>
      <c r="G431" s="7">
        <v>45724</v>
      </c>
      <c r="H431" s="7" t="str">
        <f t="shared" si="133"/>
        <v>Valid</v>
      </c>
      <c r="I431" s="9">
        <f t="shared" si="134"/>
        <v>7</v>
      </c>
      <c r="J431" s="9" t="str">
        <f t="shared" si="135"/>
        <v>Valid</v>
      </c>
      <c r="K431" t="s">
        <v>2120</v>
      </c>
      <c r="L431" t="s">
        <v>92</v>
      </c>
      <c r="M431" t="s">
        <v>92</v>
      </c>
      <c r="N431" t="s">
        <v>114</v>
      </c>
      <c r="O431" s="3" t="str">
        <f t="shared" si="136"/>
        <v>Home Office</v>
      </c>
      <c r="P431" t="s">
        <v>26</v>
      </c>
      <c r="Q431" s="3" t="str">
        <f t="shared" si="137"/>
        <v>North</v>
      </c>
      <c r="R431" t="s">
        <v>27</v>
      </c>
      <c r="S431" t="s">
        <v>28</v>
      </c>
      <c r="T431" t="s">
        <v>85</v>
      </c>
      <c r="U431" s="3" t="str">
        <f t="shared" si="138"/>
        <v>Technology</v>
      </c>
      <c r="V431" t="s">
        <v>93</v>
      </c>
      <c r="W431" t="s">
        <v>2121</v>
      </c>
      <c r="X431" t="s">
        <v>47</v>
      </c>
      <c r="Y431" s="3" t="str">
        <f t="shared" si="139"/>
        <v>Same Day</v>
      </c>
      <c r="Z431">
        <v>8</v>
      </c>
      <c r="AA431">
        <v>2943.1</v>
      </c>
      <c r="AB431">
        <v>0.25</v>
      </c>
      <c r="AC431">
        <f t="shared" si="140"/>
        <v>0.25</v>
      </c>
      <c r="AD431" t="str">
        <f t="shared" si="143"/>
        <v>Valid</v>
      </c>
      <c r="AE431">
        <v>17658.599999999999</v>
      </c>
      <c r="AF431">
        <v>13842.48</v>
      </c>
      <c r="AG431">
        <v>3816.12</v>
      </c>
      <c r="AH431" t="s">
        <v>33</v>
      </c>
      <c r="AI431" t="str">
        <f t="shared" si="144"/>
        <v>Include</v>
      </c>
      <c r="AJ431" t="str">
        <f t="shared" si="145"/>
        <v/>
      </c>
      <c r="AK431" t="s">
        <v>34</v>
      </c>
      <c r="AL431" t="str">
        <f t="shared" si="141"/>
        <v>Completed</v>
      </c>
      <c r="AM431" t="str">
        <f t="shared" si="146"/>
        <v>Include</v>
      </c>
      <c r="AN431">
        <f t="shared" si="147"/>
        <v>17658.599999999999</v>
      </c>
      <c r="AO431">
        <f t="shared" si="148"/>
        <v>3816.119999999999</v>
      </c>
      <c r="AP431">
        <f>IF(AN431=0,0,AO431/AN431)</f>
        <v>0.2161054670245659</v>
      </c>
      <c r="AQ431" t="str">
        <f t="shared" si="149"/>
        <v>March</v>
      </c>
      <c r="AR431">
        <f t="shared" si="150"/>
        <v>2025</v>
      </c>
      <c r="AS431" t="str">
        <f t="shared" si="151"/>
        <v>Clean</v>
      </c>
      <c r="AT431" t="str">
        <f>IF(OR(AC431&lt;0,AC431&gt;0.5),"Invalid Discount","Valid")</f>
        <v>Valid</v>
      </c>
      <c r="AU431" t="str">
        <f>IF(G431&lt;E431,"Invalid Shipping Record","Valid")</f>
        <v>Valid</v>
      </c>
      <c r="AV431" t="str">
        <f>IF(OR(AL431="Cancelled",AH431="Failed"),"Exclude","Include")</f>
        <v>Include</v>
      </c>
      <c r="AW431" t="str">
        <f t="shared" si="152"/>
        <v>Match</v>
      </c>
      <c r="AX431" t="str">
        <f t="shared" si="153"/>
        <v>Match</v>
      </c>
    </row>
    <row r="432" spans="1:50">
      <c r="A432" t="s">
        <v>2122</v>
      </c>
      <c r="B432">
        <f t="shared" si="154"/>
        <v>1</v>
      </c>
      <c r="C432" t="str">
        <f t="shared" si="142"/>
        <v/>
      </c>
      <c r="D432" s="3" t="s">
        <v>2123</v>
      </c>
      <c r="E432" s="7">
        <v>45534</v>
      </c>
      <c r="F432" s="3" t="s">
        <v>2124</v>
      </c>
      <c r="G432" s="7">
        <v>45537</v>
      </c>
      <c r="H432" s="7" t="str">
        <f t="shared" si="133"/>
        <v>Valid</v>
      </c>
      <c r="I432" s="9">
        <f t="shared" si="134"/>
        <v>3</v>
      </c>
      <c r="J432" s="9" t="str">
        <f t="shared" si="135"/>
        <v>Valid</v>
      </c>
      <c r="K432" t="s">
        <v>2125</v>
      </c>
      <c r="L432" t="s">
        <v>92</v>
      </c>
      <c r="M432" t="s">
        <v>92</v>
      </c>
      <c r="N432" t="s">
        <v>40</v>
      </c>
      <c r="O432" s="3" t="str">
        <f t="shared" si="136"/>
        <v>Small Business</v>
      </c>
      <c r="P432" t="s">
        <v>26</v>
      </c>
      <c r="Q432" s="3" t="str">
        <f t="shared" si="137"/>
        <v>North</v>
      </c>
      <c r="R432" t="s">
        <v>322</v>
      </c>
      <c r="S432" t="s">
        <v>323</v>
      </c>
      <c r="T432" t="s">
        <v>29</v>
      </c>
      <c r="U432" s="3" t="str">
        <f t="shared" si="138"/>
        <v>Office Supplies</v>
      </c>
      <c r="V432" t="s">
        <v>30</v>
      </c>
      <c r="W432" t="s">
        <v>2126</v>
      </c>
      <c r="X432" t="s">
        <v>32</v>
      </c>
      <c r="Y432" s="3" t="str">
        <f t="shared" si="139"/>
        <v>Second Class</v>
      </c>
      <c r="Z432">
        <v>1</v>
      </c>
      <c r="AA432">
        <v>4320.84</v>
      </c>
      <c r="AB432">
        <v>0.15</v>
      </c>
      <c r="AC432">
        <f t="shared" si="140"/>
        <v>0.15</v>
      </c>
      <c r="AD432" t="str">
        <f t="shared" si="143"/>
        <v>Valid</v>
      </c>
      <c r="AE432">
        <v>3672.71</v>
      </c>
      <c r="AF432">
        <v>2714.23</v>
      </c>
      <c r="AG432">
        <v>763.38</v>
      </c>
      <c r="AH432" t="s">
        <v>33</v>
      </c>
      <c r="AI432" t="str">
        <f t="shared" si="144"/>
        <v>Include</v>
      </c>
      <c r="AJ432" t="str">
        <f t="shared" si="145"/>
        <v/>
      </c>
      <c r="AK432" t="s">
        <v>34</v>
      </c>
      <c r="AL432" t="str">
        <f t="shared" si="141"/>
        <v>Completed</v>
      </c>
      <c r="AM432" t="str">
        <f t="shared" si="146"/>
        <v>Include</v>
      </c>
      <c r="AN432">
        <f t="shared" si="147"/>
        <v>3672.7139999999999</v>
      </c>
      <c r="AO432">
        <f t="shared" si="148"/>
        <v>958.48399999999992</v>
      </c>
      <c r="AP432">
        <f>IF(AN432=0,0,AO432/AN432)</f>
        <v>0.26097430946161337</v>
      </c>
      <c r="AQ432" t="str">
        <f t="shared" si="149"/>
        <v>August</v>
      </c>
      <c r="AR432">
        <f t="shared" si="150"/>
        <v>2024</v>
      </c>
      <c r="AS432" t="str">
        <f t="shared" si="151"/>
        <v>Clean</v>
      </c>
      <c r="AT432" t="str">
        <f>IF(OR(AC432&lt;0,AC432&gt;0.5),"Invalid Discount","Valid")</f>
        <v>Valid</v>
      </c>
      <c r="AU432" t="str">
        <f>IF(G432&lt;E432,"Invalid Shipping Record","Valid")</f>
        <v>Valid</v>
      </c>
      <c r="AV432" t="str">
        <f>IF(OR(AL432="Cancelled",AH432="Failed"),"Exclude","Include")</f>
        <v>Include</v>
      </c>
      <c r="AW432" t="str">
        <f t="shared" si="152"/>
        <v>Match</v>
      </c>
      <c r="AX432" t="str">
        <f t="shared" si="153"/>
        <v>Mismatch</v>
      </c>
    </row>
    <row r="433" spans="1:50">
      <c r="A433" t="s">
        <v>2127</v>
      </c>
      <c r="B433">
        <f t="shared" si="154"/>
        <v>1</v>
      </c>
      <c r="C433" t="str">
        <f t="shared" si="142"/>
        <v/>
      </c>
      <c r="D433" s="3" t="s">
        <v>2128</v>
      </c>
      <c r="E433" s="7">
        <v>45332</v>
      </c>
      <c r="F433" s="3" t="s">
        <v>2129</v>
      </c>
      <c r="G433" s="7">
        <v>45335</v>
      </c>
      <c r="H433" s="7" t="str">
        <f t="shared" si="133"/>
        <v>Valid</v>
      </c>
      <c r="I433" s="9">
        <f t="shared" si="134"/>
        <v>3</v>
      </c>
      <c r="J433" s="9" t="str">
        <f t="shared" si="135"/>
        <v>Valid</v>
      </c>
      <c r="K433" t="s">
        <v>2130</v>
      </c>
      <c r="L433" t="s">
        <v>24</v>
      </c>
      <c r="M433" t="s">
        <v>24</v>
      </c>
      <c r="N433" t="s">
        <v>114</v>
      </c>
      <c r="O433" s="3" t="str">
        <f t="shared" si="136"/>
        <v>Home Office</v>
      </c>
      <c r="P433" t="s">
        <v>72</v>
      </c>
      <c r="Q433" s="3" t="str">
        <f t="shared" si="137"/>
        <v>West</v>
      </c>
      <c r="R433" t="s">
        <v>248</v>
      </c>
      <c r="S433" t="s">
        <v>249</v>
      </c>
      <c r="T433" t="s">
        <v>85</v>
      </c>
      <c r="U433" s="3" t="str">
        <f t="shared" si="138"/>
        <v>Technology</v>
      </c>
      <c r="V433" t="s">
        <v>381</v>
      </c>
      <c r="W433" t="s">
        <v>2131</v>
      </c>
      <c r="X433" t="s">
        <v>47</v>
      </c>
      <c r="Y433" s="3" t="str">
        <f t="shared" si="139"/>
        <v>Same Day</v>
      </c>
      <c r="Z433">
        <v>2</v>
      </c>
      <c r="AA433">
        <v>4118.45</v>
      </c>
      <c r="AB433">
        <v>0.25</v>
      </c>
      <c r="AC433">
        <f t="shared" si="140"/>
        <v>0.25</v>
      </c>
      <c r="AD433" t="str">
        <f t="shared" si="143"/>
        <v>Valid</v>
      </c>
      <c r="AE433">
        <v>6177.67</v>
      </c>
      <c r="AF433">
        <v>4520.75</v>
      </c>
      <c r="AG433">
        <v>1656.92</v>
      </c>
      <c r="AH433" t="s">
        <v>33</v>
      </c>
      <c r="AI433" t="str">
        <f t="shared" si="144"/>
        <v>Include</v>
      </c>
      <c r="AJ433" t="str">
        <f t="shared" si="145"/>
        <v/>
      </c>
      <c r="AK433" t="s">
        <v>34</v>
      </c>
      <c r="AL433" t="str">
        <f t="shared" si="141"/>
        <v>Completed</v>
      </c>
      <c r="AM433" t="str">
        <f t="shared" si="146"/>
        <v>Include</v>
      </c>
      <c r="AN433">
        <f t="shared" si="147"/>
        <v>6177.6749999999993</v>
      </c>
      <c r="AO433">
        <f t="shared" si="148"/>
        <v>1656.9249999999993</v>
      </c>
      <c r="AP433">
        <f>IF(AN433=0,0,AO433/AN433)</f>
        <v>0.26821174632851347</v>
      </c>
      <c r="AQ433" t="str">
        <f t="shared" si="149"/>
        <v>February</v>
      </c>
      <c r="AR433">
        <f t="shared" si="150"/>
        <v>2024</v>
      </c>
      <c r="AS433" t="str">
        <f t="shared" si="151"/>
        <v>Clean</v>
      </c>
      <c r="AT433" t="str">
        <f>IF(OR(AC433&lt;0,AC433&gt;0.5),"Invalid Discount","Valid")</f>
        <v>Valid</v>
      </c>
      <c r="AU433" t="str">
        <f>IF(G433&lt;E433,"Invalid Shipping Record","Valid")</f>
        <v>Valid</v>
      </c>
      <c r="AV433" t="str">
        <f>IF(OR(AL433="Cancelled",AH433="Failed"),"Exclude","Include")</f>
        <v>Include</v>
      </c>
      <c r="AW433" t="str">
        <f t="shared" si="152"/>
        <v>Mismatch</v>
      </c>
      <c r="AX433" t="str">
        <f t="shared" si="153"/>
        <v>Mismatch</v>
      </c>
    </row>
    <row r="434" spans="1:50">
      <c r="A434" t="s">
        <v>2132</v>
      </c>
      <c r="B434">
        <f t="shared" si="154"/>
        <v>1</v>
      </c>
      <c r="C434" t="str">
        <f t="shared" si="142"/>
        <v/>
      </c>
      <c r="D434" s="3" t="s">
        <v>1949</v>
      </c>
      <c r="E434" s="7">
        <v>45533</v>
      </c>
      <c r="F434" s="3" t="s">
        <v>2124</v>
      </c>
      <c r="G434" s="7">
        <v>45537</v>
      </c>
      <c r="H434" s="7" t="str">
        <f t="shared" si="133"/>
        <v>Valid</v>
      </c>
      <c r="I434" s="9">
        <f t="shared" si="134"/>
        <v>4</v>
      </c>
      <c r="J434" s="9" t="str">
        <f t="shared" si="135"/>
        <v>Valid</v>
      </c>
      <c r="K434" t="s">
        <v>2133</v>
      </c>
      <c r="L434" t="s">
        <v>141</v>
      </c>
      <c r="M434" t="s">
        <v>141</v>
      </c>
      <c r="N434" t="s">
        <v>40</v>
      </c>
      <c r="O434" s="3" t="str">
        <f t="shared" si="136"/>
        <v>Small Business</v>
      </c>
      <c r="P434" t="s">
        <v>72</v>
      </c>
      <c r="Q434" s="3" t="str">
        <f t="shared" si="137"/>
        <v>West</v>
      </c>
      <c r="R434" t="s">
        <v>73</v>
      </c>
      <c r="S434" t="s">
        <v>74</v>
      </c>
      <c r="T434" t="s">
        <v>44</v>
      </c>
      <c r="U434" s="3" t="str">
        <f t="shared" si="138"/>
        <v>Furniture</v>
      </c>
      <c r="V434" t="s">
        <v>203</v>
      </c>
      <c r="W434" t="s">
        <v>2134</v>
      </c>
      <c r="X434" t="s">
        <v>66</v>
      </c>
      <c r="Y434" s="3" t="str">
        <f t="shared" si="139"/>
        <v>Standard Class</v>
      </c>
      <c r="Z434">
        <v>6</v>
      </c>
      <c r="AA434">
        <v>172.82</v>
      </c>
      <c r="AB434">
        <v>0.05</v>
      </c>
      <c r="AC434">
        <f t="shared" si="140"/>
        <v>0.05</v>
      </c>
      <c r="AD434" t="str">
        <f t="shared" si="143"/>
        <v>Valid</v>
      </c>
      <c r="AE434">
        <v>985.07</v>
      </c>
      <c r="AF434">
        <v>844.48</v>
      </c>
      <c r="AG434">
        <v>140.59</v>
      </c>
      <c r="AH434" t="s">
        <v>33</v>
      </c>
      <c r="AI434" t="str">
        <f t="shared" si="144"/>
        <v>Include</v>
      </c>
      <c r="AJ434" t="str">
        <f t="shared" si="145"/>
        <v/>
      </c>
      <c r="AK434" t="s">
        <v>34</v>
      </c>
      <c r="AL434" t="str">
        <f t="shared" si="141"/>
        <v>Completed</v>
      </c>
      <c r="AM434" t="str">
        <f t="shared" si="146"/>
        <v>Include</v>
      </c>
      <c r="AN434">
        <f t="shared" si="147"/>
        <v>985.07400000000007</v>
      </c>
      <c r="AO434">
        <f t="shared" si="148"/>
        <v>140.59400000000005</v>
      </c>
      <c r="AP434">
        <f>IF(AN434=0,0,AO434/AN434)</f>
        <v>0.14272430294576857</v>
      </c>
      <c r="AQ434" t="str">
        <f t="shared" si="149"/>
        <v>August</v>
      </c>
      <c r="AR434">
        <f t="shared" si="150"/>
        <v>2024</v>
      </c>
      <c r="AS434" t="str">
        <f t="shared" si="151"/>
        <v>Clean</v>
      </c>
      <c r="AT434" t="str">
        <f>IF(OR(AC434&lt;0,AC434&gt;0.5),"Invalid Discount","Valid")</f>
        <v>Valid</v>
      </c>
      <c r="AU434" t="str">
        <f>IF(G434&lt;E434,"Invalid Shipping Record","Valid")</f>
        <v>Valid</v>
      </c>
      <c r="AV434" t="str">
        <f>IF(OR(AL434="Cancelled",AH434="Failed"),"Exclude","Include")</f>
        <v>Include</v>
      </c>
      <c r="AW434" t="str">
        <f t="shared" si="152"/>
        <v>Match</v>
      </c>
      <c r="AX434" t="str">
        <f t="shared" si="153"/>
        <v>Match</v>
      </c>
    </row>
    <row r="435" spans="1:50">
      <c r="A435" t="s">
        <v>2135</v>
      </c>
      <c r="B435">
        <f t="shared" si="154"/>
        <v>1</v>
      </c>
      <c r="C435" t="str">
        <f t="shared" si="142"/>
        <v/>
      </c>
      <c r="D435" s="3" t="s">
        <v>2136</v>
      </c>
      <c r="E435" s="7">
        <v>45401</v>
      </c>
      <c r="F435" s="3" t="s">
        <v>2137</v>
      </c>
      <c r="G435" s="7">
        <v>45402</v>
      </c>
      <c r="H435" s="7" t="str">
        <f t="shared" si="133"/>
        <v>Valid</v>
      </c>
      <c r="I435" s="9">
        <f t="shared" si="134"/>
        <v>1</v>
      </c>
      <c r="J435" s="9" t="str">
        <f t="shared" si="135"/>
        <v>Valid</v>
      </c>
      <c r="K435" t="s">
        <v>2138</v>
      </c>
      <c r="L435" t="s">
        <v>141</v>
      </c>
      <c r="M435" t="s">
        <v>141</v>
      </c>
      <c r="N435" t="s">
        <v>107</v>
      </c>
      <c r="O435" s="3" t="str">
        <f t="shared" si="136"/>
        <v>Corporate</v>
      </c>
      <c r="P435" t="s">
        <v>61</v>
      </c>
      <c r="Q435" s="3" t="str">
        <f t="shared" si="137"/>
        <v>South</v>
      </c>
      <c r="R435" t="s">
        <v>241</v>
      </c>
      <c r="S435" t="s">
        <v>242</v>
      </c>
      <c r="T435" t="s">
        <v>29</v>
      </c>
      <c r="U435" s="3" t="str">
        <f t="shared" si="138"/>
        <v>Office Supplies</v>
      </c>
      <c r="V435" t="s">
        <v>53</v>
      </c>
      <c r="W435" t="s">
        <v>2139</v>
      </c>
      <c r="X435" t="s">
        <v>32</v>
      </c>
      <c r="Y435" s="3" t="str">
        <f t="shared" si="139"/>
        <v>Second Class</v>
      </c>
      <c r="Z435">
        <v>4</v>
      </c>
      <c r="AA435">
        <v>1540.22</v>
      </c>
      <c r="AB435">
        <v>0</v>
      </c>
      <c r="AC435">
        <f t="shared" si="140"/>
        <v>0</v>
      </c>
      <c r="AD435" t="str">
        <f t="shared" si="143"/>
        <v>Valid</v>
      </c>
      <c r="AE435">
        <v>6160.88</v>
      </c>
      <c r="AF435">
        <v>4938.7</v>
      </c>
      <c r="AG435">
        <v>1222.18</v>
      </c>
      <c r="AH435" t="s">
        <v>123</v>
      </c>
      <c r="AI435" t="str">
        <f t="shared" si="144"/>
        <v>Include</v>
      </c>
      <c r="AJ435" t="str">
        <f t="shared" si="145"/>
        <v>Refunded Order</v>
      </c>
      <c r="AK435" t="s">
        <v>124</v>
      </c>
      <c r="AL435" t="str">
        <f t="shared" si="141"/>
        <v>Returned</v>
      </c>
      <c r="AM435" t="str">
        <f t="shared" si="146"/>
        <v>Include</v>
      </c>
      <c r="AN435">
        <f t="shared" si="147"/>
        <v>6160.88</v>
      </c>
      <c r="AO435">
        <f t="shared" si="148"/>
        <v>1222.1800000000003</v>
      </c>
      <c r="AP435">
        <f>IF(AN435=0,0,AO435/AN435)</f>
        <v>0.19837750451234243</v>
      </c>
      <c r="AQ435" t="str">
        <f t="shared" si="149"/>
        <v>April</v>
      </c>
      <c r="AR435">
        <f t="shared" si="150"/>
        <v>2024</v>
      </c>
      <c r="AS435" t="str">
        <f t="shared" si="151"/>
        <v>Clean</v>
      </c>
      <c r="AT435" t="str">
        <f>IF(OR(AC435&lt;0,AC435&gt;0.5),"Invalid Discount","Valid")</f>
        <v>Valid</v>
      </c>
      <c r="AU435" t="str">
        <f>IF(G435&lt;E435,"Invalid Shipping Record","Valid")</f>
        <v>Valid</v>
      </c>
      <c r="AV435" t="str">
        <f>IF(OR(AL435="Cancelled",AH435="Failed"),"Exclude","Include")</f>
        <v>Include</v>
      </c>
      <c r="AW435" t="str">
        <f t="shared" si="152"/>
        <v>Match</v>
      </c>
      <c r="AX435" t="str">
        <f t="shared" si="153"/>
        <v>Match</v>
      </c>
    </row>
    <row r="436" spans="1:50">
      <c r="A436" t="s">
        <v>2140</v>
      </c>
      <c r="B436">
        <f t="shared" si="154"/>
        <v>1</v>
      </c>
      <c r="C436" t="str">
        <f t="shared" si="142"/>
        <v/>
      </c>
      <c r="D436" s="3" t="s">
        <v>2141</v>
      </c>
      <c r="E436" s="7">
        <v>45758</v>
      </c>
      <c r="F436" s="3" t="s">
        <v>2142</v>
      </c>
      <c r="G436" s="7">
        <v>45762</v>
      </c>
      <c r="H436" s="7" t="str">
        <f t="shared" si="133"/>
        <v>Valid</v>
      </c>
      <c r="I436" s="9">
        <f t="shared" si="134"/>
        <v>4</v>
      </c>
      <c r="J436" s="9" t="str">
        <f t="shared" si="135"/>
        <v>Valid</v>
      </c>
      <c r="K436" t="s">
        <v>2143</v>
      </c>
      <c r="L436" t="s">
        <v>39</v>
      </c>
      <c r="M436" t="s">
        <v>39</v>
      </c>
      <c r="N436" t="s">
        <v>114</v>
      </c>
      <c r="O436" s="3" t="str">
        <f t="shared" si="136"/>
        <v>Home Office</v>
      </c>
      <c r="P436" t="s">
        <v>26</v>
      </c>
      <c r="Q436" s="3" t="str">
        <f t="shared" si="137"/>
        <v>North</v>
      </c>
      <c r="R436" t="s">
        <v>173</v>
      </c>
      <c r="S436" t="s">
        <v>174</v>
      </c>
      <c r="T436" t="s">
        <v>85</v>
      </c>
      <c r="U436" s="3" t="str">
        <f t="shared" si="138"/>
        <v>Technology</v>
      </c>
      <c r="V436" t="s">
        <v>86</v>
      </c>
      <c r="W436" t="s">
        <v>2144</v>
      </c>
      <c r="X436" t="s">
        <v>32</v>
      </c>
      <c r="Y436" s="3" t="str">
        <f t="shared" si="139"/>
        <v>Second Class</v>
      </c>
      <c r="Z436">
        <v>5</v>
      </c>
      <c r="AA436">
        <v>652.78</v>
      </c>
      <c r="AB436">
        <v>0</v>
      </c>
      <c r="AC436">
        <f t="shared" si="140"/>
        <v>0</v>
      </c>
      <c r="AD436" t="str">
        <f t="shared" si="143"/>
        <v>Valid</v>
      </c>
      <c r="AE436">
        <v>3263.9</v>
      </c>
      <c r="AF436">
        <v>2068.44</v>
      </c>
      <c r="AG436">
        <v>1195.46</v>
      </c>
      <c r="AH436" t="s">
        <v>33</v>
      </c>
      <c r="AI436" t="str">
        <f t="shared" si="144"/>
        <v>Include</v>
      </c>
      <c r="AJ436" t="str">
        <f t="shared" si="145"/>
        <v/>
      </c>
      <c r="AK436" t="s">
        <v>34</v>
      </c>
      <c r="AL436" t="str">
        <f t="shared" si="141"/>
        <v>Completed</v>
      </c>
      <c r="AM436" t="str">
        <f t="shared" si="146"/>
        <v>Include</v>
      </c>
      <c r="AN436">
        <f t="shared" si="147"/>
        <v>3263.8999999999996</v>
      </c>
      <c r="AO436">
        <f t="shared" si="148"/>
        <v>1195.4599999999996</v>
      </c>
      <c r="AP436">
        <f>IF(AN436=0,0,AO436/AN436)</f>
        <v>0.3662673488771101</v>
      </c>
      <c r="AQ436" t="str">
        <f t="shared" si="149"/>
        <v>April</v>
      </c>
      <c r="AR436">
        <f t="shared" si="150"/>
        <v>2025</v>
      </c>
      <c r="AS436" t="str">
        <f t="shared" si="151"/>
        <v>Clean</v>
      </c>
      <c r="AT436" t="str">
        <f>IF(OR(AC436&lt;0,AC436&gt;0.5),"Invalid Discount","Valid")</f>
        <v>Valid</v>
      </c>
      <c r="AU436" t="str">
        <f>IF(G436&lt;E436,"Invalid Shipping Record","Valid")</f>
        <v>Valid</v>
      </c>
      <c r="AV436" t="str">
        <f>IF(OR(AL436="Cancelled",AH436="Failed"),"Exclude","Include")</f>
        <v>Include</v>
      </c>
      <c r="AW436" t="str">
        <f t="shared" si="152"/>
        <v>Match</v>
      </c>
      <c r="AX436" t="str">
        <f t="shared" si="153"/>
        <v>Match</v>
      </c>
    </row>
    <row r="437" spans="1:50">
      <c r="A437" t="s">
        <v>2145</v>
      </c>
      <c r="B437">
        <f t="shared" si="154"/>
        <v>1</v>
      </c>
      <c r="C437" t="str">
        <f t="shared" si="142"/>
        <v/>
      </c>
      <c r="D437" s="3" t="s">
        <v>2146</v>
      </c>
      <c r="E437" s="7">
        <v>45759</v>
      </c>
      <c r="F437" s="3" t="s">
        <v>1027</v>
      </c>
      <c r="G437" s="7">
        <v>45767</v>
      </c>
      <c r="H437" s="7" t="str">
        <f t="shared" si="133"/>
        <v>Valid</v>
      </c>
      <c r="I437" s="9">
        <f t="shared" si="134"/>
        <v>8</v>
      </c>
      <c r="J437" s="9" t="str">
        <f t="shared" si="135"/>
        <v>Valid</v>
      </c>
      <c r="K437" t="s">
        <v>2147</v>
      </c>
      <c r="L437" t="s">
        <v>365</v>
      </c>
      <c r="M437" t="s">
        <v>365</v>
      </c>
      <c r="N437" t="s">
        <v>114</v>
      </c>
      <c r="O437" s="3" t="str">
        <f t="shared" si="136"/>
        <v>Home Office</v>
      </c>
      <c r="P437" t="s">
        <v>26</v>
      </c>
      <c r="Q437" s="3" t="str">
        <f t="shared" si="137"/>
        <v>North</v>
      </c>
      <c r="R437" t="s">
        <v>505</v>
      </c>
      <c r="S437" t="s">
        <v>506</v>
      </c>
      <c r="T437" t="s">
        <v>85</v>
      </c>
      <c r="U437" s="3" t="str">
        <f t="shared" si="138"/>
        <v>Technology</v>
      </c>
      <c r="V437" t="s">
        <v>381</v>
      </c>
      <c r="W437" t="s">
        <v>2148</v>
      </c>
      <c r="X437" t="s">
        <v>66</v>
      </c>
      <c r="Y437" s="3" t="str">
        <f t="shared" si="139"/>
        <v>Standard Class</v>
      </c>
      <c r="Z437">
        <v>1</v>
      </c>
      <c r="AA437">
        <v>2737.71</v>
      </c>
      <c r="AB437">
        <v>0.15</v>
      </c>
      <c r="AC437">
        <f t="shared" si="140"/>
        <v>0.15</v>
      </c>
      <c r="AD437" t="str">
        <f t="shared" si="143"/>
        <v>Valid</v>
      </c>
      <c r="AE437">
        <v>2327.0500000000002</v>
      </c>
      <c r="AF437">
        <v>1919.42</v>
      </c>
      <c r="AG437">
        <v>407.63</v>
      </c>
      <c r="AH437" t="s">
        <v>33</v>
      </c>
      <c r="AI437" t="str">
        <f t="shared" si="144"/>
        <v>Exclude</v>
      </c>
      <c r="AJ437" t="str">
        <f t="shared" si="145"/>
        <v/>
      </c>
      <c r="AK437" t="s">
        <v>77</v>
      </c>
      <c r="AL437" t="str">
        <f t="shared" si="141"/>
        <v>Cancelled</v>
      </c>
      <c r="AM437" t="str">
        <f t="shared" si="146"/>
        <v>Exclude</v>
      </c>
      <c r="AN437">
        <f t="shared" si="147"/>
        <v>2327.0535</v>
      </c>
      <c r="AO437">
        <f t="shared" si="148"/>
        <v>407.63349999999991</v>
      </c>
      <c r="AP437">
        <f>IF(AN437=0,0,AO437/AN437)</f>
        <v>0.17517152055163318</v>
      </c>
      <c r="AQ437" t="str">
        <f t="shared" si="149"/>
        <v>April</v>
      </c>
      <c r="AR437">
        <f t="shared" si="150"/>
        <v>2025</v>
      </c>
      <c r="AS437" t="str">
        <f t="shared" si="151"/>
        <v>Clean</v>
      </c>
      <c r="AT437" t="str">
        <f>IF(OR(AC437&lt;0,AC437&gt;0.5),"Invalid Discount","Valid")</f>
        <v>Valid</v>
      </c>
      <c r="AU437" t="str">
        <f>IF(G437&lt;E437,"Invalid Shipping Record","Valid")</f>
        <v>Valid</v>
      </c>
      <c r="AV437" t="str">
        <f>IF(OR(AL437="Cancelled",AH437="Failed"),"Exclude","Include")</f>
        <v>Exclude</v>
      </c>
      <c r="AW437" t="str">
        <f t="shared" si="152"/>
        <v>Match</v>
      </c>
      <c r="AX437" t="str">
        <f t="shared" si="153"/>
        <v>Match</v>
      </c>
    </row>
    <row r="438" spans="1:50">
      <c r="A438" t="s">
        <v>2149</v>
      </c>
      <c r="B438">
        <f t="shared" si="154"/>
        <v>1</v>
      </c>
      <c r="C438" t="str">
        <f t="shared" si="142"/>
        <v/>
      </c>
      <c r="D438" s="3" t="s">
        <v>2150</v>
      </c>
      <c r="E438" s="7">
        <v>45459</v>
      </c>
      <c r="F438" s="3" t="s">
        <v>2151</v>
      </c>
      <c r="G438" s="7">
        <v>45464</v>
      </c>
      <c r="H438" s="7" t="str">
        <f t="shared" si="133"/>
        <v>Valid</v>
      </c>
      <c r="I438" s="9">
        <f t="shared" si="134"/>
        <v>5</v>
      </c>
      <c r="J438" s="9" t="str">
        <f t="shared" si="135"/>
        <v>Valid</v>
      </c>
      <c r="K438" t="s">
        <v>2152</v>
      </c>
      <c r="L438" t="s">
        <v>92</v>
      </c>
      <c r="M438" t="s">
        <v>92</v>
      </c>
      <c r="N438" t="s">
        <v>25</v>
      </c>
      <c r="O438" s="3" t="str">
        <f t="shared" si="136"/>
        <v>Consumer</v>
      </c>
      <c r="P438" t="s">
        <v>61</v>
      </c>
      <c r="Q438" s="3" t="str">
        <f t="shared" si="137"/>
        <v>South</v>
      </c>
      <c r="R438" t="s">
        <v>241</v>
      </c>
      <c r="S438" t="s">
        <v>242</v>
      </c>
      <c r="T438" t="s">
        <v>44</v>
      </c>
      <c r="U438" s="3" t="str">
        <f t="shared" si="138"/>
        <v>Furniture</v>
      </c>
      <c r="V438" t="s">
        <v>64</v>
      </c>
      <c r="W438" t="s">
        <v>2153</v>
      </c>
      <c r="X438" t="s">
        <v>47</v>
      </c>
      <c r="Y438" s="3" t="str">
        <f t="shared" si="139"/>
        <v>Same Day</v>
      </c>
      <c r="Z438">
        <v>6</v>
      </c>
      <c r="AA438">
        <v>1156.78</v>
      </c>
      <c r="AB438">
        <v>0.05</v>
      </c>
      <c r="AC438">
        <f t="shared" si="140"/>
        <v>0.05</v>
      </c>
      <c r="AD438" t="str">
        <f t="shared" si="143"/>
        <v>Valid</v>
      </c>
      <c r="AE438">
        <v>6593.65</v>
      </c>
      <c r="AF438">
        <v>4359.3900000000003</v>
      </c>
      <c r="AG438">
        <v>2234.2600000000002</v>
      </c>
      <c r="AH438" t="s">
        <v>33</v>
      </c>
      <c r="AI438" t="str">
        <f t="shared" si="144"/>
        <v>Include</v>
      </c>
      <c r="AJ438" t="str">
        <f t="shared" si="145"/>
        <v/>
      </c>
      <c r="AK438" t="s">
        <v>124</v>
      </c>
      <c r="AL438" t="str">
        <f t="shared" si="141"/>
        <v>Returned</v>
      </c>
      <c r="AM438" t="str">
        <f t="shared" si="146"/>
        <v>Include</v>
      </c>
      <c r="AN438">
        <f t="shared" si="147"/>
        <v>6593.6459999999997</v>
      </c>
      <c r="AO438">
        <f t="shared" si="148"/>
        <v>2234.2559999999994</v>
      </c>
      <c r="AP438">
        <f>IF(AN438=0,0,AO438/AN438)</f>
        <v>0.33884985636171544</v>
      </c>
      <c r="AQ438" t="str">
        <f t="shared" si="149"/>
        <v>June</v>
      </c>
      <c r="AR438">
        <f t="shared" si="150"/>
        <v>2024</v>
      </c>
      <c r="AS438" t="str">
        <f t="shared" si="151"/>
        <v>Clean</v>
      </c>
      <c r="AT438" t="str">
        <f>IF(OR(AC438&lt;0,AC438&gt;0.5),"Invalid Discount","Valid")</f>
        <v>Valid</v>
      </c>
      <c r="AU438" t="str">
        <f>IF(G438&lt;E438,"Invalid Shipping Record","Valid")</f>
        <v>Valid</v>
      </c>
      <c r="AV438" t="str">
        <f>IF(OR(AL438="Cancelled",AH438="Failed"),"Exclude","Include")</f>
        <v>Include</v>
      </c>
      <c r="AW438" t="str">
        <f t="shared" si="152"/>
        <v>Match</v>
      </c>
      <c r="AX438" t="str">
        <f t="shared" si="153"/>
        <v>Match</v>
      </c>
    </row>
    <row r="439" spans="1:50">
      <c r="A439" t="s">
        <v>2154</v>
      </c>
      <c r="B439">
        <f t="shared" si="154"/>
        <v>1</v>
      </c>
      <c r="C439" t="str">
        <f t="shared" si="142"/>
        <v/>
      </c>
      <c r="D439" s="3" t="s">
        <v>2155</v>
      </c>
      <c r="E439" s="7">
        <v>45337</v>
      </c>
      <c r="F439" s="3" t="s">
        <v>2156</v>
      </c>
      <c r="G439" s="7">
        <v>45340</v>
      </c>
      <c r="H439" s="7" t="str">
        <f t="shared" si="133"/>
        <v>Valid</v>
      </c>
      <c r="I439" s="9">
        <f t="shared" si="134"/>
        <v>3</v>
      </c>
      <c r="J439" s="9" t="str">
        <f t="shared" si="135"/>
        <v>Valid</v>
      </c>
      <c r="K439" t="s">
        <v>2157</v>
      </c>
      <c r="L439" t="s">
        <v>106</v>
      </c>
      <c r="M439" t="s">
        <v>106</v>
      </c>
      <c r="N439" t="s">
        <v>40</v>
      </c>
      <c r="O439" s="3" t="str">
        <f t="shared" si="136"/>
        <v>Small Business</v>
      </c>
      <c r="P439" t="s">
        <v>61</v>
      </c>
      <c r="Q439" s="3" t="str">
        <f t="shared" si="137"/>
        <v>South</v>
      </c>
      <c r="R439" t="s">
        <v>241</v>
      </c>
      <c r="S439" t="s">
        <v>242</v>
      </c>
      <c r="T439" t="s">
        <v>85</v>
      </c>
      <c r="U439" s="3" t="str">
        <f t="shared" si="138"/>
        <v>Technology</v>
      </c>
      <c r="V439" t="s">
        <v>86</v>
      </c>
      <c r="W439" t="s">
        <v>2158</v>
      </c>
      <c r="X439" t="s">
        <v>47</v>
      </c>
      <c r="Y439" s="3" t="str">
        <f t="shared" si="139"/>
        <v>Same Day</v>
      </c>
      <c r="Z439">
        <v>8</v>
      </c>
      <c r="AA439">
        <v>379.82</v>
      </c>
      <c r="AB439">
        <v>0.05</v>
      </c>
      <c r="AC439">
        <f t="shared" si="140"/>
        <v>0.05</v>
      </c>
      <c r="AD439" t="str">
        <f t="shared" si="143"/>
        <v>Valid</v>
      </c>
      <c r="AE439">
        <v>2886.63</v>
      </c>
      <c r="AF439">
        <v>1588.23</v>
      </c>
      <c r="AG439">
        <v>1298.4000000000001</v>
      </c>
      <c r="AH439" t="s">
        <v>199</v>
      </c>
      <c r="AI439" t="str">
        <f t="shared" si="144"/>
        <v>Exclude</v>
      </c>
      <c r="AJ439" t="str">
        <f t="shared" si="145"/>
        <v/>
      </c>
      <c r="AK439" t="s">
        <v>124</v>
      </c>
      <c r="AL439" t="str">
        <f t="shared" si="141"/>
        <v>Returned</v>
      </c>
      <c r="AM439" t="str">
        <f t="shared" si="146"/>
        <v>Include</v>
      </c>
      <c r="AN439">
        <f t="shared" si="147"/>
        <v>2886.6319999999996</v>
      </c>
      <c r="AO439">
        <f t="shared" si="148"/>
        <v>1298.4019999999996</v>
      </c>
      <c r="AP439">
        <f>IF(AN439=0,0,AO439/AN439)</f>
        <v>0.44979824238073984</v>
      </c>
      <c r="AQ439" t="str">
        <f t="shared" si="149"/>
        <v>February</v>
      </c>
      <c r="AR439">
        <f t="shared" si="150"/>
        <v>2024</v>
      </c>
      <c r="AS439" t="str">
        <f t="shared" si="151"/>
        <v>Clean</v>
      </c>
      <c r="AT439" t="str">
        <f>IF(OR(AC439&lt;0,AC439&gt;0.5),"Invalid Discount","Valid")</f>
        <v>Valid</v>
      </c>
      <c r="AU439" t="str">
        <f>IF(G439&lt;E439,"Invalid Shipping Record","Valid")</f>
        <v>Valid</v>
      </c>
      <c r="AV439" t="str">
        <f>IF(OR(AL439="Cancelled",AH439="Failed"),"Exclude","Include")</f>
        <v>Exclude</v>
      </c>
      <c r="AW439" t="str">
        <f t="shared" si="152"/>
        <v>Match</v>
      </c>
      <c r="AX439" t="str">
        <f t="shared" si="153"/>
        <v>Match</v>
      </c>
    </row>
    <row r="440" spans="1:50">
      <c r="A440" t="s">
        <v>2159</v>
      </c>
      <c r="B440">
        <f t="shared" si="154"/>
        <v>1</v>
      </c>
      <c r="C440" t="str">
        <f t="shared" si="142"/>
        <v/>
      </c>
      <c r="D440" s="3" t="s">
        <v>1022</v>
      </c>
      <c r="E440" s="7">
        <v>45784</v>
      </c>
      <c r="F440" s="3" t="s">
        <v>2160</v>
      </c>
      <c r="G440" s="7">
        <v>45782</v>
      </c>
      <c r="H440" s="7" t="str">
        <f t="shared" si="133"/>
        <v>Invalid Shipping Record</v>
      </c>
      <c r="I440" s="9">
        <f t="shared" si="134"/>
        <v>-2</v>
      </c>
      <c r="J440" s="9" t="str">
        <f t="shared" si="135"/>
        <v>Invalid Shipping Record</v>
      </c>
      <c r="K440" t="s">
        <v>2161</v>
      </c>
      <c r="L440" t="s">
        <v>92</v>
      </c>
      <c r="M440" t="s">
        <v>92</v>
      </c>
      <c r="N440" t="s">
        <v>107</v>
      </c>
      <c r="O440" s="3" t="str">
        <f t="shared" si="136"/>
        <v>Corporate</v>
      </c>
      <c r="P440" t="s">
        <v>41</v>
      </c>
      <c r="Q440" s="3" t="str">
        <f t="shared" si="137"/>
        <v>East</v>
      </c>
      <c r="R440" t="s">
        <v>310</v>
      </c>
      <c r="S440" t="s">
        <v>311</v>
      </c>
      <c r="T440" t="s">
        <v>85</v>
      </c>
      <c r="U440" s="3" t="str">
        <f t="shared" si="138"/>
        <v>Technology</v>
      </c>
      <c r="V440" t="s">
        <v>222</v>
      </c>
      <c r="W440" t="s">
        <v>2162</v>
      </c>
      <c r="X440" t="s">
        <v>66</v>
      </c>
      <c r="Y440" s="3" t="str">
        <f t="shared" si="139"/>
        <v>Standard Class</v>
      </c>
      <c r="Z440">
        <v>1</v>
      </c>
      <c r="AA440">
        <v>2266.4699999999998</v>
      </c>
      <c r="AB440">
        <v>0.2</v>
      </c>
      <c r="AC440">
        <f t="shared" si="140"/>
        <v>0.2</v>
      </c>
      <c r="AD440" t="str">
        <f t="shared" si="143"/>
        <v>Valid</v>
      </c>
      <c r="AE440">
        <v>1813.18</v>
      </c>
      <c r="AF440">
        <v>1363.64</v>
      </c>
      <c r="AG440">
        <v>449.54</v>
      </c>
      <c r="AH440" t="s">
        <v>33</v>
      </c>
      <c r="AI440" t="str">
        <f t="shared" si="144"/>
        <v>Include</v>
      </c>
      <c r="AJ440" t="str">
        <f t="shared" si="145"/>
        <v/>
      </c>
      <c r="AK440" t="s">
        <v>34</v>
      </c>
      <c r="AL440" t="str">
        <f t="shared" si="141"/>
        <v>Completed</v>
      </c>
      <c r="AM440" t="str">
        <f t="shared" si="146"/>
        <v>Include</v>
      </c>
      <c r="AN440">
        <f t="shared" si="147"/>
        <v>1813.1759999999999</v>
      </c>
      <c r="AO440">
        <f t="shared" si="148"/>
        <v>449.53599999999983</v>
      </c>
      <c r="AP440">
        <f>IF(AN440=0,0,AO440/AN440)</f>
        <v>0.24792739370033567</v>
      </c>
      <c r="AQ440" t="str">
        <f t="shared" si="149"/>
        <v>May</v>
      </c>
      <c r="AR440">
        <f t="shared" si="150"/>
        <v>2025</v>
      </c>
      <c r="AS440" t="str">
        <f t="shared" si="151"/>
        <v>Invalid</v>
      </c>
      <c r="AT440" t="str">
        <f>IF(OR(AC440&lt;0,AC440&gt;0.5),"Invalid Discount","Valid")</f>
        <v>Valid</v>
      </c>
      <c r="AU440" t="str">
        <f>IF(G440&lt;E440,"Invalid Shipping Record","Valid")</f>
        <v>Invalid Shipping Record</v>
      </c>
      <c r="AV440" t="str">
        <f>IF(OR(AL440="Cancelled",AH440="Failed"),"Exclude","Include")</f>
        <v>Include</v>
      </c>
      <c r="AW440" t="str">
        <f t="shared" si="152"/>
        <v>Match</v>
      </c>
      <c r="AX440" t="str">
        <f t="shared" si="153"/>
        <v>Match</v>
      </c>
    </row>
    <row r="441" spans="1:50">
      <c r="A441" t="s">
        <v>2163</v>
      </c>
      <c r="B441">
        <f t="shared" si="154"/>
        <v>1</v>
      </c>
      <c r="C441" t="str">
        <f t="shared" si="142"/>
        <v/>
      </c>
      <c r="D441" s="3" t="s">
        <v>2164</v>
      </c>
      <c r="E441" s="7">
        <v>45838</v>
      </c>
      <c r="F441" s="3" t="s">
        <v>2165</v>
      </c>
      <c r="G441" s="7">
        <v>45841</v>
      </c>
      <c r="H441" s="7" t="str">
        <f t="shared" si="133"/>
        <v>Valid</v>
      </c>
      <c r="I441" s="9">
        <f t="shared" si="134"/>
        <v>3</v>
      </c>
      <c r="J441" s="9" t="str">
        <f t="shared" si="135"/>
        <v>Valid</v>
      </c>
      <c r="K441" t="s">
        <v>2166</v>
      </c>
      <c r="L441" t="s">
        <v>161</v>
      </c>
      <c r="M441" t="s">
        <v>161</v>
      </c>
      <c r="N441" t="s">
        <v>114</v>
      </c>
      <c r="O441" s="3" t="str">
        <f t="shared" si="136"/>
        <v>Home Office</v>
      </c>
      <c r="P441" t="s">
        <v>72</v>
      </c>
      <c r="Q441" s="3" t="str">
        <f t="shared" si="137"/>
        <v>West</v>
      </c>
      <c r="R441" t="s">
        <v>248</v>
      </c>
      <c r="S441" t="s">
        <v>249</v>
      </c>
      <c r="T441" t="s">
        <v>29</v>
      </c>
      <c r="U441" s="3" t="str">
        <f t="shared" si="138"/>
        <v>Office Supplies</v>
      </c>
      <c r="V441" t="s">
        <v>155</v>
      </c>
      <c r="W441" t="s">
        <v>2167</v>
      </c>
      <c r="X441" t="s">
        <v>47</v>
      </c>
      <c r="Y441" s="3" t="str">
        <f t="shared" si="139"/>
        <v>Same Day</v>
      </c>
      <c r="Z441">
        <v>5</v>
      </c>
      <c r="AA441">
        <v>665.25</v>
      </c>
      <c r="AB441">
        <v>0</v>
      </c>
      <c r="AC441">
        <f t="shared" si="140"/>
        <v>0</v>
      </c>
      <c r="AD441" t="str">
        <f t="shared" si="143"/>
        <v>Valid</v>
      </c>
      <c r="AE441">
        <v>3326.25</v>
      </c>
      <c r="AF441">
        <v>2689.36</v>
      </c>
      <c r="AG441">
        <v>636.89</v>
      </c>
      <c r="AH441" t="s">
        <v>123</v>
      </c>
      <c r="AI441" t="str">
        <f t="shared" si="144"/>
        <v>Include</v>
      </c>
      <c r="AJ441" t="str">
        <f t="shared" si="145"/>
        <v>Refunded Order</v>
      </c>
      <c r="AK441" t="s">
        <v>124</v>
      </c>
      <c r="AL441" t="str">
        <f t="shared" si="141"/>
        <v>Returned</v>
      </c>
      <c r="AM441" t="str">
        <f t="shared" si="146"/>
        <v>Include</v>
      </c>
      <c r="AN441">
        <f t="shared" si="147"/>
        <v>3326.25</v>
      </c>
      <c r="AO441">
        <f t="shared" si="148"/>
        <v>636.88999999999987</v>
      </c>
      <c r="AP441">
        <f>IF(AN441=0,0,AO441/AN441)</f>
        <v>0.19147388199924836</v>
      </c>
      <c r="AQ441" t="str">
        <f t="shared" si="149"/>
        <v>June</v>
      </c>
      <c r="AR441">
        <f t="shared" si="150"/>
        <v>2025</v>
      </c>
      <c r="AS441" t="str">
        <f t="shared" si="151"/>
        <v>Clean</v>
      </c>
      <c r="AT441" t="str">
        <f>IF(OR(AC441&lt;0,AC441&gt;0.5),"Invalid Discount","Valid")</f>
        <v>Valid</v>
      </c>
      <c r="AU441" t="str">
        <f>IF(G441&lt;E441,"Invalid Shipping Record","Valid")</f>
        <v>Valid</v>
      </c>
      <c r="AV441" t="str">
        <f>IF(OR(AL441="Cancelled",AH441="Failed"),"Exclude","Include")</f>
        <v>Include</v>
      </c>
      <c r="AW441" t="str">
        <f t="shared" si="152"/>
        <v>Match</v>
      </c>
      <c r="AX441" t="str">
        <f t="shared" si="153"/>
        <v>Match</v>
      </c>
    </row>
    <row r="442" spans="1:50">
      <c r="A442" t="s">
        <v>2168</v>
      </c>
      <c r="B442">
        <f t="shared" si="154"/>
        <v>1</v>
      </c>
      <c r="C442" t="str">
        <f t="shared" si="142"/>
        <v/>
      </c>
      <c r="D442" s="3" t="s">
        <v>2169</v>
      </c>
      <c r="E442" s="7">
        <v>45384</v>
      </c>
      <c r="F442" s="3" t="s">
        <v>2170</v>
      </c>
      <c r="G442" s="7">
        <v>45390</v>
      </c>
      <c r="H442" s="7" t="str">
        <f t="shared" si="133"/>
        <v>Valid</v>
      </c>
      <c r="I442" s="9">
        <f t="shared" si="134"/>
        <v>6</v>
      </c>
      <c r="J442" s="9" t="str">
        <f t="shared" si="135"/>
        <v>Valid</v>
      </c>
      <c r="K442" t="s">
        <v>375</v>
      </c>
      <c r="L442" t="s">
        <v>82</v>
      </c>
      <c r="M442" t="s">
        <v>82</v>
      </c>
      <c r="N442" t="s">
        <v>107</v>
      </c>
      <c r="O442" s="3" t="str">
        <f t="shared" si="136"/>
        <v>Corporate</v>
      </c>
      <c r="P442" t="s">
        <v>41</v>
      </c>
      <c r="Q442" s="3" t="str">
        <f t="shared" si="137"/>
        <v>East</v>
      </c>
      <c r="R442" t="s">
        <v>42</v>
      </c>
      <c r="S442" t="s">
        <v>43</v>
      </c>
      <c r="T442" t="s">
        <v>85</v>
      </c>
      <c r="U442" s="3" t="str">
        <f t="shared" si="138"/>
        <v>Technology</v>
      </c>
      <c r="V442" t="s">
        <v>381</v>
      </c>
      <c r="W442" t="s">
        <v>2171</v>
      </c>
      <c r="X442" t="s">
        <v>32</v>
      </c>
      <c r="Y442" s="3" t="str">
        <f t="shared" si="139"/>
        <v>Second Class</v>
      </c>
      <c r="Z442">
        <v>6</v>
      </c>
      <c r="AA442">
        <v>3722.84</v>
      </c>
      <c r="AB442">
        <v>0.2</v>
      </c>
      <c r="AC442">
        <f t="shared" si="140"/>
        <v>0.2</v>
      </c>
      <c r="AD442" t="str">
        <f t="shared" si="143"/>
        <v>Valid</v>
      </c>
      <c r="AE442">
        <v>17869.63</v>
      </c>
      <c r="AF442">
        <v>12163.8</v>
      </c>
      <c r="AG442">
        <v>5705.83</v>
      </c>
      <c r="AH442" t="s">
        <v>33</v>
      </c>
      <c r="AI442" t="str">
        <f t="shared" si="144"/>
        <v>Include</v>
      </c>
      <c r="AJ442" t="str">
        <f t="shared" si="145"/>
        <v/>
      </c>
      <c r="AK442" t="s">
        <v>34</v>
      </c>
      <c r="AL442" t="str">
        <f t="shared" si="141"/>
        <v>Completed</v>
      </c>
      <c r="AM442" t="str">
        <f t="shared" si="146"/>
        <v>Include</v>
      </c>
      <c r="AN442">
        <f t="shared" si="147"/>
        <v>17869.632000000001</v>
      </c>
      <c r="AO442">
        <f t="shared" si="148"/>
        <v>5705.8320000000022</v>
      </c>
      <c r="AP442">
        <f>IF(AN442=0,0,AO442/AN442)</f>
        <v>0.31930327384469931</v>
      </c>
      <c r="AQ442" t="str">
        <f t="shared" si="149"/>
        <v>April</v>
      </c>
      <c r="AR442">
        <f t="shared" si="150"/>
        <v>2024</v>
      </c>
      <c r="AS442" t="str">
        <f t="shared" si="151"/>
        <v>Clean</v>
      </c>
      <c r="AT442" t="str">
        <f>IF(OR(AC442&lt;0,AC442&gt;0.5),"Invalid Discount","Valid")</f>
        <v>Valid</v>
      </c>
      <c r="AU442" t="str">
        <f>IF(G442&lt;E442,"Invalid Shipping Record","Valid")</f>
        <v>Valid</v>
      </c>
      <c r="AV442" t="str">
        <f>IF(OR(AL442="Cancelled",AH442="Failed"),"Exclude","Include")</f>
        <v>Include</v>
      </c>
      <c r="AW442" t="str">
        <f t="shared" si="152"/>
        <v>Match</v>
      </c>
      <c r="AX442" t="str">
        <f t="shared" si="153"/>
        <v>Match</v>
      </c>
    </row>
    <row r="443" spans="1:50">
      <c r="A443" t="s">
        <v>2172</v>
      </c>
      <c r="B443">
        <f t="shared" si="154"/>
        <v>1</v>
      </c>
      <c r="C443" t="str">
        <f t="shared" si="142"/>
        <v/>
      </c>
      <c r="D443" s="3" t="s">
        <v>2173</v>
      </c>
      <c r="E443" s="7">
        <v>45568</v>
      </c>
      <c r="F443" s="3" t="s">
        <v>524</v>
      </c>
      <c r="G443" s="7">
        <v>45568</v>
      </c>
      <c r="H443" s="7" t="str">
        <f t="shared" si="133"/>
        <v>Valid</v>
      </c>
      <c r="I443" s="9">
        <f t="shared" si="134"/>
        <v>0</v>
      </c>
      <c r="J443" s="9" t="str">
        <f t="shared" si="135"/>
        <v>Valid</v>
      </c>
      <c r="K443" t="s">
        <v>2174</v>
      </c>
      <c r="L443" t="s">
        <v>24</v>
      </c>
      <c r="M443" t="s">
        <v>24</v>
      </c>
      <c r="N443" t="s">
        <v>25</v>
      </c>
      <c r="O443" s="3" t="str">
        <f t="shared" si="136"/>
        <v>Consumer</v>
      </c>
      <c r="P443" t="s">
        <v>41</v>
      </c>
      <c r="Q443" s="3" t="str">
        <f t="shared" si="137"/>
        <v>East</v>
      </c>
      <c r="R443" t="s">
        <v>185</v>
      </c>
      <c r="S443" t="s">
        <v>186</v>
      </c>
      <c r="T443" t="s">
        <v>44</v>
      </c>
      <c r="U443" s="3" t="str">
        <f t="shared" si="138"/>
        <v>Furniture</v>
      </c>
      <c r="V443" t="s">
        <v>203</v>
      </c>
      <c r="W443" t="s">
        <v>2175</v>
      </c>
      <c r="X443" t="s">
        <v>66</v>
      </c>
      <c r="Y443" s="3" t="str">
        <f t="shared" si="139"/>
        <v>Standard Class</v>
      </c>
      <c r="Z443">
        <v>6</v>
      </c>
      <c r="AA443">
        <v>4217.49</v>
      </c>
      <c r="AB443">
        <v>0</v>
      </c>
      <c r="AC443">
        <f t="shared" si="140"/>
        <v>0</v>
      </c>
      <c r="AD443" t="str">
        <f t="shared" si="143"/>
        <v>Valid</v>
      </c>
      <c r="AE443">
        <v>25304.94</v>
      </c>
      <c r="AF443">
        <v>20771.95</v>
      </c>
      <c r="AG443">
        <v>4532.99</v>
      </c>
      <c r="AH443" t="s">
        <v>33</v>
      </c>
      <c r="AI443" t="str">
        <f t="shared" si="144"/>
        <v>Exclude</v>
      </c>
      <c r="AJ443" t="str">
        <f t="shared" si="145"/>
        <v/>
      </c>
      <c r="AK443" t="s">
        <v>77</v>
      </c>
      <c r="AL443" t="str">
        <f t="shared" si="141"/>
        <v>Cancelled</v>
      </c>
      <c r="AM443" t="str">
        <f t="shared" si="146"/>
        <v>Exclude</v>
      </c>
      <c r="AN443">
        <f t="shared" si="147"/>
        <v>25304.94</v>
      </c>
      <c r="AO443">
        <f t="shared" si="148"/>
        <v>4532.989999999998</v>
      </c>
      <c r="AP443">
        <f>IF(AN443=0,0,AO443/AN443)</f>
        <v>0.17913458795002077</v>
      </c>
      <c r="AQ443" t="str">
        <f t="shared" si="149"/>
        <v>October</v>
      </c>
      <c r="AR443">
        <f t="shared" si="150"/>
        <v>2024</v>
      </c>
      <c r="AS443" t="str">
        <f t="shared" si="151"/>
        <v>Clean</v>
      </c>
      <c r="AT443" t="str">
        <f>IF(OR(AC443&lt;0,AC443&gt;0.5),"Invalid Discount","Valid")</f>
        <v>Valid</v>
      </c>
      <c r="AU443" t="str">
        <f>IF(G443&lt;E443,"Invalid Shipping Record","Valid")</f>
        <v>Valid</v>
      </c>
      <c r="AV443" t="str">
        <f>IF(OR(AL443="Cancelled",AH443="Failed"),"Exclude","Include")</f>
        <v>Exclude</v>
      </c>
      <c r="AW443" t="str">
        <f t="shared" si="152"/>
        <v>Match</v>
      </c>
      <c r="AX443" t="str">
        <f t="shared" si="153"/>
        <v>Match</v>
      </c>
    </row>
    <row r="444" spans="1:50">
      <c r="A444" t="s">
        <v>2176</v>
      </c>
      <c r="B444">
        <f t="shared" si="154"/>
        <v>1</v>
      </c>
      <c r="C444" t="str">
        <f t="shared" si="142"/>
        <v/>
      </c>
      <c r="D444" s="3" t="s">
        <v>2177</v>
      </c>
      <c r="E444" s="7">
        <v>45669</v>
      </c>
      <c r="F444" s="3" t="s">
        <v>2178</v>
      </c>
      <c r="G444" s="7">
        <v>45676</v>
      </c>
      <c r="H444" s="7" t="str">
        <f t="shared" si="133"/>
        <v>Valid</v>
      </c>
      <c r="I444" s="9">
        <f t="shared" si="134"/>
        <v>7</v>
      </c>
      <c r="J444" s="9" t="str">
        <f t="shared" si="135"/>
        <v>Valid</v>
      </c>
      <c r="K444" t="s">
        <v>2179</v>
      </c>
      <c r="L444" t="s">
        <v>161</v>
      </c>
      <c r="M444" t="s">
        <v>161</v>
      </c>
      <c r="N444" t="s">
        <v>25</v>
      </c>
      <c r="O444" s="3" t="str">
        <f t="shared" si="136"/>
        <v>Consumer</v>
      </c>
      <c r="P444" t="s">
        <v>41</v>
      </c>
      <c r="Q444" s="3" t="str">
        <f t="shared" si="137"/>
        <v>East</v>
      </c>
      <c r="R444" t="s">
        <v>310</v>
      </c>
      <c r="S444" t="s">
        <v>311</v>
      </c>
      <c r="T444" t="s">
        <v>44</v>
      </c>
      <c r="U444" s="3" t="str">
        <f t="shared" si="138"/>
        <v>Furniture</v>
      </c>
      <c r="V444" t="s">
        <v>45</v>
      </c>
      <c r="W444" t="s">
        <v>2180</v>
      </c>
      <c r="X444" t="s">
        <v>55</v>
      </c>
      <c r="Y444" s="3" t="str">
        <f t="shared" si="139"/>
        <v>First Class</v>
      </c>
      <c r="Z444">
        <v>1</v>
      </c>
      <c r="AA444">
        <v>1842.31</v>
      </c>
      <c r="AB444">
        <v>0</v>
      </c>
      <c r="AC444">
        <f t="shared" si="140"/>
        <v>0</v>
      </c>
      <c r="AD444" t="str">
        <f t="shared" si="143"/>
        <v>Valid</v>
      </c>
      <c r="AE444">
        <v>1842.31</v>
      </c>
      <c r="AF444">
        <v>1019.17</v>
      </c>
      <c r="AG444">
        <v>823.14</v>
      </c>
      <c r="AH444" t="s">
        <v>33</v>
      </c>
      <c r="AI444" t="str">
        <f t="shared" si="144"/>
        <v>Include</v>
      </c>
      <c r="AJ444" t="str">
        <f t="shared" si="145"/>
        <v/>
      </c>
      <c r="AK444" t="s">
        <v>34</v>
      </c>
      <c r="AL444" t="str">
        <f t="shared" si="141"/>
        <v>Completed</v>
      </c>
      <c r="AM444" t="str">
        <f t="shared" si="146"/>
        <v>Include</v>
      </c>
      <c r="AN444">
        <f t="shared" si="147"/>
        <v>1842.31</v>
      </c>
      <c r="AO444">
        <f t="shared" si="148"/>
        <v>823.14</v>
      </c>
      <c r="AP444">
        <f>IF(AN444=0,0,AO444/AN444)</f>
        <v>0.44679777019068451</v>
      </c>
      <c r="AQ444" t="str">
        <f t="shared" si="149"/>
        <v>January</v>
      </c>
      <c r="AR444">
        <f t="shared" si="150"/>
        <v>2025</v>
      </c>
      <c r="AS444" t="str">
        <f t="shared" si="151"/>
        <v>Clean</v>
      </c>
      <c r="AT444" t="str">
        <f>IF(OR(AC444&lt;0,AC444&gt;0.5),"Invalid Discount","Valid")</f>
        <v>Valid</v>
      </c>
      <c r="AU444" t="str">
        <f>IF(G444&lt;E444,"Invalid Shipping Record","Valid")</f>
        <v>Valid</v>
      </c>
      <c r="AV444" t="str">
        <f>IF(OR(AL444="Cancelled",AH444="Failed"),"Exclude","Include")</f>
        <v>Include</v>
      </c>
      <c r="AW444" t="str">
        <f t="shared" si="152"/>
        <v>Match</v>
      </c>
      <c r="AX444" t="str">
        <f t="shared" si="153"/>
        <v>Match</v>
      </c>
    </row>
    <row r="445" spans="1:50">
      <c r="A445" t="s">
        <v>2181</v>
      </c>
      <c r="B445">
        <f t="shared" si="154"/>
        <v>1</v>
      </c>
      <c r="C445" t="str">
        <f t="shared" si="142"/>
        <v/>
      </c>
      <c r="D445" s="3" t="s">
        <v>2182</v>
      </c>
      <c r="E445" s="7">
        <v>45386</v>
      </c>
      <c r="F445" s="3" t="s">
        <v>1893</v>
      </c>
      <c r="G445" s="7">
        <v>45389</v>
      </c>
      <c r="H445" s="7" t="str">
        <f t="shared" si="133"/>
        <v>Valid</v>
      </c>
      <c r="I445" s="9">
        <f t="shared" si="134"/>
        <v>3</v>
      </c>
      <c r="J445" s="9" t="str">
        <f t="shared" si="135"/>
        <v>Valid</v>
      </c>
      <c r="K445" t="s">
        <v>2183</v>
      </c>
      <c r="L445" t="s">
        <v>179</v>
      </c>
      <c r="M445" t="s">
        <v>179</v>
      </c>
      <c r="N445" t="s">
        <v>114</v>
      </c>
      <c r="O445" s="3" t="str">
        <f t="shared" si="136"/>
        <v>Home Office</v>
      </c>
      <c r="P445" t="s">
        <v>41</v>
      </c>
      <c r="Q445" s="3" t="str">
        <f t="shared" si="137"/>
        <v>East</v>
      </c>
      <c r="R445" t="s">
        <v>42</v>
      </c>
      <c r="S445" t="s">
        <v>43</v>
      </c>
      <c r="T445" t="s">
        <v>44</v>
      </c>
      <c r="U445" s="3" t="str">
        <f t="shared" si="138"/>
        <v>Furniture</v>
      </c>
      <c r="V445" t="s">
        <v>64</v>
      </c>
      <c r="W445" t="s">
        <v>2184</v>
      </c>
      <c r="X445" t="s">
        <v>55</v>
      </c>
      <c r="Y445" s="3" t="str">
        <f t="shared" si="139"/>
        <v>First Class</v>
      </c>
      <c r="Z445">
        <v>1</v>
      </c>
      <c r="AA445">
        <v>3683.75</v>
      </c>
      <c r="AB445">
        <v>0.1</v>
      </c>
      <c r="AC445">
        <f t="shared" si="140"/>
        <v>0.1</v>
      </c>
      <c r="AD445" t="str">
        <f t="shared" si="143"/>
        <v>Valid</v>
      </c>
      <c r="AE445">
        <v>3315.38</v>
      </c>
      <c r="AF445">
        <v>2347.6799999999998</v>
      </c>
      <c r="AG445">
        <v>967.7</v>
      </c>
      <c r="AH445" t="s">
        <v>33</v>
      </c>
      <c r="AI445" t="str">
        <f t="shared" si="144"/>
        <v>Include</v>
      </c>
      <c r="AJ445" t="str">
        <f t="shared" si="145"/>
        <v/>
      </c>
      <c r="AK445" t="s">
        <v>34</v>
      </c>
      <c r="AL445" t="str">
        <f t="shared" si="141"/>
        <v>Completed</v>
      </c>
      <c r="AM445" t="str">
        <f t="shared" si="146"/>
        <v>Include</v>
      </c>
      <c r="AN445">
        <f t="shared" si="147"/>
        <v>3315.375</v>
      </c>
      <c r="AO445">
        <f t="shared" si="148"/>
        <v>967.69500000000016</v>
      </c>
      <c r="AP445">
        <f>IF(AN445=0,0,AO445/AN445)</f>
        <v>0.29188100893564084</v>
      </c>
      <c r="AQ445" t="str">
        <f t="shared" si="149"/>
        <v>April</v>
      </c>
      <c r="AR445">
        <f t="shared" si="150"/>
        <v>2024</v>
      </c>
      <c r="AS445" t="str">
        <f t="shared" si="151"/>
        <v>Clean</v>
      </c>
      <c r="AT445" t="str">
        <f>IF(OR(AC445&lt;0,AC445&gt;0.5),"Invalid Discount","Valid")</f>
        <v>Valid</v>
      </c>
      <c r="AU445" t="str">
        <f>IF(G445&lt;E445,"Invalid Shipping Record","Valid")</f>
        <v>Valid</v>
      </c>
      <c r="AV445" t="str">
        <f>IF(OR(AL445="Cancelled",AH445="Failed"),"Exclude","Include")</f>
        <v>Include</v>
      </c>
      <c r="AW445" t="str">
        <f t="shared" si="152"/>
        <v>Match</v>
      </c>
      <c r="AX445" t="str">
        <f t="shared" si="153"/>
        <v>Match</v>
      </c>
    </row>
    <row r="446" spans="1:50">
      <c r="A446" t="s">
        <v>2185</v>
      </c>
      <c r="B446">
        <f t="shared" si="154"/>
        <v>1</v>
      </c>
      <c r="C446" t="str">
        <f t="shared" si="142"/>
        <v/>
      </c>
      <c r="D446" s="3" t="s">
        <v>2186</v>
      </c>
      <c r="E446" s="7">
        <v>45881</v>
      </c>
      <c r="F446" s="3" t="s">
        <v>1858</v>
      </c>
      <c r="G446" s="7">
        <v>45885</v>
      </c>
      <c r="H446" s="7" t="str">
        <f t="shared" si="133"/>
        <v>Valid</v>
      </c>
      <c r="I446" s="9">
        <f t="shared" si="134"/>
        <v>4</v>
      </c>
      <c r="J446" s="9" t="str">
        <f t="shared" si="135"/>
        <v>Valid</v>
      </c>
      <c r="K446" t="s">
        <v>2187</v>
      </c>
      <c r="L446" t="s">
        <v>71</v>
      </c>
      <c r="M446" t="s">
        <v>71</v>
      </c>
      <c r="N446" t="s">
        <v>25</v>
      </c>
      <c r="O446" s="3" t="str">
        <f t="shared" si="136"/>
        <v>Consumer</v>
      </c>
      <c r="P446" t="s">
        <v>41</v>
      </c>
      <c r="Q446" s="3" t="str">
        <f t="shared" si="137"/>
        <v>East</v>
      </c>
      <c r="R446" t="s">
        <v>215</v>
      </c>
      <c r="S446" t="s">
        <v>216</v>
      </c>
      <c r="T446" t="s">
        <v>85</v>
      </c>
      <c r="U446" s="3" t="str">
        <f t="shared" si="138"/>
        <v>Technology</v>
      </c>
      <c r="V446" t="s">
        <v>86</v>
      </c>
      <c r="W446" t="s">
        <v>2188</v>
      </c>
      <c r="X446" t="s">
        <v>47</v>
      </c>
      <c r="Y446" s="3" t="str">
        <f t="shared" si="139"/>
        <v>Same Day</v>
      </c>
      <c r="Z446">
        <v>9</v>
      </c>
      <c r="AA446">
        <v>2379.2399999999998</v>
      </c>
      <c r="AB446">
        <v>0.05</v>
      </c>
      <c r="AC446">
        <f t="shared" si="140"/>
        <v>0.05</v>
      </c>
      <c r="AD446" t="str">
        <f t="shared" si="143"/>
        <v>Valid</v>
      </c>
      <c r="AE446">
        <v>20342.5</v>
      </c>
      <c r="AF446">
        <v>12407.51</v>
      </c>
      <c r="AG446">
        <v>7934.99</v>
      </c>
      <c r="AH446" t="s">
        <v>33</v>
      </c>
      <c r="AI446" t="str">
        <f t="shared" si="144"/>
        <v>Include</v>
      </c>
      <c r="AJ446" t="str">
        <f t="shared" si="145"/>
        <v/>
      </c>
      <c r="AK446" t="s">
        <v>34</v>
      </c>
      <c r="AL446" t="str">
        <f t="shared" si="141"/>
        <v>Completed</v>
      </c>
      <c r="AM446" t="str">
        <f t="shared" si="146"/>
        <v>Include</v>
      </c>
      <c r="AN446">
        <f t="shared" si="147"/>
        <v>20342.501999999997</v>
      </c>
      <c r="AO446">
        <f t="shared" si="148"/>
        <v>7934.9919999999966</v>
      </c>
      <c r="AP446">
        <f>IF(AN446=0,0,AO446/AN446)</f>
        <v>0.39006961877157481</v>
      </c>
      <c r="AQ446" t="str">
        <f t="shared" si="149"/>
        <v>August</v>
      </c>
      <c r="AR446">
        <f t="shared" si="150"/>
        <v>2025</v>
      </c>
      <c r="AS446" t="str">
        <f t="shared" si="151"/>
        <v>Clean</v>
      </c>
      <c r="AT446" t="str">
        <f>IF(OR(AC446&lt;0,AC446&gt;0.5),"Invalid Discount","Valid")</f>
        <v>Valid</v>
      </c>
      <c r="AU446" t="str">
        <f>IF(G446&lt;E446,"Invalid Shipping Record","Valid")</f>
        <v>Valid</v>
      </c>
      <c r="AV446" t="str">
        <f>IF(OR(AL446="Cancelled",AH446="Failed"),"Exclude","Include")</f>
        <v>Include</v>
      </c>
      <c r="AW446" t="str">
        <f t="shared" si="152"/>
        <v>Match</v>
      </c>
      <c r="AX446" t="str">
        <f t="shared" si="153"/>
        <v>Match</v>
      </c>
    </row>
    <row r="447" spans="1:50">
      <c r="A447" t="s">
        <v>2189</v>
      </c>
      <c r="B447">
        <f t="shared" si="154"/>
        <v>1</v>
      </c>
      <c r="C447" t="str">
        <f t="shared" si="142"/>
        <v/>
      </c>
      <c r="D447" s="3" t="s">
        <v>2190</v>
      </c>
      <c r="E447" s="7">
        <v>45421</v>
      </c>
      <c r="F447" s="3" t="s">
        <v>2191</v>
      </c>
      <c r="G447" s="7">
        <v>45417</v>
      </c>
      <c r="H447" s="7" t="str">
        <f t="shared" si="133"/>
        <v>Invalid Shipping Record</v>
      </c>
      <c r="I447" s="9">
        <f t="shared" si="134"/>
        <v>-4</v>
      </c>
      <c r="J447" s="9" t="str">
        <f t="shared" si="135"/>
        <v>Invalid Shipping Record</v>
      </c>
      <c r="K447" t="s">
        <v>2192</v>
      </c>
      <c r="L447" t="s">
        <v>60</v>
      </c>
      <c r="M447" t="s">
        <v>60</v>
      </c>
      <c r="N447" t="s">
        <v>25</v>
      </c>
      <c r="O447" s="3" t="str">
        <f t="shared" si="136"/>
        <v>Consumer</v>
      </c>
      <c r="P447" t="s">
        <v>41</v>
      </c>
      <c r="Q447" s="3" t="str">
        <f t="shared" si="137"/>
        <v>East</v>
      </c>
      <c r="R447" t="s">
        <v>215</v>
      </c>
      <c r="S447" t="s">
        <v>216</v>
      </c>
      <c r="T447" t="s">
        <v>44</v>
      </c>
      <c r="U447" s="3" t="str">
        <f t="shared" si="138"/>
        <v>Furniture</v>
      </c>
      <c r="V447" t="s">
        <v>203</v>
      </c>
      <c r="W447" t="s">
        <v>2193</v>
      </c>
      <c r="X447" t="s">
        <v>47</v>
      </c>
      <c r="Y447" s="3" t="str">
        <f t="shared" si="139"/>
        <v>Same Day</v>
      </c>
      <c r="Z447">
        <v>2</v>
      </c>
      <c r="AA447">
        <v>2111.23</v>
      </c>
      <c r="AB447">
        <v>0.2</v>
      </c>
      <c r="AC447">
        <f t="shared" si="140"/>
        <v>0.2</v>
      </c>
      <c r="AD447" t="str">
        <f t="shared" si="143"/>
        <v>Valid</v>
      </c>
      <c r="AE447">
        <v>3377.97</v>
      </c>
      <c r="AF447">
        <v>2496.29</v>
      </c>
      <c r="AG447">
        <v>881.68</v>
      </c>
      <c r="AH447" t="s">
        <v>33</v>
      </c>
      <c r="AI447" t="str">
        <f t="shared" si="144"/>
        <v>Include</v>
      </c>
      <c r="AJ447" t="str">
        <f t="shared" si="145"/>
        <v/>
      </c>
      <c r="AK447" t="s">
        <v>34</v>
      </c>
      <c r="AL447" t="str">
        <f t="shared" si="141"/>
        <v>Completed</v>
      </c>
      <c r="AM447" t="str">
        <f t="shared" si="146"/>
        <v>Include</v>
      </c>
      <c r="AN447">
        <f t="shared" si="147"/>
        <v>3377.9680000000003</v>
      </c>
      <c r="AO447">
        <f t="shared" si="148"/>
        <v>881.67800000000034</v>
      </c>
      <c r="AP447">
        <f>IF(AN447=0,0,AO447/AN447)</f>
        <v>0.26100839321154029</v>
      </c>
      <c r="AQ447" t="str">
        <f t="shared" si="149"/>
        <v>May</v>
      </c>
      <c r="AR447">
        <f t="shared" si="150"/>
        <v>2024</v>
      </c>
      <c r="AS447" t="str">
        <f t="shared" si="151"/>
        <v>Invalid</v>
      </c>
      <c r="AT447" t="str">
        <f>IF(OR(AC447&lt;0,AC447&gt;0.5),"Invalid Discount","Valid")</f>
        <v>Valid</v>
      </c>
      <c r="AU447" t="str">
        <f>IF(G447&lt;E447,"Invalid Shipping Record","Valid")</f>
        <v>Invalid Shipping Record</v>
      </c>
      <c r="AV447" t="str">
        <f>IF(OR(AL447="Cancelled",AH447="Failed"),"Exclude","Include")</f>
        <v>Include</v>
      </c>
      <c r="AW447" t="str">
        <f t="shared" si="152"/>
        <v>Match</v>
      </c>
      <c r="AX447" t="str">
        <f t="shared" si="153"/>
        <v>Match</v>
      </c>
    </row>
    <row r="448" spans="1:50">
      <c r="A448" t="s">
        <v>2194</v>
      </c>
      <c r="B448">
        <f t="shared" si="154"/>
        <v>1</v>
      </c>
      <c r="C448" t="str">
        <f t="shared" si="142"/>
        <v/>
      </c>
      <c r="D448" s="3" t="s">
        <v>2195</v>
      </c>
      <c r="E448" s="7">
        <v>45918</v>
      </c>
      <c r="F448" s="3" t="s">
        <v>2196</v>
      </c>
      <c r="G448" s="7">
        <v>45919</v>
      </c>
      <c r="H448" s="7" t="str">
        <f t="shared" si="133"/>
        <v>Valid</v>
      </c>
      <c r="I448" s="9">
        <f t="shared" si="134"/>
        <v>1</v>
      </c>
      <c r="J448" s="9" t="str">
        <f t="shared" si="135"/>
        <v>Valid</v>
      </c>
      <c r="K448" t="s">
        <v>2197</v>
      </c>
      <c r="L448" t="s">
        <v>167</v>
      </c>
      <c r="M448" t="s">
        <v>167</v>
      </c>
      <c r="N448" t="s">
        <v>114</v>
      </c>
      <c r="O448" s="3" t="str">
        <f t="shared" si="136"/>
        <v>Home Office</v>
      </c>
      <c r="P448" t="s">
        <v>61</v>
      </c>
      <c r="Q448" s="3" t="str">
        <f t="shared" si="137"/>
        <v>South</v>
      </c>
      <c r="R448" t="s">
        <v>99</v>
      </c>
      <c r="S448" t="s">
        <v>100</v>
      </c>
      <c r="T448" t="s">
        <v>29</v>
      </c>
      <c r="U448" s="3" t="str">
        <f t="shared" si="138"/>
        <v>Office Supplies</v>
      </c>
      <c r="V448" t="s">
        <v>155</v>
      </c>
      <c r="W448" t="s">
        <v>2198</v>
      </c>
      <c r="X448" t="s">
        <v>47</v>
      </c>
      <c r="Y448" s="3" t="str">
        <f t="shared" si="139"/>
        <v>Same Day</v>
      </c>
      <c r="Z448">
        <v>8</v>
      </c>
      <c r="AA448">
        <v>4242.51</v>
      </c>
      <c r="AB448">
        <v>0</v>
      </c>
      <c r="AC448">
        <f t="shared" si="140"/>
        <v>0</v>
      </c>
      <c r="AD448" t="str">
        <f t="shared" si="143"/>
        <v>Valid</v>
      </c>
      <c r="AE448">
        <v>33940.080000000002</v>
      </c>
      <c r="AF448">
        <v>23754.19</v>
      </c>
      <c r="AG448">
        <v>10185.89</v>
      </c>
      <c r="AH448" t="s">
        <v>33</v>
      </c>
      <c r="AI448" t="str">
        <f t="shared" si="144"/>
        <v>Include</v>
      </c>
      <c r="AJ448" t="str">
        <f t="shared" si="145"/>
        <v/>
      </c>
      <c r="AK448" t="s">
        <v>34</v>
      </c>
      <c r="AL448" t="str">
        <f t="shared" si="141"/>
        <v>Completed</v>
      </c>
      <c r="AM448" t="str">
        <f t="shared" si="146"/>
        <v>Include</v>
      </c>
      <c r="AN448">
        <f t="shared" si="147"/>
        <v>33940.080000000002</v>
      </c>
      <c r="AO448">
        <f t="shared" si="148"/>
        <v>10185.890000000003</v>
      </c>
      <c r="AP448">
        <f>IF(AN448=0,0,AO448/AN448)</f>
        <v>0.30011390662603044</v>
      </c>
      <c r="AQ448" t="str">
        <f t="shared" si="149"/>
        <v>September</v>
      </c>
      <c r="AR448">
        <f t="shared" si="150"/>
        <v>2025</v>
      </c>
      <c r="AS448" t="str">
        <f t="shared" si="151"/>
        <v>Clean</v>
      </c>
      <c r="AT448" t="str">
        <f>IF(OR(AC448&lt;0,AC448&gt;0.5),"Invalid Discount","Valid")</f>
        <v>Valid</v>
      </c>
      <c r="AU448" t="str">
        <f>IF(G448&lt;E448,"Invalid Shipping Record","Valid")</f>
        <v>Valid</v>
      </c>
      <c r="AV448" t="str">
        <f>IF(OR(AL448="Cancelled",AH448="Failed"),"Exclude","Include")</f>
        <v>Include</v>
      </c>
      <c r="AW448" t="str">
        <f t="shared" si="152"/>
        <v>Match</v>
      </c>
      <c r="AX448" t="str">
        <f t="shared" si="153"/>
        <v>Match</v>
      </c>
    </row>
    <row r="449" spans="1:50">
      <c r="A449" t="s">
        <v>2199</v>
      </c>
      <c r="B449">
        <f t="shared" si="154"/>
        <v>1</v>
      </c>
      <c r="C449" t="str">
        <f t="shared" si="142"/>
        <v/>
      </c>
      <c r="D449" s="3" t="s">
        <v>943</v>
      </c>
      <c r="E449" s="7">
        <v>45879</v>
      </c>
      <c r="F449" s="3" t="s">
        <v>2200</v>
      </c>
      <c r="G449" s="7">
        <v>45879</v>
      </c>
      <c r="H449" s="7" t="str">
        <f t="shared" si="133"/>
        <v>Valid</v>
      </c>
      <c r="I449" s="9">
        <f t="shared" si="134"/>
        <v>0</v>
      </c>
      <c r="J449" s="9" t="str">
        <f t="shared" si="135"/>
        <v>Valid</v>
      </c>
      <c r="K449" t="s">
        <v>2201</v>
      </c>
      <c r="L449" t="s">
        <v>179</v>
      </c>
      <c r="M449" t="s">
        <v>179</v>
      </c>
      <c r="N449" t="s">
        <v>114</v>
      </c>
      <c r="O449" s="3" t="str">
        <f t="shared" si="136"/>
        <v>Home Office</v>
      </c>
      <c r="P449" t="s">
        <v>61</v>
      </c>
      <c r="Q449" s="3" t="str">
        <f t="shared" si="137"/>
        <v>South</v>
      </c>
      <c r="R449" t="s">
        <v>62</v>
      </c>
      <c r="S449" t="s">
        <v>63</v>
      </c>
      <c r="T449" t="s">
        <v>44</v>
      </c>
      <c r="U449" s="3" t="str">
        <f t="shared" si="138"/>
        <v>Furniture</v>
      </c>
      <c r="V449" t="s">
        <v>203</v>
      </c>
      <c r="W449" t="s">
        <v>2202</v>
      </c>
      <c r="X449" t="s">
        <v>66</v>
      </c>
      <c r="Y449" s="3" t="str">
        <f t="shared" si="139"/>
        <v>Standard Class</v>
      </c>
      <c r="Z449">
        <v>6</v>
      </c>
      <c r="AA449">
        <v>4288.7</v>
      </c>
      <c r="AB449">
        <v>0.15</v>
      </c>
      <c r="AC449">
        <f t="shared" si="140"/>
        <v>0.15</v>
      </c>
      <c r="AD449" t="str">
        <f t="shared" si="143"/>
        <v>Valid</v>
      </c>
      <c r="AE449">
        <v>21872.37</v>
      </c>
      <c r="AF449">
        <v>13829.5</v>
      </c>
      <c r="AG449">
        <v>8042.87</v>
      </c>
      <c r="AH449" t="s">
        <v>136</v>
      </c>
      <c r="AI449" t="str">
        <f t="shared" si="144"/>
        <v>Include</v>
      </c>
      <c r="AJ449" t="str">
        <f t="shared" si="145"/>
        <v/>
      </c>
      <c r="AK449" t="s">
        <v>124</v>
      </c>
      <c r="AL449" t="str">
        <f t="shared" si="141"/>
        <v>Returned</v>
      </c>
      <c r="AM449" t="str">
        <f t="shared" si="146"/>
        <v>Include</v>
      </c>
      <c r="AN449">
        <f t="shared" si="147"/>
        <v>21872.369999999995</v>
      </c>
      <c r="AO449">
        <f t="shared" si="148"/>
        <v>8042.8699999999953</v>
      </c>
      <c r="AP449">
        <f>IF(AN449=0,0,AO449/AN449)</f>
        <v>0.36771826738483288</v>
      </c>
      <c r="AQ449" t="str">
        <f t="shared" si="149"/>
        <v>August</v>
      </c>
      <c r="AR449">
        <f t="shared" si="150"/>
        <v>2025</v>
      </c>
      <c r="AS449" t="str">
        <f t="shared" si="151"/>
        <v>Clean</v>
      </c>
      <c r="AT449" t="str">
        <f>IF(OR(AC449&lt;0,AC449&gt;0.5),"Invalid Discount","Valid")</f>
        <v>Valid</v>
      </c>
      <c r="AU449" t="str">
        <f>IF(G449&lt;E449,"Invalid Shipping Record","Valid")</f>
        <v>Valid</v>
      </c>
      <c r="AV449" t="str">
        <f>IF(OR(AL449="Cancelled",AH449="Failed"),"Exclude","Include")</f>
        <v>Include</v>
      </c>
      <c r="AW449" t="str">
        <f t="shared" si="152"/>
        <v>Match</v>
      </c>
      <c r="AX449" t="str">
        <f t="shared" si="153"/>
        <v>Match</v>
      </c>
    </row>
    <row r="450" spans="1:50">
      <c r="A450" t="s">
        <v>2203</v>
      </c>
      <c r="B450">
        <f t="shared" si="154"/>
        <v>1</v>
      </c>
      <c r="C450" t="str">
        <f t="shared" si="142"/>
        <v/>
      </c>
      <c r="D450" s="3" t="s">
        <v>2204</v>
      </c>
      <c r="E450" s="7">
        <v>45306</v>
      </c>
      <c r="F450" s="3" t="s">
        <v>326</v>
      </c>
      <c r="G450" s="7">
        <v>45309</v>
      </c>
      <c r="H450" s="7" t="str">
        <f t="shared" ref="H450:H513" si="155">IF(G450&lt;E450,"Invalid Shipping Record","Valid")</f>
        <v>Valid</v>
      </c>
      <c r="I450" s="9">
        <f t="shared" ref="I450:I513" si="156">G450-E450</f>
        <v>3</v>
      </c>
      <c r="J450" s="9" t="str">
        <f t="shared" ref="J450:J513" si="157">IF(OR(E450="",G450=""),"Missing Date",IF(OR(NOT(ISNUMBER(E450)),NOT(ISNUMBER(G450))),"Invalid Date",IF(G450&lt;E450,"Invalid Shipping Record","Valid")))</f>
        <v>Valid</v>
      </c>
      <c r="K450" t="s">
        <v>2205</v>
      </c>
      <c r="L450" t="s">
        <v>39</v>
      </c>
      <c r="M450" t="s">
        <v>39</v>
      </c>
      <c r="N450" t="s">
        <v>40</v>
      </c>
      <c r="O450" s="3" t="str">
        <f t="shared" ref="O450:O513" si="158">PROPER(TRIM(N450))</f>
        <v>Small Business</v>
      </c>
      <c r="P450" t="s">
        <v>61</v>
      </c>
      <c r="Q450" s="3" t="str">
        <f t="shared" ref="Q450:Q513" si="159">IF(TRIM(P450)="","Unknown",PROPER(TRIM(P450)))</f>
        <v>South</v>
      </c>
      <c r="R450" t="s">
        <v>99</v>
      </c>
      <c r="S450" t="s">
        <v>100</v>
      </c>
      <c r="T450" t="s">
        <v>44</v>
      </c>
      <c r="U450" s="3" t="str">
        <f t="shared" ref="U450:U513" si="160">PROPER(TRIM(T450))</f>
        <v>Furniture</v>
      </c>
      <c r="V450" t="s">
        <v>75</v>
      </c>
      <c r="W450" t="s">
        <v>2206</v>
      </c>
      <c r="X450" t="s">
        <v>55</v>
      </c>
      <c r="Y450" s="3" t="str">
        <f t="shared" ref="Y450:Y513" si="161">IF(TRIM(X450)="","Unknown",PROPER(TRIM(X450)))</f>
        <v>First Class</v>
      </c>
      <c r="Z450">
        <v>2</v>
      </c>
      <c r="AA450">
        <v>201.21</v>
      </c>
      <c r="AB450">
        <v>0.15</v>
      </c>
      <c r="AC450">
        <f t="shared" ref="AC450:AC513" si="162">IF(AND(AB450=" ",Z450=" ",AA450=" ",AF450=" "),0,AB450)</f>
        <v>0.15</v>
      </c>
      <c r="AD450" t="str">
        <f t="shared" si="143"/>
        <v>Valid</v>
      </c>
      <c r="AE450">
        <v>342.06</v>
      </c>
      <c r="AF450">
        <v>244.57</v>
      </c>
      <c r="AG450">
        <v>97.49</v>
      </c>
      <c r="AH450" t="s">
        <v>33</v>
      </c>
      <c r="AI450" t="str">
        <f t="shared" si="144"/>
        <v>Include</v>
      </c>
      <c r="AJ450" t="str">
        <f t="shared" si="145"/>
        <v/>
      </c>
      <c r="AK450" t="s">
        <v>34</v>
      </c>
      <c r="AL450" t="str">
        <f t="shared" ref="AL450:AL513" si="163">PROPER(TRIM(AK450))</f>
        <v>Completed</v>
      </c>
      <c r="AM450" t="str">
        <f t="shared" si="146"/>
        <v>Include</v>
      </c>
      <c r="AN450">
        <f t="shared" si="147"/>
        <v>342.05700000000002</v>
      </c>
      <c r="AO450">
        <f t="shared" si="148"/>
        <v>97.487000000000023</v>
      </c>
      <c r="AP450">
        <f>IF(AN450=0,0,AO450/AN450)</f>
        <v>0.28500220723446684</v>
      </c>
      <c r="AQ450" t="str">
        <f t="shared" si="149"/>
        <v>January</v>
      </c>
      <c r="AR450">
        <f t="shared" si="150"/>
        <v>2024</v>
      </c>
      <c r="AS450" t="str">
        <f t="shared" si="151"/>
        <v>Clean</v>
      </c>
      <c r="AT450" t="str">
        <f>IF(OR(AC450&lt;0,AC450&gt;0.5),"Invalid Discount","Valid")</f>
        <v>Valid</v>
      </c>
      <c r="AU450" t="str">
        <f>IF(G450&lt;E450,"Invalid Shipping Record","Valid")</f>
        <v>Valid</v>
      </c>
      <c r="AV450" t="str">
        <f>IF(OR(AL450="Cancelled",AH450="Failed"),"Exclude","Include")</f>
        <v>Include</v>
      </c>
      <c r="AW450" t="str">
        <f t="shared" si="152"/>
        <v>Match</v>
      </c>
      <c r="AX450" t="str">
        <f t="shared" si="153"/>
        <v>Match</v>
      </c>
    </row>
    <row r="451" spans="1:50">
      <c r="A451" t="s">
        <v>2207</v>
      </c>
      <c r="B451">
        <f t="shared" si="154"/>
        <v>1</v>
      </c>
      <c r="C451" t="str">
        <f t="shared" ref="C451:C514" si="164">IF(B451&gt;1,"Review Required","")</f>
        <v/>
      </c>
      <c r="D451" s="3" t="s">
        <v>2208</v>
      </c>
      <c r="E451" s="7">
        <v>45449</v>
      </c>
      <c r="F451" s="3" t="s">
        <v>2209</v>
      </c>
      <c r="G451" s="7">
        <v>45456</v>
      </c>
      <c r="H451" s="7" t="str">
        <f t="shared" si="155"/>
        <v>Valid</v>
      </c>
      <c r="I451" s="9">
        <f t="shared" si="156"/>
        <v>7</v>
      </c>
      <c r="J451" s="9" t="str">
        <f t="shared" si="157"/>
        <v>Valid</v>
      </c>
      <c r="K451" t="s">
        <v>2042</v>
      </c>
      <c r="L451" t="s">
        <v>106</v>
      </c>
      <c r="M451" t="s">
        <v>106</v>
      </c>
      <c r="N451" t="s">
        <v>107</v>
      </c>
      <c r="O451" s="3" t="str">
        <f t="shared" si="158"/>
        <v>Corporate</v>
      </c>
      <c r="P451" t="s">
        <v>41</v>
      </c>
      <c r="Q451" s="3" t="str">
        <f t="shared" si="159"/>
        <v>East</v>
      </c>
      <c r="R451" t="s">
        <v>215</v>
      </c>
      <c r="S451" t="s">
        <v>216</v>
      </c>
      <c r="T451" t="s">
        <v>85</v>
      </c>
      <c r="U451" s="3" t="str">
        <f t="shared" si="160"/>
        <v>Technology</v>
      </c>
      <c r="V451" t="s">
        <v>381</v>
      </c>
      <c r="W451" t="s">
        <v>2210</v>
      </c>
      <c r="X451" t="s">
        <v>32</v>
      </c>
      <c r="Y451" s="3" t="str">
        <f t="shared" si="161"/>
        <v>Second Class</v>
      </c>
      <c r="Z451">
        <v>6</v>
      </c>
      <c r="AA451">
        <v>3270.36</v>
      </c>
      <c r="AB451">
        <v>0</v>
      </c>
      <c r="AC451">
        <f t="shared" si="162"/>
        <v>0</v>
      </c>
      <c r="AD451" t="str">
        <f t="shared" ref="AD451:AD514" si="165">IF(AC451&lt;0,"Invalid Discount","Valid")</f>
        <v>Valid</v>
      </c>
      <c r="AE451">
        <v>19622.16</v>
      </c>
      <c r="AF451">
        <v>14271.27</v>
      </c>
      <c r="AG451">
        <v>5350.89</v>
      </c>
      <c r="AH451" t="s">
        <v>33</v>
      </c>
      <c r="AI451" t="str">
        <f t="shared" ref="AI451:AI514" si="166">IF(OR(AH451="Failed",AL451="Cancelled"),"Exclude","Include")</f>
        <v>Include</v>
      </c>
      <c r="AJ451" t="str">
        <f t="shared" ref="AJ451:AJ514" si="167">IF(AH451="Refunded","Refunded Order","")</f>
        <v/>
      </c>
      <c r="AK451" t="s">
        <v>34</v>
      </c>
      <c r="AL451" t="str">
        <f t="shared" si="163"/>
        <v>Completed</v>
      </c>
      <c r="AM451" t="str">
        <f t="shared" ref="AM451:AM514" si="168">IF(AL451="Cancelled","Exclude","Include")</f>
        <v>Include</v>
      </c>
      <c r="AN451">
        <f t="shared" ref="AN451:AN514" si="169">Z451*AA451*(1-AC451)</f>
        <v>19622.16</v>
      </c>
      <c r="AO451">
        <f t="shared" ref="AO451:AO514" si="170">AN451-AF451</f>
        <v>5350.8899999999994</v>
      </c>
      <c r="AP451">
        <f>IF(AN451=0,0,AO451/AN451)</f>
        <v>0.27269627808559299</v>
      </c>
      <c r="AQ451" t="str">
        <f t="shared" ref="AQ451:AQ514" si="171">TEXT(E451,"mmmm")</f>
        <v>June</v>
      </c>
      <c r="AR451">
        <f t="shared" ref="AR451:AR514" si="172">YEAR(E451)</f>
        <v>2024</v>
      </c>
      <c r="AS451" t="str">
        <f t="shared" ref="AS451:AS514" si="173">IF(OR(AC451&lt;0,AC451&gt;1,G451&lt;E451),"Invalid",IF(OR(Q451="Unknown",Y451="Unknown"),"Warning","Clean"))</f>
        <v>Clean</v>
      </c>
      <c r="AT451" t="str">
        <f>IF(OR(AC451&lt;0,AC451&gt;0.5),"Invalid Discount","Valid")</f>
        <v>Valid</v>
      </c>
      <c r="AU451" t="str">
        <f>IF(G451&lt;E451,"Invalid Shipping Record","Valid")</f>
        <v>Valid</v>
      </c>
      <c r="AV451" t="str">
        <f>IF(OR(AL451="Cancelled",AH451="Failed"),"Exclude","Include")</f>
        <v>Include</v>
      </c>
      <c r="AW451" t="str">
        <f t="shared" ref="AW451:AW514" si="174">IF(ROUND(AE451,2)=ROUND(AN451,2),"Match","Mismatch")</f>
        <v>Match</v>
      </c>
      <c r="AX451" t="str">
        <f t="shared" ref="AX451:AX514" si="175">IF(ROUND(AG451,2)=ROUND(AO451,2),"Match","Mismatch")</f>
        <v>Match</v>
      </c>
    </row>
    <row r="452" spans="1:50">
      <c r="A452" t="s">
        <v>2211</v>
      </c>
      <c r="B452">
        <f t="shared" si="154"/>
        <v>1</v>
      </c>
      <c r="C452" t="str">
        <f t="shared" si="164"/>
        <v/>
      </c>
      <c r="D452" s="3" t="s">
        <v>2212</v>
      </c>
      <c r="E452" s="7">
        <v>45820</v>
      </c>
      <c r="F452" s="3" t="s">
        <v>1576</v>
      </c>
      <c r="G452" s="7">
        <v>45827</v>
      </c>
      <c r="H452" s="7" t="str">
        <f t="shared" si="155"/>
        <v>Valid</v>
      </c>
      <c r="I452" s="9">
        <f t="shared" si="156"/>
        <v>7</v>
      </c>
      <c r="J452" s="9" t="str">
        <f t="shared" si="157"/>
        <v>Valid</v>
      </c>
      <c r="K452" t="s">
        <v>2213</v>
      </c>
      <c r="L452" t="s">
        <v>71</v>
      </c>
      <c r="M452" t="s">
        <v>71</v>
      </c>
      <c r="N452" t="s">
        <v>107</v>
      </c>
      <c r="O452" s="3" t="str">
        <f t="shared" si="158"/>
        <v>Corporate</v>
      </c>
      <c r="P452" t="s">
        <v>26</v>
      </c>
      <c r="Q452" s="3" t="str">
        <f t="shared" si="159"/>
        <v>North</v>
      </c>
      <c r="R452" t="s">
        <v>505</v>
      </c>
      <c r="S452" t="s">
        <v>506</v>
      </c>
      <c r="T452" t="s">
        <v>44</v>
      </c>
      <c r="U452" s="3" t="str">
        <f t="shared" si="160"/>
        <v>Furniture</v>
      </c>
      <c r="V452" t="s">
        <v>75</v>
      </c>
      <c r="W452" t="s">
        <v>2214</v>
      </c>
      <c r="X452" t="s">
        <v>66</v>
      </c>
      <c r="Y452" s="3" t="str">
        <f t="shared" si="161"/>
        <v>Standard Class</v>
      </c>
      <c r="Z452">
        <v>9</v>
      </c>
      <c r="AA452">
        <v>2278.5700000000002</v>
      </c>
      <c r="AB452">
        <v>0.25</v>
      </c>
      <c r="AC452">
        <f t="shared" si="162"/>
        <v>0.25</v>
      </c>
      <c r="AD452" t="str">
        <f t="shared" si="165"/>
        <v>Valid</v>
      </c>
      <c r="AE452">
        <v>15380.35</v>
      </c>
      <c r="AF452">
        <v>9907.3700000000008</v>
      </c>
      <c r="AG452">
        <v>5472.98</v>
      </c>
      <c r="AH452" t="s">
        <v>33</v>
      </c>
      <c r="AI452" t="str">
        <f t="shared" si="166"/>
        <v>Include</v>
      </c>
      <c r="AJ452" t="str">
        <f t="shared" si="167"/>
        <v/>
      </c>
      <c r="AK452" t="s">
        <v>34</v>
      </c>
      <c r="AL452" t="str">
        <f t="shared" si="163"/>
        <v>Completed</v>
      </c>
      <c r="AM452" t="str">
        <f t="shared" si="168"/>
        <v>Include</v>
      </c>
      <c r="AN452">
        <f t="shared" si="169"/>
        <v>15380.3475</v>
      </c>
      <c r="AO452">
        <f t="shared" si="170"/>
        <v>5472.9774999999991</v>
      </c>
      <c r="AP452">
        <f>IF(AN452=0,0,AO452/AN452)</f>
        <v>0.35584225258889624</v>
      </c>
      <c r="AQ452" t="str">
        <f t="shared" si="171"/>
        <v>June</v>
      </c>
      <c r="AR452">
        <f t="shared" si="172"/>
        <v>2025</v>
      </c>
      <c r="AS452" t="str">
        <f t="shared" si="173"/>
        <v>Clean</v>
      </c>
      <c r="AT452" t="str">
        <f>IF(OR(AC452&lt;0,AC452&gt;0.5),"Invalid Discount","Valid")</f>
        <v>Valid</v>
      </c>
      <c r="AU452" t="str">
        <f>IF(G452&lt;E452,"Invalid Shipping Record","Valid")</f>
        <v>Valid</v>
      </c>
      <c r="AV452" t="str">
        <f>IF(OR(AL452="Cancelled",AH452="Failed"),"Exclude","Include")</f>
        <v>Include</v>
      </c>
      <c r="AW452" t="str">
        <f t="shared" si="174"/>
        <v>Match</v>
      </c>
      <c r="AX452" t="str">
        <f t="shared" si="175"/>
        <v>Match</v>
      </c>
    </row>
    <row r="453" spans="1:50">
      <c r="A453" t="s">
        <v>2215</v>
      </c>
      <c r="B453">
        <f t="shared" si="154"/>
        <v>1</v>
      </c>
      <c r="C453" t="str">
        <f t="shared" si="164"/>
        <v/>
      </c>
      <c r="D453" s="3" t="s">
        <v>2216</v>
      </c>
      <c r="E453" s="7">
        <v>45375</v>
      </c>
      <c r="F453" s="3" t="s">
        <v>2217</v>
      </c>
      <c r="G453" s="7">
        <v>45377</v>
      </c>
      <c r="H453" s="7" t="str">
        <f t="shared" si="155"/>
        <v>Valid</v>
      </c>
      <c r="I453" s="9">
        <f t="shared" si="156"/>
        <v>2</v>
      </c>
      <c r="J453" s="9" t="str">
        <f t="shared" si="157"/>
        <v>Valid</v>
      </c>
      <c r="K453" t="s">
        <v>2218</v>
      </c>
      <c r="L453" t="s">
        <v>179</v>
      </c>
      <c r="M453" t="s">
        <v>179</v>
      </c>
      <c r="N453" t="s">
        <v>40</v>
      </c>
      <c r="O453" s="3" t="str">
        <f t="shared" si="158"/>
        <v>Small Business</v>
      </c>
      <c r="P453" t="s">
        <v>26</v>
      </c>
      <c r="Q453" s="3" t="str">
        <f t="shared" si="159"/>
        <v>North</v>
      </c>
      <c r="R453" t="s">
        <v>322</v>
      </c>
      <c r="S453" t="s">
        <v>323</v>
      </c>
      <c r="T453" t="s">
        <v>29</v>
      </c>
      <c r="U453" s="3" t="str">
        <f t="shared" si="160"/>
        <v>Office Supplies</v>
      </c>
      <c r="V453" t="s">
        <v>30</v>
      </c>
      <c r="W453" t="s">
        <v>2219</v>
      </c>
      <c r="X453" t="s">
        <v>32</v>
      </c>
      <c r="Y453" s="3" t="str">
        <f t="shared" si="161"/>
        <v>Second Class</v>
      </c>
      <c r="Z453">
        <v>8</v>
      </c>
      <c r="AA453">
        <v>1917.64</v>
      </c>
      <c r="AB453">
        <v>0.15</v>
      </c>
      <c r="AC453">
        <f t="shared" si="162"/>
        <v>0.15</v>
      </c>
      <c r="AD453" t="str">
        <f t="shared" si="165"/>
        <v>Valid</v>
      </c>
      <c r="AE453">
        <v>13039.95</v>
      </c>
      <c r="AF453">
        <v>11127.82</v>
      </c>
      <c r="AG453">
        <v>1912.13</v>
      </c>
      <c r="AH453" t="s">
        <v>33</v>
      </c>
      <c r="AI453" t="str">
        <f t="shared" si="166"/>
        <v>Exclude</v>
      </c>
      <c r="AJ453" t="str">
        <f t="shared" si="167"/>
        <v/>
      </c>
      <c r="AK453" t="s">
        <v>77</v>
      </c>
      <c r="AL453" t="str">
        <f t="shared" si="163"/>
        <v>Cancelled</v>
      </c>
      <c r="AM453" t="str">
        <f t="shared" si="168"/>
        <v>Exclude</v>
      </c>
      <c r="AN453">
        <f t="shared" si="169"/>
        <v>13039.952000000001</v>
      </c>
      <c r="AO453">
        <f t="shared" si="170"/>
        <v>1912.1320000000014</v>
      </c>
      <c r="AP453">
        <f>IF(AN453=0,0,AO453/AN453)</f>
        <v>0.1466364293365498</v>
      </c>
      <c r="AQ453" t="str">
        <f t="shared" si="171"/>
        <v>March</v>
      </c>
      <c r="AR453">
        <f t="shared" si="172"/>
        <v>2024</v>
      </c>
      <c r="AS453" t="str">
        <f t="shared" si="173"/>
        <v>Clean</v>
      </c>
      <c r="AT453" t="str">
        <f>IF(OR(AC453&lt;0,AC453&gt;0.5),"Invalid Discount","Valid")</f>
        <v>Valid</v>
      </c>
      <c r="AU453" t="str">
        <f>IF(G453&lt;E453,"Invalid Shipping Record","Valid")</f>
        <v>Valid</v>
      </c>
      <c r="AV453" t="str">
        <f>IF(OR(AL453="Cancelled",AH453="Failed"),"Exclude","Include")</f>
        <v>Exclude</v>
      </c>
      <c r="AW453" t="str">
        <f t="shared" si="174"/>
        <v>Match</v>
      </c>
      <c r="AX453" t="str">
        <f t="shared" si="175"/>
        <v>Match</v>
      </c>
    </row>
    <row r="454" spans="1:50">
      <c r="A454" t="s">
        <v>2220</v>
      </c>
      <c r="B454">
        <f t="shared" si="154"/>
        <v>1</v>
      </c>
      <c r="C454" t="str">
        <f t="shared" si="164"/>
        <v/>
      </c>
      <c r="D454" s="3" t="s">
        <v>2221</v>
      </c>
      <c r="E454" s="7">
        <v>45422</v>
      </c>
      <c r="F454" s="3" t="s">
        <v>1374</v>
      </c>
      <c r="G454" s="7">
        <v>45428</v>
      </c>
      <c r="H454" s="7" t="str">
        <f t="shared" si="155"/>
        <v>Valid</v>
      </c>
      <c r="I454" s="9">
        <f t="shared" si="156"/>
        <v>6</v>
      </c>
      <c r="J454" s="9" t="str">
        <f t="shared" si="157"/>
        <v>Valid</v>
      </c>
      <c r="K454" t="s">
        <v>2222</v>
      </c>
      <c r="L454" t="s">
        <v>209</v>
      </c>
      <c r="M454" t="s">
        <v>209</v>
      </c>
      <c r="N454" t="s">
        <v>114</v>
      </c>
      <c r="O454" s="3" t="str">
        <f t="shared" si="158"/>
        <v>Home Office</v>
      </c>
      <c r="P454" t="s">
        <v>41</v>
      </c>
      <c r="Q454" s="3" t="str">
        <f t="shared" si="159"/>
        <v>East</v>
      </c>
      <c r="R454" t="s">
        <v>310</v>
      </c>
      <c r="S454" t="s">
        <v>311</v>
      </c>
      <c r="T454" t="s">
        <v>85</v>
      </c>
      <c r="U454" s="3" t="str">
        <f t="shared" si="160"/>
        <v>Technology</v>
      </c>
      <c r="V454" t="s">
        <v>86</v>
      </c>
      <c r="W454" t="s">
        <v>2223</v>
      </c>
      <c r="X454" t="s">
        <v>32</v>
      </c>
      <c r="Y454" s="3" t="str">
        <f t="shared" si="161"/>
        <v>Second Class</v>
      </c>
      <c r="Z454">
        <v>6</v>
      </c>
      <c r="AA454">
        <v>2013.33</v>
      </c>
      <c r="AB454">
        <v>0.2</v>
      </c>
      <c r="AC454">
        <f t="shared" si="162"/>
        <v>0.2</v>
      </c>
      <c r="AD454" t="str">
        <f t="shared" si="165"/>
        <v>Valid</v>
      </c>
      <c r="AE454">
        <v>9663.98</v>
      </c>
      <c r="AF454">
        <v>5628.93</v>
      </c>
      <c r="AG454">
        <v>4035.05</v>
      </c>
      <c r="AH454" t="s">
        <v>33</v>
      </c>
      <c r="AI454" t="str">
        <f t="shared" si="166"/>
        <v>Include</v>
      </c>
      <c r="AJ454" t="str">
        <f t="shared" si="167"/>
        <v/>
      </c>
      <c r="AK454" t="s">
        <v>34</v>
      </c>
      <c r="AL454" t="str">
        <f t="shared" si="163"/>
        <v>Completed</v>
      </c>
      <c r="AM454" t="str">
        <f t="shared" si="168"/>
        <v>Include</v>
      </c>
      <c r="AN454">
        <f t="shared" si="169"/>
        <v>9663.9840000000004</v>
      </c>
      <c r="AO454">
        <f t="shared" si="170"/>
        <v>4035.0540000000001</v>
      </c>
      <c r="AP454">
        <f>IF(AN454=0,0,AO454/AN454)</f>
        <v>0.41753525254180884</v>
      </c>
      <c r="AQ454" t="str">
        <f t="shared" si="171"/>
        <v>May</v>
      </c>
      <c r="AR454">
        <f t="shared" si="172"/>
        <v>2024</v>
      </c>
      <c r="AS454" t="str">
        <f t="shared" si="173"/>
        <v>Clean</v>
      </c>
      <c r="AT454" t="str">
        <f>IF(OR(AC454&lt;0,AC454&gt;0.5),"Invalid Discount","Valid")</f>
        <v>Valid</v>
      </c>
      <c r="AU454" t="str">
        <f>IF(G454&lt;E454,"Invalid Shipping Record","Valid")</f>
        <v>Valid</v>
      </c>
      <c r="AV454" t="str">
        <f>IF(OR(AL454="Cancelled",AH454="Failed"),"Exclude","Include")</f>
        <v>Include</v>
      </c>
      <c r="AW454" t="str">
        <f t="shared" si="174"/>
        <v>Match</v>
      </c>
      <c r="AX454" t="str">
        <f t="shared" si="175"/>
        <v>Match</v>
      </c>
    </row>
    <row r="455" spans="1:50">
      <c r="A455" t="s">
        <v>2224</v>
      </c>
      <c r="B455">
        <f t="shared" si="154"/>
        <v>1</v>
      </c>
      <c r="C455" t="str">
        <f t="shared" si="164"/>
        <v/>
      </c>
      <c r="D455" s="3" t="s">
        <v>2225</v>
      </c>
      <c r="E455" s="7">
        <v>45780</v>
      </c>
      <c r="F455" s="3" t="s">
        <v>2226</v>
      </c>
      <c r="G455" s="7">
        <v>45788</v>
      </c>
      <c r="H455" s="7" t="str">
        <f t="shared" si="155"/>
        <v>Valid</v>
      </c>
      <c r="I455" s="9">
        <f t="shared" si="156"/>
        <v>8</v>
      </c>
      <c r="J455" s="9" t="str">
        <f t="shared" si="157"/>
        <v>Valid</v>
      </c>
      <c r="K455" t="s">
        <v>2227</v>
      </c>
      <c r="L455" t="s">
        <v>179</v>
      </c>
      <c r="M455" t="s">
        <v>179</v>
      </c>
      <c r="N455" t="s">
        <v>40</v>
      </c>
      <c r="O455" s="3" t="str">
        <f t="shared" si="158"/>
        <v>Small Business</v>
      </c>
      <c r="P455" t="s">
        <v>72</v>
      </c>
      <c r="Q455" s="3" t="str">
        <f t="shared" si="159"/>
        <v>West</v>
      </c>
      <c r="R455" t="s">
        <v>83</v>
      </c>
      <c r="S455" t="s">
        <v>84</v>
      </c>
      <c r="T455" t="s">
        <v>29</v>
      </c>
      <c r="U455" s="3" t="str">
        <f t="shared" si="160"/>
        <v>Office Supplies</v>
      </c>
      <c r="V455" t="s">
        <v>108</v>
      </c>
      <c r="W455" t="s">
        <v>2228</v>
      </c>
      <c r="X455" t="s">
        <v>47</v>
      </c>
      <c r="Y455" s="3" t="str">
        <f t="shared" si="161"/>
        <v>Same Day</v>
      </c>
      <c r="Z455">
        <v>5</v>
      </c>
      <c r="AA455">
        <v>1483.52</v>
      </c>
      <c r="AB455">
        <v>0</v>
      </c>
      <c r="AC455">
        <f t="shared" si="162"/>
        <v>0</v>
      </c>
      <c r="AD455" t="str">
        <f t="shared" si="165"/>
        <v>Valid</v>
      </c>
      <c r="AE455">
        <v>7417.6</v>
      </c>
      <c r="AF455">
        <v>4955.8599999999997</v>
      </c>
      <c r="AG455">
        <v>2461.7399999999998</v>
      </c>
      <c r="AH455" t="s">
        <v>33</v>
      </c>
      <c r="AI455" t="str">
        <f t="shared" si="166"/>
        <v>Include</v>
      </c>
      <c r="AJ455" t="str">
        <f t="shared" si="167"/>
        <v/>
      </c>
      <c r="AK455" t="s">
        <v>34</v>
      </c>
      <c r="AL455" t="str">
        <f t="shared" si="163"/>
        <v>Completed</v>
      </c>
      <c r="AM455" t="str">
        <f t="shared" si="168"/>
        <v>Include</v>
      </c>
      <c r="AN455">
        <f t="shared" si="169"/>
        <v>7417.6</v>
      </c>
      <c r="AO455">
        <f t="shared" si="170"/>
        <v>2461.7400000000007</v>
      </c>
      <c r="AP455">
        <f>IF(AN455=0,0,AO455/AN455)</f>
        <v>0.3318782355478862</v>
      </c>
      <c r="AQ455" t="str">
        <f t="shared" si="171"/>
        <v>May</v>
      </c>
      <c r="AR455">
        <f t="shared" si="172"/>
        <v>2025</v>
      </c>
      <c r="AS455" t="str">
        <f t="shared" si="173"/>
        <v>Clean</v>
      </c>
      <c r="AT455" t="str">
        <f>IF(OR(AC455&lt;0,AC455&gt;0.5),"Invalid Discount","Valid")</f>
        <v>Valid</v>
      </c>
      <c r="AU455" t="str">
        <f>IF(G455&lt;E455,"Invalid Shipping Record","Valid")</f>
        <v>Valid</v>
      </c>
      <c r="AV455" t="str">
        <f>IF(OR(AL455="Cancelled",AH455="Failed"),"Exclude","Include")</f>
        <v>Include</v>
      </c>
      <c r="AW455" t="str">
        <f t="shared" si="174"/>
        <v>Match</v>
      </c>
      <c r="AX455" t="str">
        <f t="shared" si="175"/>
        <v>Match</v>
      </c>
    </row>
    <row r="456" spans="1:50">
      <c r="A456" t="s">
        <v>2229</v>
      </c>
      <c r="B456">
        <f t="shared" si="154"/>
        <v>1</v>
      </c>
      <c r="C456" t="str">
        <f t="shared" si="164"/>
        <v/>
      </c>
      <c r="D456" s="3" t="s">
        <v>2230</v>
      </c>
      <c r="E456" s="7">
        <v>45739</v>
      </c>
      <c r="F456" s="3" t="s">
        <v>2231</v>
      </c>
      <c r="G456" s="7">
        <v>45744</v>
      </c>
      <c r="H456" s="7" t="str">
        <f t="shared" si="155"/>
        <v>Valid</v>
      </c>
      <c r="I456" s="9">
        <f t="shared" si="156"/>
        <v>5</v>
      </c>
      <c r="J456" s="9" t="str">
        <f t="shared" si="157"/>
        <v>Valid</v>
      </c>
      <c r="K456" t="s">
        <v>2232</v>
      </c>
      <c r="L456" t="s">
        <v>82</v>
      </c>
      <c r="M456" t="s">
        <v>82</v>
      </c>
      <c r="N456" t="s">
        <v>40</v>
      </c>
      <c r="O456" s="3" t="str">
        <f t="shared" si="158"/>
        <v>Small Business</v>
      </c>
      <c r="P456" t="s">
        <v>26</v>
      </c>
      <c r="Q456" s="3" t="str">
        <f t="shared" si="159"/>
        <v>North</v>
      </c>
      <c r="R456" t="s">
        <v>27</v>
      </c>
      <c r="S456" t="s">
        <v>28</v>
      </c>
      <c r="T456" t="s">
        <v>44</v>
      </c>
      <c r="U456" s="3" t="str">
        <f t="shared" si="160"/>
        <v>Furniture</v>
      </c>
      <c r="V456" t="s">
        <v>64</v>
      </c>
      <c r="W456" t="s">
        <v>2233</v>
      </c>
      <c r="X456" t="s">
        <v>66</v>
      </c>
      <c r="Y456" s="3" t="str">
        <f t="shared" si="161"/>
        <v>Standard Class</v>
      </c>
      <c r="Z456">
        <v>9</v>
      </c>
      <c r="AA456">
        <v>3298</v>
      </c>
      <c r="AB456">
        <v>0.15</v>
      </c>
      <c r="AC456">
        <f t="shared" si="162"/>
        <v>0.15</v>
      </c>
      <c r="AD456" t="str">
        <f t="shared" si="165"/>
        <v>Valid</v>
      </c>
      <c r="AE456">
        <v>25229.7</v>
      </c>
      <c r="AF456">
        <v>20170.43</v>
      </c>
      <c r="AG456">
        <v>5059.2700000000004</v>
      </c>
      <c r="AH456" t="s">
        <v>33</v>
      </c>
      <c r="AI456" t="str">
        <f t="shared" si="166"/>
        <v>Include</v>
      </c>
      <c r="AJ456" t="str">
        <f t="shared" si="167"/>
        <v/>
      </c>
      <c r="AK456" t="s">
        <v>34</v>
      </c>
      <c r="AL456" t="str">
        <f t="shared" si="163"/>
        <v>Completed</v>
      </c>
      <c r="AM456" t="str">
        <f t="shared" si="168"/>
        <v>Include</v>
      </c>
      <c r="AN456">
        <f t="shared" si="169"/>
        <v>25229.7</v>
      </c>
      <c r="AO456">
        <f t="shared" si="170"/>
        <v>5059.2700000000004</v>
      </c>
      <c r="AP456">
        <f>IF(AN456=0,0,AO456/AN456)</f>
        <v>0.20052834556098567</v>
      </c>
      <c r="AQ456" t="str">
        <f t="shared" si="171"/>
        <v>March</v>
      </c>
      <c r="AR456">
        <f t="shared" si="172"/>
        <v>2025</v>
      </c>
      <c r="AS456" t="str">
        <f t="shared" si="173"/>
        <v>Clean</v>
      </c>
      <c r="AT456" t="str">
        <f>IF(OR(AC456&lt;0,AC456&gt;0.5),"Invalid Discount","Valid")</f>
        <v>Valid</v>
      </c>
      <c r="AU456" t="str">
        <f>IF(G456&lt;E456,"Invalid Shipping Record","Valid")</f>
        <v>Valid</v>
      </c>
      <c r="AV456" t="str">
        <f>IF(OR(AL456="Cancelled",AH456="Failed"),"Exclude","Include")</f>
        <v>Include</v>
      </c>
      <c r="AW456" t="str">
        <f t="shared" si="174"/>
        <v>Match</v>
      </c>
      <c r="AX456" t="str">
        <f t="shared" si="175"/>
        <v>Match</v>
      </c>
    </row>
    <row r="457" spans="1:50">
      <c r="A457" t="s">
        <v>2234</v>
      </c>
      <c r="B457">
        <f t="shared" si="154"/>
        <v>1</v>
      </c>
      <c r="C457" t="str">
        <f t="shared" si="164"/>
        <v/>
      </c>
      <c r="D457" s="3" t="s">
        <v>2235</v>
      </c>
      <c r="E457" s="7">
        <v>45491</v>
      </c>
      <c r="F457" s="3" t="s">
        <v>2236</v>
      </c>
      <c r="G457" s="7">
        <v>45495</v>
      </c>
      <c r="H457" s="7" t="str">
        <f t="shared" si="155"/>
        <v>Valid</v>
      </c>
      <c r="I457" s="9">
        <f t="shared" si="156"/>
        <v>4</v>
      </c>
      <c r="J457" s="9" t="str">
        <f t="shared" si="157"/>
        <v>Valid</v>
      </c>
      <c r="K457" t="s">
        <v>2237</v>
      </c>
      <c r="L457" t="s">
        <v>92</v>
      </c>
      <c r="M457" t="s">
        <v>92</v>
      </c>
      <c r="N457" t="s">
        <v>40</v>
      </c>
      <c r="O457" s="3" t="str">
        <f t="shared" si="158"/>
        <v>Small Business</v>
      </c>
      <c r="P457" t="s">
        <v>61</v>
      </c>
      <c r="Q457" s="3" t="str">
        <f t="shared" si="159"/>
        <v>South</v>
      </c>
      <c r="R457" t="s">
        <v>62</v>
      </c>
      <c r="S457" t="s">
        <v>63</v>
      </c>
      <c r="T457" t="s">
        <v>29</v>
      </c>
      <c r="U457" s="3" t="str">
        <f t="shared" si="160"/>
        <v>Office Supplies</v>
      </c>
      <c r="V457" t="s">
        <v>53</v>
      </c>
      <c r="W457" t="s">
        <v>2238</v>
      </c>
      <c r="X457" t="s">
        <v>66</v>
      </c>
      <c r="Y457" s="3" t="str">
        <f t="shared" si="161"/>
        <v>Standard Class</v>
      </c>
      <c r="Z457">
        <v>4</v>
      </c>
      <c r="AA457">
        <v>808.77</v>
      </c>
      <c r="AB457">
        <v>0</v>
      </c>
      <c r="AC457">
        <f t="shared" si="162"/>
        <v>0</v>
      </c>
      <c r="AD457" t="str">
        <f t="shared" si="165"/>
        <v>Valid</v>
      </c>
      <c r="AE457">
        <v>3235.08</v>
      </c>
      <c r="AF457">
        <v>1848.6</v>
      </c>
      <c r="AG457">
        <v>1386.48</v>
      </c>
      <c r="AH457" t="s">
        <v>33</v>
      </c>
      <c r="AI457" t="str">
        <f t="shared" si="166"/>
        <v>Include</v>
      </c>
      <c r="AJ457" t="str">
        <f t="shared" si="167"/>
        <v/>
      </c>
      <c r="AK457" t="s">
        <v>34</v>
      </c>
      <c r="AL457" t="str">
        <f t="shared" si="163"/>
        <v>Completed</v>
      </c>
      <c r="AM457" t="str">
        <f t="shared" si="168"/>
        <v>Include</v>
      </c>
      <c r="AN457">
        <f t="shared" si="169"/>
        <v>3235.08</v>
      </c>
      <c r="AO457">
        <f t="shared" si="170"/>
        <v>1386.48</v>
      </c>
      <c r="AP457">
        <f>IF(AN457=0,0,AO457/AN457)</f>
        <v>0.42857672762342819</v>
      </c>
      <c r="AQ457" t="str">
        <f t="shared" si="171"/>
        <v>July</v>
      </c>
      <c r="AR457">
        <f t="shared" si="172"/>
        <v>2024</v>
      </c>
      <c r="AS457" t="str">
        <f t="shared" si="173"/>
        <v>Clean</v>
      </c>
      <c r="AT457" t="str">
        <f>IF(OR(AC457&lt;0,AC457&gt;0.5),"Invalid Discount","Valid")</f>
        <v>Valid</v>
      </c>
      <c r="AU457" t="str">
        <f>IF(G457&lt;E457,"Invalid Shipping Record","Valid")</f>
        <v>Valid</v>
      </c>
      <c r="AV457" t="str">
        <f>IF(OR(AL457="Cancelled",AH457="Failed"),"Exclude","Include")</f>
        <v>Include</v>
      </c>
      <c r="AW457" t="str">
        <f t="shared" si="174"/>
        <v>Match</v>
      </c>
      <c r="AX457" t="str">
        <f t="shared" si="175"/>
        <v>Match</v>
      </c>
    </row>
    <row r="458" spans="1:50">
      <c r="A458" t="s">
        <v>2239</v>
      </c>
      <c r="B458">
        <f t="shared" si="154"/>
        <v>1</v>
      </c>
      <c r="C458" t="str">
        <f t="shared" si="164"/>
        <v/>
      </c>
      <c r="D458" s="3" t="s">
        <v>2087</v>
      </c>
      <c r="E458" s="7">
        <v>45342</v>
      </c>
      <c r="F458" s="3" t="s">
        <v>2087</v>
      </c>
      <c r="G458" s="7">
        <v>45342</v>
      </c>
      <c r="H458" s="7" t="str">
        <f t="shared" si="155"/>
        <v>Valid</v>
      </c>
      <c r="I458" s="9">
        <f t="shared" si="156"/>
        <v>0</v>
      </c>
      <c r="J458" s="9" t="str">
        <f t="shared" si="157"/>
        <v>Valid</v>
      </c>
      <c r="K458" t="s">
        <v>2240</v>
      </c>
      <c r="L458" t="s">
        <v>92</v>
      </c>
      <c r="M458" t="s">
        <v>92</v>
      </c>
      <c r="N458" t="s">
        <v>107</v>
      </c>
      <c r="O458" s="3" t="str">
        <f t="shared" si="158"/>
        <v>Corporate</v>
      </c>
      <c r="P458" t="s">
        <v>26</v>
      </c>
      <c r="Q458" s="3" t="str">
        <f t="shared" si="159"/>
        <v>North</v>
      </c>
      <c r="R458" t="s">
        <v>173</v>
      </c>
      <c r="S458" t="s">
        <v>174</v>
      </c>
      <c r="T458" t="s">
        <v>85</v>
      </c>
      <c r="U458" s="3" t="str">
        <f t="shared" si="160"/>
        <v>Technology</v>
      </c>
      <c r="V458" t="s">
        <v>86</v>
      </c>
      <c r="W458" t="s">
        <v>2241</v>
      </c>
      <c r="X458" t="s">
        <v>47</v>
      </c>
      <c r="Y458" s="3" t="str">
        <f t="shared" si="161"/>
        <v>Same Day</v>
      </c>
      <c r="Z458">
        <v>5</v>
      </c>
      <c r="AA458">
        <v>2604.91</v>
      </c>
      <c r="AB458">
        <v>0.15</v>
      </c>
      <c r="AC458">
        <f t="shared" si="162"/>
        <v>0.15</v>
      </c>
      <c r="AD458" t="str">
        <f t="shared" si="165"/>
        <v>Valid</v>
      </c>
      <c r="AE458">
        <v>11070.87</v>
      </c>
      <c r="AF458">
        <v>6623.61</v>
      </c>
      <c r="AG458">
        <v>4447.26</v>
      </c>
      <c r="AH458" t="s">
        <v>33</v>
      </c>
      <c r="AI458" t="str">
        <f t="shared" si="166"/>
        <v>Include</v>
      </c>
      <c r="AJ458" t="str">
        <f t="shared" si="167"/>
        <v/>
      </c>
      <c r="AK458" t="s">
        <v>124</v>
      </c>
      <c r="AL458" t="str">
        <f t="shared" si="163"/>
        <v>Returned</v>
      </c>
      <c r="AM458" t="str">
        <f t="shared" si="168"/>
        <v>Include</v>
      </c>
      <c r="AN458">
        <f t="shared" si="169"/>
        <v>11070.867499999998</v>
      </c>
      <c r="AO458">
        <f t="shared" si="170"/>
        <v>4447.2574999999988</v>
      </c>
      <c r="AP458">
        <f>IF(AN458=0,0,AO458/AN458)</f>
        <v>0.40170813172499803</v>
      </c>
      <c r="AQ458" t="str">
        <f t="shared" si="171"/>
        <v>February</v>
      </c>
      <c r="AR458">
        <f t="shared" si="172"/>
        <v>2024</v>
      </c>
      <c r="AS458" t="str">
        <f t="shared" si="173"/>
        <v>Clean</v>
      </c>
      <c r="AT458" t="str">
        <f>IF(OR(AC458&lt;0,AC458&gt;0.5),"Invalid Discount","Valid")</f>
        <v>Valid</v>
      </c>
      <c r="AU458" t="str">
        <f>IF(G458&lt;E458,"Invalid Shipping Record","Valid")</f>
        <v>Valid</v>
      </c>
      <c r="AV458" t="str">
        <f>IF(OR(AL458="Cancelled",AH458="Failed"),"Exclude","Include")</f>
        <v>Include</v>
      </c>
      <c r="AW458" t="str">
        <f t="shared" si="174"/>
        <v>Match</v>
      </c>
      <c r="AX458" t="str">
        <f t="shared" si="175"/>
        <v>Match</v>
      </c>
    </row>
    <row r="459" spans="1:50">
      <c r="A459" t="s">
        <v>2242</v>
      </c>
      <c r="B459">
        <f t="shared" si="154"/>
        <v>1</v>
      </c>
      <c r="C459" t="str">
        <f t="shared" si="164"/>
        <v/>
      </c>
      <c r="D459" s="3" t="s">
        <v>2243</v>
      </c>
      <c r="E459" s="7">
        <v>45416</v>
      </c>
      <c r="F459" s="3" t="s">
        <v>2244</v>
      </c>
      <c r="G459" s="7">
        <v>45416</v>
      </c>
      <c r="H459" s="7" t="str">
        <f t="shared" si="155"/>
        <v>Valid</v>
      </c>
      <c r="I459" s="9">
        <f t="shared" si="156"/>
        <v>0</v>
      </c>
      <c r="J459" s="9" t="str">
        <f t="shared" si="157"/>
        <v>Valid</v>
      </c>
      <c r="K459" t="s">
        <v>2245</v>
      </c>
      <c r="L459" t="s">
        <v>39</v>
      </c>
      <c r="M459" t="s">
        <v>39</v>
      </c>
      <c r="N459" t="s">
        <v>40</v>
      </c>
      <c r="O459" s="3" t="str">
        <f t="shared" si="158"/>
        <v>Small Business</v>
      </c>
      <c r="P459" t="s">
        <v>72</v>
      </c>
      <c r="Q459" s="3" t="str">
        <f t="shared" si="159"/>
        <v>West</v>
      </c>
      <c r="R459" t="s">
        <v>248</v>
      </c>
      <c r="S459" t="s">
        <v>249</v>
      </c>
      <c r="T459" t="s">
        <v>44</v>
      </c>
      <c r="U459" s="3" t="str">
        <f t="shared" si="160"/>
        <v>Furniture</v>
      </c>
      <c r="V459" t="s">
        <v>45</v>
      </c>
      <c r="W459" t="s">
        <v>2246</v>
      </c>
      <c r="X459" t="s">
        <v>66</v>
      </c>
      <c r="Y459" s="3" t="str">
        <f t="shared" si="161"/>
        <v>Standard Class</v>
      </c>
      <c r="Z459">
        <v>7</v>
      </c>
      <c r="AA459">
        <v>2851.51</v>
      </c>
      <c r="AB459">
        <v>0</v>
      </c>
      <c r="AC459">
        <f t="shared" si="162"/>
        <v>0</v>
      </c>
      <c r="AD459" t="str">
        <f t="shared" si="165"/>
        <v>Valid</v>
      </c>
      <c r="AE459">
        <v>19960.57</v>
      </c>
      <c r="AF459">
        <v>16603.599999999999</v>
      </c>
      <c r="AG459">
        <v>3356.97</v>
      </c>
      <c r="AH459" t="s">
        <v>33</v>
      </c>
      <c r="AI459" t="str">
        <f t="shared" si="166"/>
        <v>Include</v>
      </c>
      <c r="AJ459" t="str">
        <f t="shared" si="167"/>
        <v/>
      </c>
      <c r="AK459" t="s">
        <v>34</v>
      </c>
      <c r="AL459" t="str">
        <f t="shared" si="163"/>
        <v>Completed</v>
      </c>
      <c r="AM459" t="str">
        <f t="shared" si="168"/>
        <v>Include</v>
      </c>
      <c r="AN459">
        <f t="shared" si="169"/>
        <v>19960.57</v>
      </c>
      <c r="AO459">
        <f t="shared" si="170"/>
        <v>3356.9700000000012</v>
      </c>
      <c r="AP459">
        <f>IF(AN459=0,0,AO459/AN459)</f>
        <v>0.1681800670020947</v>
      </c>
      <c r="AQ459" t="str">
        <f t="shared" si="171"/>
        <v>May</v>
      </c>
      <c r="AR459">
        <f t="shared" si="172"/>
        <v>2024</v>
      </c>
      <c r="AS459" t="str">
        <f t="shared" si="173"/>
        <v>Clean</v>
      </c>
      <c r="AT459" t="str">
        <f>IF(OR(AC459&lt;0,AC459&gt;0.5),"Invalid Discount","Valid")</f>
        <v>Valid</v>
      </c>
      <c r="AU459" t="str">
        <f>IF(G459&lt;E459,"Invalid Shipping Record","Valid")</f>
        <v>Valid</v>
      </c>
      <c r="AV459" t="str">
        <f>IF(OR(AL459="Cancelled",AH459="Failed"),"Exclude","Include")</f>
        <v>Include</v>
      </c>
      <c r="AW459" t="str">
        <f t="shared" si="174"/>
        <v>Match</v>
      </c>
      <c r="AX459" t="str">
        <f t="shared" si="175"/>
        <v>Match</v>
      </c>
    </row>
    <row r="460" spans="1:50">
      <c r="A460" t="s">
        <v>2247</v>
      </c>
      <c r="B460">
        <f t="shared" si="154"/>
        <v>1</v>
      </c>
      <c r="C460" t="str">
        <f t="shared" si="164"/>
        <v/>
      </c>
      <c r="D460" s="3" t="s">
        <v>2248</v>
      </c>
      <c r="E460" s="7">
        <v>45332</v>
      </c>
      <c r="F460" s="3" t="s">
        <v>859</v>
      </c>
      <c r="G460" s="7">
        <v>45333</v>
      </c>
      <c r="H460" s="7" t="str">
        <f t="shared" si="155"/>
        <v>Valid</v>
      </c>
      <c r="I460" s="9">
        <f t="shared" si="156"/>
        <v>1</v>
      </c>
      <c r="J460" s="9" t="str">
        <f t="shared" si="157"/>
        <v>Valid</v>
      </c>
      <c r="K460" t="s">
        <v>2249</v>
      </c>
      <c r="L460" t="s">
        <v>24</v>
      </c>
      <c r="M460" t="s">
        <v>24</v>
      </c>
      <c r="N460" t="s">
        <v>107</v>
      </c>
      <c r="O460" s="3" t="str">
        <f t="shared" si="158"/>
        <v>Corporate</v>
      </c>
      <c r="P460" t="s">
        <v>26</v>
      </c>
      <c r="Q460" s="3" t="str">
        <f t="shared" si="159"/>
        <v>North</v>
      </c>
      <c r="R460" t="s">
        <v>27</v>
      </c>
      <c r="S460" t="s">
        <v>28</v>
      </c>
      <c r="T460" t="s">
        <v>85</v>
      </c>
      <c r="U460" s="3" t="str">
        <f t="shared" si="160"/>
        <v>Technology</v>
      </c>
      <c r="V460" t="s">
        <v>222</v>
      </c>
      <c r="W460" t="s">
        <v>2250</v>
      </c>
      <c r="X460" t="s">
        <v>32</v>
      </c>
      <c r="Y460" s="3" t="str">
        <f t="shared" si="161"/>
        <v>Second Class</v>
      </c>
      <c r="Z460">
        <v>3</v>
      </c>
      <c r="AA460">
        <v>3183.72</v>
      </c>
      <c r="AB460">
        <v>0.1</v>
      </c>
      <c r="AC460">
        <f t="shared" si="162"/>
        <v>0.1</v>
      </c>
      <c r="AD460" t="str">
        <f t="shared" si="165"/>
        <v>Valid</v>
      </c>
      <c r="AE460">
        <v>8596.0400000000009</v>
      </c>
      <c r="AF460">
        <v>5378.16</v>
      </c>
      <c r="AG460">
        <v>3217.88</v>
      </c>
      <c r="AH460" t="s">
        <v>33</v>
      </c>
      <c r="AI460" t="str">
        <f t="shared" si="166"/>
        <v>Include</v>
      </c>
      <c r="AJ460" t="str">
        <f t="shared" si="167"/>
        <v/>
      </c>
      <c r="AK460" t="s">
        <v>34</v>
      </c>
      <c r="AL460" t="str">
        <f t="shared" si="163"/>
        <v>Completed</v>
      </c>
      <c r="AM460" t="str">
        <f t="shared" si="168"/>
        <v>Include</v>
      </c>
      <c r="AN460">
        <f t="shared" si="169"/>
        <v>8596.0439999999999</v>
      </c>
      <c r="AO460">
        <f t="shared" si="170"/>
        <v>3217.884</v>
      </c>
      <c r="AP460">
        <f>IF(AN460=0,0,AO460/AN460)</f>
        <v>0.37434475672762962</v>
      </c>
      <c r="AQ460" t="str">
        <f t="shared" si="171"/>
        <v>February</v>
      </c>
      <c r="AR460">
        <f t="shared" si="172"/>
        <v>2024</v>
      </c>
      <c r="AS460" t="str">
        <f t="shared" si="173"/>
        <v>Clean</v>
      </c>
      <c r="AT460" t="str">
        <f>IF(OR(AC460&lt;0,AC460&gt;0.5),"Invalid Discount","Valid")</f>
        <v>Valid</v>
      </c>
      <c r="AU460" t="str">
        <f>IF(G460&lt;E460,"Invalid Shipping Record","Valid")</f>
        <v>Valid</v>
      </c>
      <c r="AV460" t="str">
        <f>IF(OR(AL460="Cancelled",AH460="Failed"),"Exclude","Include")</f>
        <v>Include</v>
      </c>
      <c r="AW460" t="str">
        <f t="shared" si="174"/>
        <v>Match</v>
      </c>
      <c r="AX460" t="str">
        <f t="shared" si="175"/>
        <v>Match</v>
      </c>
    </row>
    <row r="461" spans="1:50">
      <c r="A461" t="s">
        <v>2251</v>
      </c>
      <c r="B461">
        <f t="shared" si="154"/>
        <v>1</v>
      </c>
      <c r="C461" t="str">
        <f t="shared" si="164"/>
        <v/>
      </c>
      <c r="D461" s="3" t="s">
        <v>2252</v>
      </c>
      <c r="E461" s="7">
        <v>45379</v>
      </c>
      <c r="F461" s="3" t="s">
        <v>2182</v>
      </c>
      <c r="G461" s="7">
        <v>45386</v>
      </c>
      <c r="H461" s="7" t="str">
        <f t="shared" si="155"/>
        <v>Valid</v>
      </c>
      <c r="I461" s="9">
        <f t="shared" si="156"/>
        <v>7</v>
      </c>
      <c r="J461" s="9" t="str">
        <f t="shared" si="157"/>
        <v>Valid</v>
      </c>
      <c r="K461" t="s">
        <v>2253</v>
      </c>
      <c r="L461" t="s">
        <v>71</v>
      </c>
      <c r="M461" t="s">
        <v>71</v>
      </c>
      <c r="N461" t="s">
        <v>114</v>
      </c>
      <c r="O461" s="3" t="str">
        <f t="shared" si="158"/>
        <v>Home Office</v>
      </c>
      <c r="P461" t="s">
        <v>72</v>
      </c>
      <c r="Q461" s="3" t="str">
        <f t="shared" si="159"/>
        <v>West</v>
      </c>
      <c r="R461" t="s">
        <v>248</v>
      </c>
      <c r="S461" t="s">
        <v>249</v>
      </c>
      <c r="T461" t="s">
        <v>29</v>
      </c>
      <c r="U461" s="3" t="str">
        <f t="shared" si="160"/>
        <v>Office Supplies</v>
      </c>
      <c r="V461" t="s">
        <v>30</v>
      </c>
      <c r="W461" t="s">
        <v>2254</v>
      </c>
      <c r="X461" t="s">
        <v>55</v>
      </c>
      <c r="Y461" s="3" t="str">
        <f t="shared" si="161"/>
        <v>First Class</v>
      </c>
      <c r="Z461">
        <v>3</v>
      </c>
      <c r="AA461">
        <v>1150.92</v>
      </c>
      <c r="AB461">
        <v>0</v>
      </c>
      <c r="AC461">
        <f t="shared" si="162"/>
        <v>0</v>
      </c>
      <c r="AD461" t="str">
        <f t="shared" si="165"/>
        <v>Valid</v>
      </c>
      <c r="AE461">
        <v>3452.76</v>
      </c>
      <c r="AF461">
        <v>2077.96</v>
      </c>
      <c r="AG461">
        <v>1374.8</v>
      </c>
      <c r="AH461" t="s">
        <v>33</v>
      </c>
      <c r="AI461" t="str">
        <f t="shared" si="166"/>
        <v>Include</v>
      </c>
      <c r="AJ461" t="str">
        <f t="shared" si="167"/>
        <v/>
      </c>
      <c r="AK461" t="s">
        <v>34</v>
      </c>
      <c r="AL461" t="str">
        <f t="shared" si="163"/>
        <v>Completed</v>
      </c>
      <c r="AM461" t="str">
        <f t="shared" si="168"/>
        <v>Include</v>
      </c>
      <c r="AN461">
        <f t="shared" si="169"/>
        <v>3452.76</v>
      </c>
      <c r="AO461">
        <f t="shared" si="170"/>
        <v>1374.8000000000002</v>
      </c>
      <c r="AP461">
        <f>IF(AN461=0,0,AO461/AN461)</f>
        <v>0.39817421425178701</v>
      </c>
      <c r="AQ461" t="str">
        <f t="shared" si="171"/>
        <v>March</v>
      </c>
      <c r="AR461">
        <f t="shared" si="172"/>
        <v>2024</v>
      </c>
      <c r="AS461" t="str">
        <f t="shared" si="173"/>
        <v>Clean</v>
      </c>
      <c r="AT461" t="str">
        <f>IF(OR(AC461&lt;0,AC461&gt;0.5),"Invalid Discount","Valid")</f>
        <v>Valid</v>
      </c>
      <c r="AU461" t="str">
        <f>IF(G461&lt;E461,"Invalid Shipping Record","Valid")</f>
        <v>Valid</v>
      </c>
      <c r="AV461" t="str">
        <f>IF(OR(AL461="Cancelled",AH461="Failed"),"Exclude","Include")</f>
        <v>Include</v>
      </c>
      <c r="AW461" t="str">
        <f t="shared" si="174"/>
        <v>Match</v>
      </c>
      <c r="AX461" t="str">
        <f t="shared" si="175"/>
        <v>Match</v>
      </c>
    </row>
    <row r="462" spans="1:50">
      <c r="A462" t="s">
        <v>2255</v>
      </c>
      <c r="B462">
        <f t="shared" si="154"/>
        <v>1</v>
      </c>
      <c r="C462" t="str">
        <f t="shared" si="164"/>
        <v/>
      </c>
      <c r="D462" s="3" t="s">
        <v>2256</v>
      </c>
      <c r="E462" s="7">
        <v>45930</v>
      </c>
      <c r="F462" s="3" t="s">
        <v>2257</v>
      </c>
      <c r="G462" s="7">
        <v>45936</v>
      </c>
      <c r="H462" s="7" t="str">
        <f t="shared" si="155"/>
        <v>Valid</v>
      </c>
      <c r="I462" s="9">
        <f t="shared" si="156"/>
        <v>6</v>
      </c>
      <c r="J462" s="9" t="str">
        <f t="shared" si="157"/>
        <v>Valid</v>
      </c>
      <c r="K462" t="s">
        <v>2258</v>
      </c>
      <c r="L462" t="s">
        <v>161</v>
      </c>
      <c r="M462" t="s">
        <v>161</v>
      </c>
      <c r="N462" t="s">
        <v>107</v>
      </c>
      <c r="O462" s="3" t="str">
        <f t="shared" si="158"/>
        <v>Corporate</v>
      </c>
      <c r="Q462" s="3" t="str">
        <f t="shared" si="159"/>
        <v>Unknown</v>
      </c>
      <c r="R462" t="s">
        <v>27</v>
      </c>
      <c r="S462" t="s">
        <v>28</v>
      </c>
      <c r="T462" t="s">
        <v>85</v>
      </c>
      <c r="U462" s="3" t="str">
        <f t="shared" si="160"/>
        <v>Technology</v>
      </c>
      <c r="V462" t="s">
        <v>93</v>
      </c>
      <c r="W462" t="s">
        <v>2259</v>
      </c>
      <c r="X462" t="s">
        <v>32</v>
      </c>
      <c r="Y462" s="3" t="str">
        <f t="shared" si="161"/>
        <v>Second Class</v>
      </c>
      <c r="Z462">
        <v>9</v>
      </c>
      <c r="AA462">
        <v>1359.88</v>
      </c>
      <c r="AB462">
        <v>0.05</v>
      </c>
      <c r="AC462">
        <f t="shared" si="162"/>
        <v>0.05</v>
      </c>
      <c r="AD462" t="str">
        <f t="shared" si="165"/>
        <v>Valid</v>
      </c>
      <c r="AE462">
        <v>11626.97</v>
      </c>
      <c r="AF462">
        <v>7394.07</v>
      </c>
      <c r="AG462">
        <v>4232.8999999999996</v>
      </c>
      <c r="AH462" t="s">
        <v>33</v>
      </c>
      <c r="AI462" t="str">
        <f t="shared" si="166"/>
        <v>Include</v>
      </c>
      <c r="AJ462" t="str">
        <f t="shared" si="167"/>
        <v/>
      </c>
      <c r="AK462" t="s">
        <v>34</v>
      </c>
      <c r="AL462" t="str">
        <f t="shared" si="163"/>
        <v>Completed</v>
      </c>
      <c r="AM462" t="str">
        <f t="shared" si="168"/>
        <v>Include</v>
      </c>
      <c r="AN462">
        <f t="shared" si="169"/>
        <v>11626.974000000002</v>
      </c>
      <c r="AO462">
        <f t="shared" si="170"/>
        <v>4232.9040000000023</v>
      </c>
      <c r="AP462">
        <f>IF(AN462=0,0,AO462/AN462)</f>
        <v>0.36405895463428417</v>
      </c>
      <c r="AQ462" t="str">
        <f t="shared" si="171"/>
        <v>September</v>
      </c>
      <c r="AR462">
        <f t="shared" si="172"/>
        <v>2025</v>
      </c>
      <c r="AS462" t="str">
        <f t="shared" si="173"/>
        <v>Warning</v>
      </c>
      <c r="AT462" t="str">
        <f>IF(OR(AC462&lt;0,AC462&gt;0.5),"Invalid Discount","Valid")</f>
        <v>Valid</v>
      </c>
      <c r="AU462" t="str">
        <f>IF(G462&lt;E462,"Invalid Shipping Record","Valid")</f>
        <v>Valid</v>
      </c>
      <c r="AV462" t="str">
        <f>IF(OR(AL462="Cancelled",AH462="Failed"),"Exclude","Include")</f>
        <v>Include</v>
      </c>
      <c r="AW462" t="str">
        <f t="shared" si="174"/>
        <v>Match</v>
      </c>
      <c r="AX462" t="str">
        <f t="shared" si="175"/>
        <v>Match</v>
      </c>
    </row>
    <row r="463" spans="1:50">
      <c r="A463" t="s">
        <v>2260</v>
      </c>
      <c r="B463">
        <f t="shared" si="154"/>
        <v>1</v>
      </c>
      <c r="C463" t="str">
        <f t="shared" si="164"/>
        <v/>
      </c>
      <c r="D463" s="3" t="s">
        <v>2261</v>
      </c>
      <c r="E463" s="7">
        <v>45802</v>
      </c>
      <c r="F463" s="3" t="s">
        <v>1521</v>
      </c>
      <c r="G463" s="7">
        <v>45803</v>
      </c>
      <c r="H463" s="7" t="str">
        <f t="shared" si="155"/>
        <v>Valid</v>
      </c>
      <c r="I463" s="9">
        <f t="shared" si="156"/>
        <v>1</v>
      </c>
      <c r="J463" s="9" t="str">
        <f t="shared" si="157"/>
        <v>Valid</v>
      </c>
      <c r="K463" t="s">
        <v>2262</v>
      </c>
      <c r="L463" t="s">
        <v>92</v>
      </c>
      <c r="M463" t="s">
        <v>92</v>
      </c>
      <c r="N463" t="s">
        <v>107</v>
      </c>
      <c r="O463" s="3" t="str">
        <f t="shared" si="158"/>
        <v>Corporate</v>
      </c>
      <c r="P463" t="s">
        <v>61</v>
      </c>
      <c r="Q463" s="3" t="str">
        <f t="shared" si="159"/>
        <v>South</v>
      </c>
      <c r="R463" t="s">
        <v>99</v>
      </c>
      <c r="S463" t="s">
        <v>100</v>
      </c>
      <c r="T463" t="s">
        <v>29</v>
      </c>
      <c r="U463" s="3" t="str">
        <f t="shared" si="160"/>
        <v>Office Supplies</v>
      </c>
      <c r="V463" t="s">
        <v>30</v>
      </c>
      <c r="W463" t="s">
        <v>2263</v>
      </c>
      <c r="X463" t="s">
        <v>66</v>
      </c>
      <c r="Y463" s="3" t="str">
        <f t="shared" si="161"/>
        <v>Standard Class</v>
      </c>
      <c r="Z463">
        <v>3</v>
      </c>
      <c r="AA463">
        <v>3378.15</v>
      </c>
      <c r="AB463">
        <v>0.15</v>
      </c>
      <c r="AC463">
        <f t="shared" si="162"/>
        <v>0.15</v>
      </c>
      <c r="AD463" t="str">
        <f t="shared" si="165"/>
        <v>Valid</v>
      </c>
      <c r="AE463">
        <v>8614.2800000000007</v>
      </c>
      <c r="AF463">
        <v>7052.08</v>
      </c>
      <c r="AG463">
        <v>1562.2</v>
      </c>
      <c r="AH463" t="s">
        <v>33</v>
      </c>
      <c r="AI463" t="str">
        <f t="shared" si="166"/>
        <v>Include</v>
      </c>
      <c r="AJ463" t="str">
        <f t="shared" si="167"/>
        <v/>
      </c>
      <c r="AK463" t="s">
        <v>34</v>
      </c>
      <c r="AL463" t="str">
        <f t="shared" si="163"/>
        <v>Completed</v>
      </c>
      <c r="AM463" t="str">
        <f t="shared" si="168"/>
        <v>Include</v>
      </c>
      <c r="AN463">
        <f t="shared" si="169"/>
        <v>8614.2825000000012</v>
      </c>
      <c r="AO463">
        <f t="shared" si="170"/>
        <v>1562.2025000000012</v>
      </c>
      <c r="AP463">
        <f>IF(AN463=0,0,AO463/AN463)</f>
        <v>0.18135027496486225</v>
      </c>
      <c r="AQ463" t="str">
        <f t="shared" si="171"/>
        <v>May</v>
      </c>
      <c r="AR463">
        <f t="shared" si="172"/>
        <v>2025</v>
      </c>
      <c r="AS463" t="str">
        <f t="shared" si="173"/>
        <v>Clean</v>
      </c>
      <c r="AT463" t="str">
        <f>IF(OR(AC463&lt;0,AC463&gt;0.5),"Invalid Discount","Valid")</f>
        <v>Valid</v>
      </c>
      <c r="AU463" t="str">
        <f>IF(G463&lt;E463,"Invalid Shipping Record","Valid")</f>
        <v>Valid</v>
      </c>
      <c r="AV463" t="str">
        <f>IF(OR(AL463="Cancelled",AH463="Failed"),"Exclude","Include")</f>
        <v>Include</v>
      </c>
      <c r="AW463" t="str">
        <f t="shared" si="174"/>
        <v>Match</v>
      </c>
      <c r="AX463" t="str">
        <f t="shared" si="175"/>
        <v>Match</v>
      </c>
    </row>
    <row r="464" spans="1:50">
      <c r="A464" t="s">
        <v>2264</v>
      </c>
      <c r="B464">
        <f t="shared" si="154"/>
        <v>1</v>
      </c>
      <c r="C464" t="str">
        <f t="shared" si="164"/>
        <v/>
      </c>
      <c r="D464" s="3" t="s">
        <v>2007</v>
      </c>
      <c r="E464" s="7">
        <v>45558</v>
      </c>
      <c r="F464" s="3" t="s">
        <v>2265</v>
      </c>
      <c r="G464" s="7">
        <v>45560</v>
      </c>
      <c r="H464" s="7" t="str">
        <f t="shared" si="155"/>
        <v>Valid</v>
      </c>
      <c r="I464" s="9">
        <f t="shared" si="156"/>
        <v>2</v>
      </c>
      <c r="J464" s="9" t="str">
        <f t="shared" si="157"/>
        <v>Valid</v>
      </c>
      <c r="K464" t="s">
        <v>2266</v>
      </c>
      <c r="L464" t="s">
        <v>161</v>
      </c>
      <c r="M464" t="s">
        <v>161</v>
      </c>
      <c r="N464" t="s">
        <v>114</v>
      </c>
      <c r="O464" s="3" t="str">
        <f t="shared" si="158"/>
        <v>Home Office</v>
      </c>
      <c r="P464" t="s">
        <v>26</v>
      </c>
      <c r="Q464" s="3" t="str">
        <f t="shared" si="159"/>
        <v>North</v>
      </c>
      <c r="R464" t="s">
        <v>505</v>
      </c>
      <c r="S464" t="s">
        <v>506</v>
      </c>
      <c r="T464" t="s">
        <v>29</v>
      </c>
      <c r="U464" s="3" t="str">
        <f t="shared" si="160"/>
        <v>Office Supplies</v>
      </c>
      <c r="V464" t="s">
        <v>197</v>
      </c>
      <c r="W464" t="s">
        <v>2267</v>
      </c>
      <c r="X464" t="s">
        <v>55</v>
      </c>
      <c r="Y464" s="3" t="str">
        <f t="shared" si="161"/>
        <v>First Class</v>
      </c>
      <c r="Z464">
        <v>2</v>
      </c>
      <c r="AA464">
        <v>1275.1400000000001</v>
      </c>
      <c r="AB464">
        <v>0.2</v>
      </c>
      <c r="AC464">
        <f t="shared" si="162"/>
        <v>0.2</v>
      </c>
      <c r="AD464" t="str">
        <f t="shared" si="165"/>
        <v>Valid</v>
      </c>
      <c r="AE464">
        <v>2040.22</v>
      </c>
      <c r="AF464">
        <v>1395.71</v>
      </c>
      <c r="AG464">
        <v>644.51</v>
      </c>
      <c r="AH464" t="s">
        <v>33</v>
      </c>
      <c r="AI464" t="str">
        <f t="shared" si="166"/>
        <v>Include</v>
      </c>
      <c r="AJ464" t="str">
        <f t="shared" si="167"/>
        <v/>
      </c>
      <c r="AK464" t="s">
        <v>34</v>
      </c>
      <c r="AL464" t="str">
        <f t="shared" si="163"/>
        <v>Completed</v>
      </c>
      <c r="AM464" t="str">
        <f t="shared" si="168"/>
        <v>Include</v>
      </c>
      <c r="AN464">
        <f t="shared" si="169"/>
        <v>2040.2240000000002</v>
      </c>
      <c r="AO464">
        <f t="shared" si="170"/>
        <v>644.51400000000012</v>
      </c>
      <c r="AP464">
        <f>IF(AN464=0,0,AO464/AN464)</f>
        <v>0.31590354784572677</v>
      </c>
      <c r="AQ464" t="str">
        <f t="shared" si="171"/>
        <v>September</v>
      </c>
      <c r="AR464">
        <f t="shared" si="172"/>
        <v>2024</v>
      </c>
      <c r="AS464" t="str">
        <f t="shared" si="173"/>
        <v>Clean</v>
      </c>
      <c r="AT464" t="str">
        <f>IF(OR(AC464&lt;0,AC464&gt;0.5),"Invalid Discount","Valid")</f>
        <v>Valid</v>
      </c>
      <c r="AU464" t="str">
        <f>IF(G464&lt;E464,"Invalid Shipping Record","Valid")</f>
        <v>Valid</v>
      </c>
      <c r="AV464" t="str">
        <f>IF(OR(AL464="Cancelled",AH464="Failed"),"Exclude","Include")</f>
        <v>Include</v>
      </c>
      <c r="AW464" t="str">
        <f t="shared" si="174"/>
        <v>Match</v>
      </c>
      <c r="AX464" t="str">
        <f t="shared" si="175"/>
        <v>Match</v>
      </c>
    </row>
    <row r="465" spans="1:50">
      <c r="A465" t="s">
        <v>2268</v>
      </c>
      <c r="B465">
        <f t="shared" si="154"/>
        <v>1</v>
      </c>
      <c r="C465" t="str">
        <f t="shared" si="164"/>
        <v/>
      </c>
      <c r="D465" s="3" t="s">
        <v>440</v>
      </c>
      <c r="E465" s="7">
        <v>45695</v>
      </c>
      <c r="F465" s="3" t="s">
        <v>2269</v>
      </c>
      <c r="G465" s="7">
        <v>45696</v>
      </c>
      <c r="H465" s="7" t="str">
        <f t="shared" si="155"/>
        <v>Valid</v>
      </c>
      <c r="I465" s="9">
        <f t="shared" si="156"/>
        <v>1</v>
      </c>
      <c r="J465" s="9" t="str">
        <f t="shared" si="157"/>
        <v>Valid</v>
      </c>
      <c r="K465" t="s">
        <v>2270</v>
      </c>
      <c r="L465" t="s">
        <v>60</v>
      </c>
      <c r="M465" t="s">
        <v>60</v>
      </c>
      <c r="N465" t="s">
        <v>107</v>
      </c>
      <c r="O465" s="3" t="str">
        <f t="shared" si="158"/>
        <v>Corporate</v>
      </c>
      <c r="P465" t="s">
        <v>72</v>
      </c>
      <c r="Q465" s="3" t="str">
        <f t="shared" si="159"/>
        <v>West</v>
      </c>
      <c r="R465" t="s">
        <v>83</v>
      </c>
      <c r="S465" t="s">
        <v>84</v>
      </c>
      <c r="T465" t="s">
        <v>85</v>
      </c>
      <c r="U465" s="3" t="str">
        <f t="shared" si="160"/>
        <v>Technology</v>
      </c>
      <c r="V465" t="s">
        <v>222</v>
      </c>
      <c r="W465" t="s">
        <v>2271</v>
      </c>
      <c r="X465" t="s">
        <v>66</v>
      </c>
      <c r="Y465" s="3" t="str">
        <f t="shared" si="161"/>
        <v>Standard Class</v>
      </c>
      <c r="Z465">
        <v>4</v>
      </c>
      <c r="AA465">
        <v>889.5</v>
      </c>
      <c r="AB465">
        <v>0.2</v>
      </c>
      <c r="AC465">
        <f t="shared" si="162"/>
        <v>0.2</v>
      </c>
      <c r="AD465" t="str">
        <f t="shared" si="165"/>
        <v>Valid</v>
      </c>
      <c r="AE465">
        <v>2846.4</v>
      </c>
      <c r="AF465">
        <v>2132.37</v>
      </c>
      <c r="AG465">
        <v>714.03</v>
      </c>
      <c r="AH465" t="s">
        <v>33</v>
      </c>
      <c r="AI465" t="str">
        <f t="shared" si="166"/>
        <v>Include</v>
      </c>
      <c r="AJ465" t="str">
        <f t="shared" si="167"/>
        <v/>
      </c>
      <c r="AK465" t="s">
        <v>34</v>
      </c>
      <c r="AL465" t="str">
        <f t="shared" si="163"/>
        <v>Completed</v>
      </c>
      <c r="AM465" t="str">
        <f t="shared" si="168"/>
        <v>Include</v>
      </c>
      <c r="AN465">
        <f t="shared" si="169"/>
        <v>2846.4</v>
      </c>
      <c r="AO465">
        <f t="shared" si="170"/>
        <v>714.0300000000002</v>
      </c>
      <c r="AP465">
        <f>IF(AN465=0,0,AO465/AN465)</f>
        <v>0.25085370994940986</v>
      </c>
      <c r="AQ465" t="str">
        <f t="shared" si="171"/>
        <v>February</v>
      </c>
      <c r="AR465">
        <f t="shared" si="172"/>
        <v>2025</v>
      </c>
      <c r="AS465" t="str">
        <f t="shared" si="173"/>
        <v>Clean</v>
      </c>
      <c r="AT465" t="str">
        <f>IF(OR(AC465&lt;0,AC465&gt;0.5),"Invalid Discount","Valid")</f>
        <v>Valid</v>
      </c>
      <c r="AU465" t="str">
        <f>IF(G465&lt;E465,"Invalid Shipping Record","Valid")</f>
        <v>Valid</v>
      </c>
      <c r="AV465" t="str">
        <f>IF(OR(AL465="Cancelled",AH465="Failed"),"Exclude","Include")</f>
        <v>Include</v>
      </c>
      <c r="AW465" t="str">
        <f t="shared" si="174"/>
        <v>Match</v>
      </c>
      <c r="AX465" t="str">
        <f t="shared" si="175"/>
        <v>Match</v>
      </c>
    </row>
    <row r="466" spans="1:50">
      <c r="A466" t="s">
        <v>2272</v>
      </c>
      <c r="B466">
        <f t="shared" si="154"/>
        <v>1</v>
      </c>
      <c r="C466" t="str">
        <f t="shared" si="164"/>
        <v/>
      </c>
      <c r="D466" s="3" t="s">
        <v>2273</v>
      </c>
      <c r="E466" s="7">
        <v>45727</v>
      </c>
      <c r="F466" s="3" t="s">
        <v>2274</v>
      </c>
      <c r="G466" s="7">
        <v>45731</v>
      </c>
      <c r="H466" s="7" t="str">
        <f t="shared" si="155"/>
        <v>Valid</v>
      </c>
      <c r="I466" s="9">
        <f t="shared" si="156"/>
        <v>4</v>
      </c>
      <c r="J466" s="9" t="str">
        <f t="shared" si="157"/>
        <v>Valid</v>
      </c>
      <c r="K466" t="s">
        <v>2275</v>
      </c>
      <c r="L466" t="s">
        <v>60</v>
      </c>
      <c r="M466" t="s">
        <v>60</v>
      </c>
      <c r="N466" t="s">
        <v>107</v>
      </c>
      <c r="O466" s="3" t="str">
        <f t="shared" si="158"/>
        <v>Corporate</v>
      </c>
      <c r="P466" t="s">
        <v>41</v>
      </c>
      <c r="Q466" s="3" t="str">
        <f t="shared" si="159"/>
        <v>East</v>
      </c>
      <c r="R466" t="s">
        <v>185</v>
      </c>
      <c r="S466" t="s">
        <v>186</v>
      </c>
      <c r="T466" t="s">
        <v>29</v>
      </c>
      <c r="U466" s="3" t="str">
        <f t="shared" si="160"/>
        <v>Office Supplies</v>
      </c>
      <c r="V466" t="s">
        <v>30</v>
      </c>
      <c r="W466" t="s">
        <v>2276</v>
      </c>
      <c r="X466" t="s">
        <v>47</v>
      </c>
      <c r="Y466" s="3" t="str">
        <f t="shared" si="161"/>
        <v>Same Day</v>
      </c>
      <c r="Z466">
        <v>3</v>
      </c>
      <c r="AA466">
        <v>3625.08</v>
      </c>
      <c r="AB466">
        <v>0.05</v>
      </c>
      <c r="AC466">
        <f t="shared" si="162"/>
        <v>0.05</v>
      </c>
      <c r="AD466" t="str">
        <f t="shared" si="165"/>
        <v>Valid</v>
      </c>
      <c r="AE466">
        <v>10331.48</v>
      </c>
      <c r="AF466">
        <v>7131.91</v>
      </c>
      <c r="AG466">
        <v>3199.57</v>
      </c>
      <c r="AH466" t="s">
        <v>136</v>
      </c>
      <c r="AI466" t="str">
        <f t="shared" si="166"/>
        <v>Exclude</v>
      </c>
      <c r="AJ466" t="str">
        <f t="shared" si="167"/>
        <v/>
      </c>
      <c r="AK466" t="s">
        <v>77</v>
      </c>
      <c r="AL466" t="str">
        <f t="shared" si="163"/>
        <v>Cancelled</v>
      </c>
      <c r="AM466" t="str">
        <f t="shared" si="168"/>
        <v>Exclude</v>
      </c>
      <c r="AN466">
        <f t="shared" si="169"/>
        <v>10331.477999999999</v>
      </c>
      <c r="AO466">
        <f t="shared" si="170"/>
        <v>3199.5679999999993</v>
      </c>
      <c r="AP466">
        <f>IF(AN466=0,0,AO466/AN466)</f>
        <v>0.30969121746181905</v>
      </c>
      <c r="AQ466" t="str">
        <f t="shared" si="171"/>
        <v>March</v>
      </c>
      <c r="AR466">
        <f t="shared" si="172"/>
        <v>2025</v>
      </c>
      <c r="AS466" t="str">
        <f t="shared" si="173"/>
        <v>Clean</v>
      </c>
      <c r="AT466" t="str">
        <f>IF(OR(AC466&lt;0,AC466&gt;0.5),"Invalid Discount","Valid")</f>
        <v>Valid</v>
      </c>
      <c r="AU466" t="str">
        <f>IF(G466&lt;E466,"Invalid Shipping Record","Valid")</f>
        <v>Valid</v>
      </c>
      <c r="AV466" t="str">
        <f>IF(OR(AL466="Cancelled",AH466="Failed"),"Exclude","Include")</f>
        <v>Exclude</v>
      </c>
      <c r="AW466" t="str">
        <f t="shared" si="174"/>
        <v>Match</v>
      </c>
      <c r="AX466" t="str">
        <f t="shared" si="175"/>
        <v>Match</v>
      </c>
    </row>
    <row r="467" spans="1:50">
      <c r="A467" t="s">
        <v>2277</v>
      </c>
      <c r="B467">
        <f t="shared" si="154"/>
        <v>1</v>
      </c>
      <c r="C467" t="str">
        <f t="shared" si="164"/>
        <v/>
      </c>
      <c r="D467" s="3" t="s">
        <v>2278</v>
      </c>
      <c r="E467" s="7">
        <v>45320</v>
      </c>
      <c r="F467" s="3" t="s">
        <v>2279</v>
      </c>
      <c r="G467" s="7">
        <v>45328</v>
      </c>
      <c r="H467" s="7" t="str">
        <f t="shared" si="155"/>
        <v>Valid</v>
      </c>
      <c r="I467" s="9">
        <f t="shared" si="156"/>
        <v>8</v>
      </c>
      <c r="J467" s="9" t="str">
        <f t="shared" si="157"/>
        <v>Valid</v>
      </c>
      <c r="K467" t="s">
        <v>2280</v>
      </c>
      <c r="L467" t="s">
        <v>161</v>
      </c>
      <c r="M467" t="s">
        <v>161</v>
      </c>
      <c r="N467" t="s">
        <v>40</v>
      </c>
      <c r="O467" s="3" t="str">
        <f t="shared" si="158"/>
        <v>Small Business</v>
      </c>
      <c r="P467" t="s">
        <v>72</v>
      </c>
      <c r="Q467" s="3" t="str">
        <f t="shared" si="159"/>
        <v>West</v>
      </c>
      <c r="R467" t="s">
        <v>83</v>
      </c>
      <c r="S467" t="s">
        <v>84</v>
      </c>
      <c r="T467" t="s">
        <v>29</v>
      </c>
      <c r="U467" s="3" t="str">
        <f t="shared" si="160"/>
        <v>Office Supplies</v>
      </c>
      <c r="V467" t="s">
        <v>108</v>
      </c>
      <c r="W467" t="s">
        <v>2281</v>
      </c>
      <c r="X467" t="s">
        <v>66</v>
      </c>
      <c r="Y467" s="3" t="str">
        <f t="shared" si="161"/>
        <v>Standard Class</v>
      </c>
      <c r="Z467">
        <v>2</v>
      </c>
      <c r="AA467">
        <v>1258.9000000000001</v>
      </c>
      <c r="AB467">
        <v>0</v>
      </c>
      <c r="AC467">
        <f t="shared" si="162"/>
        <v>0</v>
      </c>
      <c r="AD467" t="str">
        <f t="shared" si="165"/>
        <v>Valid</v>
      </c>
      <c r="AE467">
        <v>2517.8000000000002</v>
      </c>
      <c r="AF467">
        <v>1478.54</v>
      </c>
      <c r="AG467">
        <v>1039.26</v>
      </c>
      <c r="AH467" t="s">
        <v>33</v>
      </c>
      <c r="AI467" t="str">
        <f t="shared" si="166"/>
        <v>Include</v>
      </c>
      <c r="AJ467" t="str">
        <f t="shared" si="167"/>
        <v/>
      </c>
      <c r="AK467" t="s">
        <v>34</v>
      </c>
      <c r="AL467" t="str">
        <f t="shared" si="163"/>
        <v>Completed</v>
      </c>
      <c r="AM467" t="str">
        <f t="shared" si="168"/>
        <v>Include</v>
      </c>
      <c r="AN467">
        <f t="shared" si="169"/>
        <v>2517.8000000000002</v>
      </c>
      <c r="AO467">
        <f t="shared" si="170"/>
        <v>1039.2600000000002</v>
      </c>
      <c r="AP467">
        <f>IF(AN467=0,0,AO467/AN467)</f>
        <v>0.41276511239971408</v>
      </c>
      <c r="AQ467" t="str">
        <f t="shared" si="171"/>
        <v>January</v>
      </c>
      <c r="AR467">
        <f t="shared" si="172"/>
        <v>2024</v>
      </c>
      <c r="AS467" t="str">
        <f t="shared" si="173"/>
        <v>Clean</v>
      </c>
      <c r="AT467" t="str">
        <f>IF(OR(AC467&lt;0,AC467&gt;0.5),"Invalid Discount","Valid")</f>
        <v>Valid</v>
      </c>
      <c r="AU467" t="str">
        <f>IF(G467&lt;E467,"Invalid Shipping Record","Valid")</f>
        <v>Valid</v>
      </c>
      <c r="AV467" t="str">
        <f>IF(OR(AL467="Cancelled",AH467="Failed"),"Exclude","Include")</f>
        <v>Include</v>
      </c>
      <c r="AW467" t="str">
        <f t="shared" si="174"/>
        <v>Match</v>
      </c>
      <c r="AX467" t="str">
        <f t="shared" si="175"/>
        <v>Match</v>
      </c>
    </row>
    <row r="468" spans="1:50">
      <c r="A468" t="s">
        <v>2282</v>
      </c>
      <c r="B468">
        <f t="shared" si="154"/>
        <v>1</v>
      </c>
      <c r="C468" t="str">
        <f t="shared" si="164"/>
        <v/>
      </c>
      <c r="D468" s="3" t="s">
        <v>2283</v>
      </c>
      <c r="E468" s="7">
        <v>45295</v>
      </c>
      <c r="F468" s="3" t="s">
        <v>2284</v>
      </c>
      <c r="G468" s="7">
        <v>45299</v>
      </c>
      <c r="H468" s="7" t="str">
        <f t="shared" si="155"/>
        <v>Valid</v>
      </c>
      <c r="I468" s="9">
        <f t="shared" si="156"/>
        <v>4</v>
      </c>
      <c r="J468" s="9" t="str">
        <f t="shared" si="157"/>
        <v>Valid</v>
      </c>
      <c r="K468" t="s">
        <v>2285</v>
      </c>
      <c r="L468" t="s">
        <v>39</v>
      </c>
      <c r="M468" t="s">
        <v>39</v>
      </c>
      <c r="N468" t="s">
        <v>40</v>
      </c>
      <c r="O468" s="3" t="str">
        <f t="shared" si="158"/>
        <v>Small Business</v>
      </c>
      <c r="P468" t="s">
        <v>41</v>
      </c>
      <c r="Q468" s="3" t="str">
        <f t="shared" si="159"/>
        <v>East</v>
      </c>
      <c r="R468" t="s">
        <v>185</v>
      </c>
      <c r="S468" t="s">
        <v>186</v>
      </c>
      <c r="T468" t="s">
        <v>85</v>
      </c>
      <c r="U468" s="3" t="str">
        <f t="shared" si="160"/>
        <v>Technology</v>
      </c>
      <c r="V468" t="s">
        <v>86</v>
      </c>
      <c r="W468" t="s">
        <v>2286</v>
      </c>
      <c r="X468" t="s">
        <v>47</v>
      </c>
      <c r="Y468" s="3" t="str">
        <f t="shared" si="161"/>
        <v>Same Day</v>
      </c>
      <c r="Z468">
        <v>9</v>
      </c>
      <c r="AA468">
        <v>1591.96</v>
      </c>
      <c r="AB468">
        <v>0.2</v>
      </c>
      <c r="AC468">
        <f t="shared" si="162"/>
        <v>0.2</v>
      </c>
      <c r="AD468" t="str">
        <f t="shared" si="165"/>
        <v>Valid</v>
      </c>
      <c r="AE468">
        <v>11462.11</v>
      </c>
      <c r="AF468">
        <v>7105.48</v>
      </c>
      <c r="AG468">
        <v>4356.63</v>
      </c>
      <c r="AH468" t="s">
        <v>33</v>
      </c>
      <c r="AI468" t="str">
        <f t="shared" si="166"/>
        <v>Include</v>
      </c>
      <c r="AJ468" t="str">
        <f t="shared" si="167"/>
        <v/>
      </c>
      <c r="AK468" t="s">
        <v>34</v>
      </c>
      <c r="AL468" t="str">
        <f t="shared" si="163"/>
        <v>Completed</v>
      </c>
      <c r="AM468" t="str">
        <f t="shared" si="168"/>
        <v>Include</v>
      </c>
      <c r="AN468">
        <f t="shared" si="169"/>
        <v>11462.112000000001</v>
      </c>
      <c r="AO468">
        <f t="shared" si="170"/>
        <v>4356.6320000000014</v>
      </c>
      <c r="AP468">
        <f>IF(AN468=0,0,AO468/AN468)</f>
        <v>0.38008981241851425</v>
      </c>
      <c r="AQ468" t="str">
        <f t="shared" si="171"/>
        <v>January</v>
      </c>
      <c r="AR468">
        <f t="shared" si="172"/>
        <v>2024</v>
      </c>
      <c r="AS468" t="str">
        <f t="shared" si="173"/>
        <v>Clean</v>
      </c>
      <c r="AT468" t="str">
        <f>IF(OR(AC468&lt;0,AC468&gt;0.5),"Invalid Discount","Valid")</f>
        <v>Valid</v>
      </c>
      <c r="AU468" t="str">
        <f>IF(G468&lt;E468,"Invalid Shipping Record","Valid")</f>
        <v>Valid</v>
      </c>
      <c r="AV468" t="str">
        <f>IF(OR(AL468="Cancelled",AH468="Failed"),"Exclude","Include")</f>
        <v>Include</v>
      </c>
      <c r="AW468" t="str">
        <f t="shared" si="174"/>
        <v>Match</v>
      </c>
      <c r="AX468" t="str">
        <f t="shared" si="175"/>
        <v>Match</v>
      </c>
    </row>
    <row r="469" spans="1:50">
      <c r="A469" t="s">
        <v>2287</v>
      </c>
      <c r="B469">
        <f t="shared" si="154"/>
        <v>1</v>
      </c>
      <c r="C469" t="str">
        <f t="shared" si="164"/>
        <v/>
      </c>
      <c r="D469" s="3" t="s">
        <v>2288</v>
      </c>
      <c r="E469" s="7">
        <v>45524</v>
      </c>
      <c r="F469" s="3" t="s">
        <v>1625</v>
      </c>
      <c r="G469" s="7">
        <v>45525</v>
      </c>
      <c r="H469" s="7" t="str">
        <f t="shared" si="155"/>
        <v>Valid</v>
      </c>
      <c r="I469" s="9">
        <f t="shared" si="156"/>
        <v>1</v>
      </c>
      <c r="J469" s="9" t="str">
        <f t="shared" si="157"/>
        <v>Valid</v>
      </c>
      <c r="K469" t="s">
        <v>2289</v>
      </c>
      <c r="L469" t="s">
        <v>106</v>
      </c>
      <c r="M469" t="s">
        <v>106</v>
      </c>
      <c r="N469" t="s">
        <v>107</v>
      </c>
      <c r="O469" s="3" t="str">
        <f t="shared" si="158"/>
        <v>Corporate</v>
      </c>
      <c r="P469" t="s">
        <v>41</v>
      </c>
      <c r="Q469" s="3" t="str">
        <f t="shared" si="159"/>
        <v>East</v>
      </c>
      <c r="R469" t="s">
        <v>42</v>
      </c>
      <c r="S469" t="s">
        <v>43</v>
      </c>
      <c r="T469" t="s">
        <v>85</v>
      </c>
      <c r="U469" s="3" t="str">
        <f t="shared" si="160"/>
        <v>Technology</v>
      </c>
      <c r="V469" t="s">
        <v>93</v>
      </c>
      <c r="W469" t="s">
        <v>2290</v>
      </c>
      <c r="X469" t="s">
        <v>55</v>
      </c>
      <c r="Y469" s="3" t="str">
        <f t="shared" si="161"/>
        <v>First Class</v>
      </c>
      <c r="Z469">
        <v>5</v>
      </c>
      <c r="AA469">
        <v>4288.33</v>
      </c>
      <c r="AB469">
        <v>0.1</v>
      </c>
      <c r="AC469">
        <f t="shared" si="162"/>
        <v>0.1</v>
      </c>
      <c r="AD469" t="str">
        <f t="shared" si="165"/>
        <v>Valid</v>
      </c>
      <c r="AE469">
        <v>19297.490000000002</v>
      </c>
      <c r="AF469">
        <v>15451.66</v>
      </c>
      <c r="AG469">
        <v>3845.83</v>
      </c>
      <c r="AH469" t="s">
        <v>123</v>
      </c>
      <c r="AI469" t="str">
        <f t="shared" si="166"/>
        <v>Exclude</v>
      </c>
      <c r="AJ469" t="str">
        <f t="shared" si="167"/>
        <v>Refunded Order</v>
      </c>
      <c r="AK469" t="s">
        <v>77</v>
      </c>
      <c r="AL469" t="str">
        <f t="shared" si="163"/>
        <v>Cancelled</v>
      </c>
      <c r="AM469" t="str">
        <f t="shared" si="168"/>
        <v>Exclude</v>
      </c>
      <c r="AN469">
        <f t="shared" si="169"/>
        <v>19297.485000000001</v>
      </c>
      <c r="AO469">
        <f t="shared" si="170"/>
        <v>3845.8250000000007</v>
      </c>
      <c r="AP469">
        <f>IF(AN469=0,0,AO469/AN469)</f>
        <v>0.1992915138941681</v>
      </c>
      <c r="AQ469" t="str">
        <f t="shared" si="171"/>
        <v>August</v>
      </c>
      <c r="AR469">
        <f t="shared" si="172"/>
        <v>2024</v>
      </c>
      <c r="AS469" t="str">
        <f t="shared" si="173"/>
        <v>Clean</v>
      </c>
      <c r="AT469" t="str">
        <f>IF(OR(AC469&lt;0,AC469&gt;0.5),"Invalid Discount","Valid")</f>
        <v>Valid</v>
      </c>
      <c r="AU469" t="str">
        <f>IF(G469&lt;E469,"Invalid Shipping Record","Valid")</f>
        <v>Valid</v>
      </c>
      <c r="AV469" t="str">
        <f>IF(OR(AL469="Cancelled",AH469="Failed"),"Exclude","Include")</f>
        <v>Exclude</v>
      </c>
      <c r="AW469" t="str">
        <f t="shared" si="174"/>
        <v>Match</v>
      </c>
      <c r="AX469" t="str">
        <f t="shared" si="175"/>
        <v>Match</v>
      </c>
    </row>
    <row r="470" spans="1:50">
      <c r="A470" t="s">
        <v>2291</v>
      </c>
      <c r="B470">
        <f t="shared" si="154"/>
        <v>1</v>
      </c>
      <c r="C470" t="str">
        <f t="shared" si="164"/>
        <v/>
      </c>
      <c r="D470" s="3" t="s">
        <v>2292</v>
      </c>
      <c r="E470" s="7">
        <v>45666</v>
      </c>
      <c r="F470" s="3" t="s">
        <v>2293</v>
      </c>
      <c r="G470" s="7">
        <v>45664</v>
      </c>
      <c r="H470" s="7" t="str">
        <f t="shared" si="155"/>
        <v>Invalid Shipping Record</v>
      </c>
      <c r="I470" s="9">
        <f t="shared" si="156"/>
        <v>-2</v>
      </c>
      <c r="J470" s="9" t="str">
        <f t="shared" si="157"/>
        <v>Invalid Shipping Record</v>
      </c>
      <c r="K470" t="s">
        <v>2294</v>
      </c>
      <c r="L470" t="s">
        <v>161</v>
      </c>
      <c r="M470" t="s">
        <v>161</v>
      </c>
      <c r="N470" t="s">
        <v>114</v>
      </c>
      <c r="O470" s="3" t="str">
        <f t="shared" si="158"/>
        <v>Home Office</v>
      </c>
      <c r="P470" t="s">
        <v>41</v>
      </c>
      <c r="Q470" s="3" t="str">
        <f t="shared" si="159"/>
        <v>East</v>
      </c>
      <c r="R470" t="s">
        <v>120</v>
      </c>
      <c r="S470" t="s">
        <v>121</v>
      </c>
      <c r="T470" t="s">
        <v>29</v>
      </c>
      <c r="U470" s="3" t="str">
        <f t="shared" si="160"/>
        <v>Office Supplies</v>
      </c>
      <c r="V470" t="s">
        <v>197</v>
      </c>
      <c r="W470" t="s">
        <v>2295</v>
      </c>
      <c r="X470" t="s">
        <v>32</v>
      </c>
      <c r="Y470" s="3" t="str">
        <f t="shared" si="161"/>
        <v>Second Class</v>
      </c>
      <c r="Z470">
        <v>3</v>
      </c>
      <c r="AA470">
        <v>2188.33</v>
      </c>
      <c r="AB470">
        <v>0</v>
      </c>
      <c r="AC470">
        <f t="shared" si="162"/>
        <v>0</v>
      </c>
      <c r="AD470" t="str">
        <f t="shared" si="165"/>
        <v>Valid</v>
      </c>
      <c r="AE470">
        <v>6564.99</v>
      </c>
      <c r="AF470">
        <v>5407.24</v>
      </c>
      <c r="AG470">
        <v>1157.75</v>
      </c>
      <c r="AH470" t="s">
        <v>33</v>
      </c>
      <c r="AI470" t="str">
        <f t="shared" si="166"/>
        <v>Include</v>
      </c>
      <c r="AJ470" t="str">
        <f t="shared" si="167"/>
        <v/>
      </c>
      <c r="AK470" t="s">
        <v>34</v>
      </c>
      <c r="AL470" t="str">
        <f t="shared" si="163"/>
        <v>Completed</v>
      </c>
      <c r="AM470" t="str">
        <f t="shared" si="168"/>
        <v>Include</v>
      </c>
      <c r="AN470">
        <f t="shared" si="169"/>
        <v>6564.99</v>
      </c>
      <c r="AO470">
        <f t="shared" si="170"/>
        <v>1157.75</v>
      </c>
      <c r="AP470">
        <f>IF(AN470=0,0,AO470/AN470)</f>
        <v>0.17635213458055535</v>
      </c>
      <c r="AQ470" t="str">
        <f t="shared" si="171"/>
        <v>January</v>
      </c>
      <c r="AR470">
        <f t="shared" si="172"/>
        <v>2025</v>
      </c>
      <c r="AS470" t="str">
        <f t="shared" si="173"/>
        <v>Invalid</v>
      </c>
      <c r="AT470" t="str">
        <f>IF(OR(AC470&lt;0,AC470&gt;0.5),"Invalid Discount","Valid")</f>
        <v>Valid</v>
      </c>
      <c r="AU470" t="str">
        <f>IF(G470&lt;E470,"Invalid Shipping Record","Valid")</f>
        <v>Invalid Shipping Record</v>
      </c>
      <c r="AV470" t="str">
        <f>IF(OR(AL470="Cancelled",AH470="Failed"),"Exclude","Include")</f>
        <v>Include</v>
      </c>
      <c r="AW470" t="str">
        <f t="shared" si="174"/>
        <v>Match</v>
      </c>
      <c r="AX470" t="str">
        <f t="shared" si="175"/>
        <v>Match</v>
      </c>
    </row>
    <row r="471" spans="1:50">
      <c r="A471" t="s">
        <v>2296</v>
      </c>
      <c r="B471">
        <f t="shared" si="154"/>
        <v>1</v>
      </c>
      <c r="C471" t="str">
        <f t="shared" si="164"/>
        <v/>
      </c>
      <c r="D471" s="3" t="s">
        <v>2297</v>
      </c>
      <c r="E471" s="7">
        <v>45310</v>
      </c>
      <c r="F471" s="3" t="s">
        <v>2050</v>
      </c>
      <c r="G471" s="7">
        <v>45316</v>
      </c>
      <c r="H471" s="7" t="str">
        <f t="shared" si="155"/>
        <v>Valid</v>
      </c>
      <c r="I471" s="9">
        <f t="shared" si="156"/>
        <v>6</v>
      </c>
      <c r="J471" s="9" t="str">
        <f t="shared" si="157"/>
        <v>Valid</v>
      </c>
      <c r="K471" t="s">
        <v>2298</v>
      </c>
      <c r="L471" t="s">
        <v>106</v>
      </c>
      <c r="M471" t="s">
        <v>106</v>
      </c>
      <c r="N471" t="s">
        <v>107</v>
      </c>
      <c r="O471" s="3" t="str">
        <f t="shared" si="158"/>
        <v>Corporate</v>
      </c>
      <c r="P471" t="s">
        <v>72</v>
      </c>
      <c r="Q471" s="3" t="str">
        <f t="shared" si="159"/>
        <v>West</v>
      </c>
      <c r="R471" t="s">
        <v>248</v>
      </c>
      <c r="S471" t="s">
        <v>249</v>
      </c>
      <c r="T471" t="s">
        <v>85</v>
      </c>
      <c r="U471" s="3" t="str">
        <f t="shared" si="160"/>
        <v>Technology</v>
      </c>
      <c r="V471" t="s">
        <v>93</v>
      </c>
      <c r="W471" t="s">
        <v>2299</v>
      </c>
      <c r="X471" t="s">
        <v>55</v>
      </c>
      <c r="Y471" s="3" t="str">
        <f t="shared" si="161"/>
        <v>First Class</v>
      </c>
      <c r="Z471">
        <v>3</v>
      </c>
      <c r="AA471">
        <v>1041.6600000000001</v>
      </c>
      <c r="AB471">
        <v>0.1</v>
      </c>
      <c r="AC471">
        <f t="shared" si="162"/>
        <v>0.1</v>
      </c>
      <c r="AD471" t="str">
        <f t="shared" si="165"/>
        <v>Valid</v>
      </c>
      <c r="AE471">
        <v>2812.48</v>
      </c>
      <c r="AF471">
        <v>2282.12</v>
      </c>
      <c r="AG471">
        <v>530.36</v>
      </c>
      <c r="AH471" t="s">
        <v>33</v>
      </c>
      <c r="AI471" t="str">
        <f t="shared" si="166"/>
        <v>Include</v>
      </c>
      <c r="AJ471" t="str">
        <f t="shared" si="167"/>
        <v/>
      </c>
      <c r="AK471" t="s">
        <v>34</v>
      </c>
      <c r="AL471" t="str">
        <f t="shared" si="163"/>
        <v>Completed</v>
      </c>
      <c r="AM471" t="str">
        <f t="shared" si="168"/>
        <v>Include</v>
      </c>
      <c r="AN471">
        <f t="shared" si="169"/>
        <v>2812.4820000000004</v>
      </c>
      <c r="AO471">
        <f t="shared" si="170"/>
        <v>530.36200000000053</v>
      </c>
      <c r="AP471">
        <f>IF(AN471=0,0,AO471/AN471)</f>
        <v>0.18857436243147527</v>
      </c>
      <c r="AQ471" t="str">
        <f t="shared" si="171"/>
        <v>January</v>
      </c>
      <c r="AR471">
        <f t="shared" si="172"/>
        <v>2024</v>
      </c>
      <c r="AS471" t="str">
        <f t="shared" si="173"/>
        <v>Clean</v>
      </c>
      <c r="AT471" t="str">
        <f>IF(OR(AC471&lt;0,AC471&gt;0.5),"Invalid Discount","Valid")</f>
        <v>Valid</v>
      </c>
      <c r="AU471" t="str">
        <f>IF(G471&lt;E471,"Invalid Shipping Record","Valid")</f>
        <v>Valid</v>
      </c>
      <c r="AV471" t="str">
        <f>IF(OR(AL471="Cancelled",AH471="Failed"),"Exclude","Include")</f>
        <v>Include</v>
      </c>
      <c r="AW471" t="str">
        <f t="shared" si="174"/>
        <v>Match</v>
      </c>
      <c r="AX471" t="str">
        <f t="shared" si="175"/>
        <v>Match</v>
      </c>
    </row>
    <row r="472" spans="1:50">
      <c r="A472" t="s">
        <v>2300</v>
      </c>
      <c r="B472">
        <f t="shared" si="154"/>
        <v>1</v>
      </c>
      <c r="C472" t="str">
        <f t="shared" si="164"/>
        <v/>
      </c>
      <c r="D472" s="3" t="s">
        <v>2301</v>
      </c>
      <c r="E472" s="7">
        <v>45501</v>
      </c>
      <c r="F472" s="3" t="s">
        <v>1593</v>
      </c>
      <c r="G472" s="7">
        <v>45504</v>
      </c>
      <c r="H472" s="7" t="str">
        <f t="shared" si="155"/>
        <v>Valid</v>
      </c>
      <c r="I472" s="9">
        <f t="shared" si="156"/>
        <v>3</v>
      </c>
      <c r="J472" s="9" t="str">
        <f t="shared" si="157"/>
        <v>Valid</v>
      </c>
      <c r="K472" t="s">
        <v>2302</v>
      </c>
      <c r="L472" t="s">
        <v>106</v>
      </c>
      <c r="M472" t="s">
        <v>106</v>
      </c>
      <c r="N472" t="s">
        <v>25</v>
      </c>
      <c r="O472" s="3" t="str">
        <f t="shared" si="158"/>
        <v>Consumer</v>
      </c>
      <c r="P472" t="s">
        <v>26</v>
      </c>
      <c r="Q472" s="3" t="str">
        <f t="shared" si="159"/>
        <v>North</v>
      </c>
      <c r="R472" t="s">
        <v>27</v>
      </c>
      <c r="S472" t="s">
        <v>28</v>
      </c>
      <c r="T472" t="s">
        <v>44</v>
      </c>
      <c r="U472" s="3" t="str">
        <f t="shared" si="160"/>
        <v>Furniture</v>
      </c>
      <c r="V472" t="s">
        <v>45</v>
      </c>
      <c r="W472" t="s">
        <v>2303</v>
      </c>
      <c r="X472" t="s">
        <v>47</v>
      </c>
      <c r="Y472" s="3" t="str">
        <f t="shared" si="161"/>
        <v>Same Day</v>
      </c>
      <c r="Z472">
        <v>2</v>
      </c>
      <c r="AA472">
        <v>4424.78</v>
      </c>
      <c r="AB472">
        <v>0.2</v>
      </c>
      <c r="AC472">
        <f t="shared" si="162"/>
        <v>0.2</v>
      </c>
      <c r="AD472" t="str">
        <f t="shared" si="165"/>
        <v>Valid</v>
      </c>
      <c r="AE472">
        <v>7079.65</v>
      </c>
      <c r="AF472">
        <v>4465.91</v>
      </c>
      <c r="AG472">
        <v>2613.7399999999998</v>
      </c>
      <c r="AH472" t="s">
        <v>33</v>
      </c>
      <c r="AI472" t="str">
        <f t="shared" si="166"/>
        <v>Include</v>
      </c>
      <c r="AJ472" t="str">
        <f t="shared" si="167"/>
        <v/>
      </c>
      <c r="AK472" t="s">
        <v>34</v>
      </c>
      <c r="AL472" t="str">
        <f t="shared" si="163"/>
        <v>Completed</v>
      </c>
      <c r="AM472" t="str">
        <f t="shared" si="168"/>
        <v>Include</v>
      </c>
      <c r="AN472">
        <f t="shared" si="169"/>
        <v>7079.6480000000001</v>
      </c>
      <c r="AO472">
        <f t="shared" si="170"/>
        <v>2613.7380000000003</v>
      </c>
      <c r="AP472">
        <f>IF(AN472=0,0,AO472/AN472)</f>
        <v>0.36919038912669105</v>
      </c>
      <c r="AQ472" t="str">
        <f t="shared" si="171"/>
        <v>July</v>
      </c>
      <c r="AR472">
        <f t="shared" si="172"/>
        <v>2024</v>
      </c>
      <c r="AS472" t="str">
        <f t="shared" si="173"/>
        <v>Clean</v>
      </c>
      <c r="AT472" t="str">
        <f>IF(OR(AC472&lt;0,AC472&gt;0.5),"Invalid Discount","Valid")</f>
        <v>Valid</v>
      </c>
      <c r="AU472" t="str">
        <f>IF(G472&lt;E472,"Invalid Shipping Record","Valid")</f>
        <v>Valid</v>
      </c>
      <c r="AV472" t="str">
        <f>IF(OR(AL472="Cancelled",AH472="Failed"),"Exclude","Include")</f>
        <v>Include</v>
      </c>
      <c r="AW472" t="str">
        <f t="shared" si="174"/>
        <v>Match</v>
      </c>
      <c r="AX472" t="str">
        <f t="shared" si="175"/>
        <v>Match</v>
      </c>
    </row>
    <row r="473" spans="1:50">
      <c r="A473" t="s">
        <v>2304</v>
      </c>
      <c r="B473">
        <f t="shared" si="154"/>
        <v>1</v>
      </c>
      <c r="C473" t="str">
        <f t="shared" si="164"/>
        <v/>
      </c>
      <c r="D473" s="3" t="s">
        <v>2305</v>
      </c>
      <c r="E473" s="7">
        <v>45333</v>
      </c>
      <c r="F473" s="3" t="s">
        <v>2306</v>
      </c>
      <c r="G473" s="7">
        <v>45337</v>
      </c>
      <c r="H473" s="7" t="str">
        <f t="shared" si="155"/>
        <v>Valid</v>
      </c>
      <c r="I473" s="9">
        <f t="shared" si="156"/>
        <v>4</v>
      </c>
      <c r="J473" s="9" t="str">
        <f t="shared" si="157"/>
        <v>Valid</v>
      </c>
      <c r="K473" t="s">
        <v>2307</v>
      </c>
      <c r="L473" t="s">
        <v>365</v>
      </c>
      <c r="M473" t="s">
        <v>365</v>
      </c>
      <c r="N473" t="s">
        <v>25</v>
      </c>
      <c r="O473" s="3" t="str">
        <f t="shared" si="158"/>
        <v>Consumer</v>
      </c>
      <c r="P473" t="s">
        <v>61</v>
      </c>
      <c r="Q473" s="3" t="str">
        <f t="shared" si="159"/>
        <v>South</v>
      </c>
      <c r="R473" t="s">
        <v>62</v>
      </c>
      <c r="S473" t="s">
        <v>63</v>
      </c>
      <c r="T473" t="s">
        <v>29</v>
      </c>
      <c r="U473" s="3" t="str">
        <f t="shared" si="160"/>
        <v>Office Supplies</v>
      </c>
      <c r="V473" t="s">
        <v>197</v>
      </c>
      <c r="W473" t="s">
        <v>2308</v>
      </c>
      <c r="X473" t="s">
        <v>66</v>
      </c>
      <c r="Y473" s="3" t="str">
        <f t="shared" si="161"/>
        <v>Standard Class</v>
      </c>
      <c r="Z473">
        <v>3</v>
      </c>
      <c r="AA473">
        <v>3019.14</v>
      </c>
      <c r="AB473">
        <v>0.25</v>
      </c>
      <c r="AC473">
        <f t="shared" si="162"/>
        <v>0.25</v>
      </c>
      <c r="AD473" t="str">
        <f t="shared" si="165"/>
        <v>Valid</v>
      </c>
      <c r="AE473">
        <v>6793.07</v>
      </c>
      <c r="AF473">
        <v>4985.22</v>
      </c>
      <c r="AG473">
        <v>1807.85</v>
      </c>
      <c r="AH473" t="s">
        <v>33</v>
      </c>
      <c r="AI473" t="str">
        <f t="shared" si="166"/>
        <v>Include</v>
      </c>
      <c r="AJ473" t="str">
        <f t="shared" si="167"/>
        <v/>
      </c>
      <c r="AK473" t="s">
        <v>34</v>
      </c>
      <c r="AL473" t="str">
        <f t="shared" si="163"/>
        <v>Completed</v>
      </c>
      <c r="AM473" t="str">
        <f t="shared" si="168"/>
        <v>Include</v>
      </c>
      <c r="AN473">
        <f t="shared" si="169"/>
        <v>6793.0650000000005</v>
      </c>
      <c r="AO473">
        <f t="shared" si="170"/>
        <v>1807.8450000000003</v>
      </c>
      <c r="AP473">
        <f>IF(AN473=0,0,AO473/AN473)</f>
        <v>0.26613097327936652</v>
      </c>
      <c r="AQ473" t="str">
        <f t="shared" si="171"/>
        <v>February</v>
      </c>
      <c r="AR473">
        <f t="shared" si="172"/>
        <v>2024</v>
      </c>
      <c r="AS473" t="str">
        <f t="shared" si="173"/>
        <v>Clean</v>
      </c>
      <c r="AT473" t="str">
        <f>IF(OR(AC473&lt;0,AC473&gt;0.5),"Invalid Discount","Valid")</f>
        <v>Valid</v>
      </c>
      <c r="AU473" t="str">
        <f>IF(G473&lt;E473,"Invalid Shipping Record","Valid")</f>
        <v>Valid</v>
      </c>
      <c r="AV473" t="str">
        <f>IF(OR(AL473="Cancelled",AH473="Failed"),"Exclude","Include")</f>
        <v>Include</v>
      </c>
      <c r="AW473" t="str">
        <f t="shared" si="174"/>
        <v>Match</v>
      </c>
      <c r="AX473" t="str">
        <f t="shared" si="175"/>
        <v>Match</v>
      </c>
    </row>
    <row r="474" spans="1:50">
      <c r="A474" t="s">
        <v>2309</v>
      </c>
      <c r="B474">
        <f t="shared" si="154"/>
        <v>1</v>
      </c>
      <c r="C474" t="str">
        <f t="shared" si="164"/>
        <v/>
      </c>
      <c r="D474" s="3" t="s">
        <v>2310</v>
      </c>
      <c r="E474" s="7">
        <v>45353</v>
      </c>
      <c r="F474" s="3" t="s">
        <v>1505</v>
      </c>
      <c r="G474" s="7">
        <v>45358</v>
      </c>
      <c r="H474" s="7" t="str">
        <f t="shared" si="155"/>
        <v>Valid</v>
      </c>
      <c r="I474" s="9">
        <f t="shared" si="156"/>
        <v>5</v>
      </c>
      <c r="J474" s="9" t="str">
        <f t="shared" si="157"/>
        <v>Valid</v>
      </c>
      <c r="K474" t="s">
        <v>2311</v>
      </c>
      <c r="L474" t="s">
        <v>179</v>
      </c>
      <c r="M474" t="s">
        <v>179</v>
      </c>
      <c r="N474" t="s">
        <v>107</v>
      </c>
      <c r="O474" s="3" t="str">
        <f t="shared" si="158"/>
        <v>Corporate</v>
      </c>
      <c r="P474" t="s">
        <v>41</v>
      </c>
      <c r="Q474" s="3" t="str">
        <f t="shared" si="159"/>
        <v>East</v>
      </c>
      <c r="R474" t="s">
        <v>42</v>
      </c>
      <c r="S474" t="s">
        <v>43</v>
      </c>
      <c r="T474" t="s">
        <v>29</v>
      </c>
      <c r="U474" s="3" t="str">
        <f t="shared" si="160"/>
        <v>Office Supplies</v>
      </c>
      <c r="V474" t="s">
        <v>155</v>
      </c>
      <c r="W474" t="s">
        <v>2312</v>
      </c>
      <c r="X474" t="s">
        <v>66</v>
      </c>
      <c r="Y474" s="3" t="str">
        <f t="shared" si="161"/>
        <v>Standard Class</v>
      </c>
      <c r="Z474">
        <v>7</v>
      </c>
      <c r="AA474">
        <v>263.45999999999998</v>
      </c>
      <c r="AB474">
        <v>0</v>
      </c>
      <c r="AC474">
        <f t="shared" si="162"/>
        <v>0</v>
      </c>
      <c r="AD474" t="str">
        <f t="shared" si="165"/>
        <v>Valid</v>
      </c>
      <c r="AE474">
        <v>1844.22</v>
      </c>
      <c r="AF474">
        <v>1094.21</v>
      </c>
      <c r="AG474">
        <v>750.01</v>
      </c>
      <c r="AH474" t="s">
        <v>33</v>
      </c>
      <c r="AI474" t="str">
        <f t="shared" si="166"/>
        <v>Include</v>
      </c>
      <c r="AJ474" t="str">
        <f t="shared" si="167"/>
        <v/>
      </c>
      <c r="AK474" t="s">
        <v>34</v>
      </c>
      <c r="AL474" t="str">
        <f t="shared" si="163"/>
        <v>Completed</v>
      </c>
      <c r="AM474" t="str">
        <f t="shared" si="168"/>
        <v>Include</v>
      </c>
      <c r="AN474">
        <f t="shared" si="169"/>
        <v>1844.2199999999998</v>
      </c>
      <c r="AO474">
        <f t="shared" si="170"/>
        <v>750.00999999999976</v>
      </c>
      <c r="AP474">
        <f>IF(AN474=0,0,AO474/AN474)</f>
        <v>0.40668141544934977</v>
      </c>
      <c r="AQ474" t="str">
        <f t="shared" si="171"/>
        <v>March</v>
      </c>
      <c r="AR474">
        <f t="shared" si="172"/>
        <v>2024</v>
      </c>
      <c r="AS474" t="str">
        <f t="shared" si="173"/>
        <v>Clean</v>
      </c>
      <c r="AT474" t="str">
        <f>IF(OR(AC474&lt;0,AC474&gt;0.5),"Invalid Discount","Valid")</f>
        <v>Valid</v>
      </c>
      <c r="AU474" t="str">
        <f>IF(G474&lt;E474,"Invalid Shipping Record","Valid")</f>
        <v>Valid</v>
      </c>
      <c r="AV474" t="str">
        <f>IF(OR(AL474="Cancelled",AH474="Failed"),"Exclude","Include")</f>
        <v>Include</v>
      </c>
      <c r="AW474" t="str">
        <f t="shared" si="174"/>
        <v>Match</v>
      </c>
      <c r="AX474" t="str">
        <f t="shared" si="175"/>
        <v>Match</v>
      </c>
    </row>
    <row r="475" spans="1:50">
      <c r="A475" t="s">
        <v>2313</v>
      </c>
      <c r="B475">
        <f t="shared" si="154"/>
        <v>1</v>
      </c>
      <c r="C475" t="str">
        <f t="shared" si="164"/>
        <v/>
      </c>
      <c r="D475" s="3" t="s">
        <v>2314</v>
      </c>
      <c r="E475" s="7">
        <v>45609</v>
      </c>
      <c r="F475" s="3" t="s">
        <v>444</v>
      </c>
      <c r="G475" s="7">
        <v>45609</v>
      </c>
      <c r="H475" s="7" t="str">
        <f t="shared" si="155"/>
        <v>Valid</v>
      </c>
      <c r="I475" s="9">
        <f t="shared" si="156"/>
        <v>0</v>
      </c>
      <c r="J475" s="9" t="str">
        <f t="shared" si="157"/>
        <v>Valid</v>
      </c>
      <c r="K475" t="s">
        <v>2315</v>
      </c>
      <c r="L475" t="s">
        <v>141</v>
      </c>
      <c r="M475" t="s">
        <v>141</v>
      </c>
      <c r="N475" t="s">
        <v>25</v>
      </c>
      <c r="O475" s="3" t="str">
        <f t="shared" si="158"/>
        <v>Consumer</v>
      </c>
      <c r="P475" t="s">
        <v>72</v>
      </c>
      <c r="Q475" s="3" t="str">
        <f t="shared" si="159"/>
        <v>West</v>
      </c>
      <c r="R475" t="s">
        <v>248</v>
      </c>
      <c r="S475" t="s">
        <v>249</v>
      </c>
      <c r="T475" t="s">
        <v>85</v>
      </c>
      <c r="U475" s="3" t="str">
        <f t="shared" si="160"/>
        <v>Technology</v>
      </c>
      <c r="V475" t="s">
        <v>93</v>
      </c>
      <c r="W475" t="s">
        <v>2316</v>
      </c>
      <c r="X475" t="s">
        <v>66</v>
      </c>
      <c r="Y475" s="3" t="str">
        <f t="shared" si="161"/>
        <v>Standard Class</v>
      </c>
      <c r="Z475">
        <v>6</v>
      </c>
      <c r="AA475">
        <v>191.45</v>
      </c>
      <c r="AB475">
        <v>0.2</v>
      </c>
      <c r="AC475">
        <f t="shared" si="162"/>
        <v>0.2</v>
      </c>
      <c r="AD475" t="str">
        <f t="shared" si="165"/>
        <v>Valid</v>
      </c>
      <c r="AE475">
        <v>918.96</v>
      </c>
      <c r="AF475">
        <v>554.17999999999995</v>
      </c>
      <c r="AG475">
        <v>364.78</v>
      </c>
      <c r="AH475" t="s">
        <v>33</v>
      </c>
      <c r="AI475" t="str">
        <f t="shared" si="166"/>
        <v>Include</v>
      </c>
      <c r="AJ475" t="str">
        <f t="shared" si="167"/>
        <v/>
      </c>
      <c r="AK475" t="s">
        <v>34</v>
      </c>
      <c r="AL475" t="str">
        <f t="shared" si="163"/>
        <v>Completed</v>
      </c>
      <c r="AM475" t="str">
        <f t="shared" si="168"/>
        <v>Include</v>
      </c>
      <c r="AN475">
        <f t="shared" si="169"/>
        <v>918.95999999999992</v>
      </c>
      <c r="AO475">
        <f t="shared" si="170"/>
        <v>364.78</v>
      </c>
      <c r="AP475">
        <f>IF(AN475=0,0,AO475/AN475)</f>
        <v>0.39694872464525116</v>
      </c>
      <c r="AQ475" t="str">
        <f t="shared" si="171"/>
        <v>November</v>
      </c>
      <c r="AR475">
        <f t="shared" si="172"/>
        <v>2024</v>
      </c>
      <c r="AS475" t="str">
        <f t="shared" si="173"/>
        <v>Clean</v>
      </c>
      <c r="AT475" t="str">
        <f>IF(OR(AC475&lt;0,AC475&gt;0.5),"Invalid Discount","Valid")</f>
        <v>Valid</v>
      </c>
      <c r="AU475" t="str">
        <f>IF(G475&lt;E475,"Invalid Shipping Record","Valid")</f>
        <v>Valid</v>
      </c>
      <c r="AV475" t="str">
        <f>IF(OR(AL475="Cancelled",AH475="Failed"),"Exclude","Include")</f>
        <v>Include</v>
      </c>
      <c r="AW475" t="str">
        <f t="shared" si="174"/>
        <v>Match</v>
      </c>
      <c r="AX475" t="str">
        <f t="shared" si="175"/>
        <v>Match</v>
      </c>
    </row>
    <row r="476" spans="1:50">
      <c r="A476" t="s">
        <v>2317</v>
      </c>
      <c r="B476">
        <f t="shared" ref="B476:B539" si="176">COUNTIF($A:$A,A476)</f>
        <v>1</v>
      </c>
      <c r="C476" t="str">
        <f t="shared" si="164"/>
        <v/>
      </c>
      <c r="D476" s="3" t="s">
        <v>1219</v>
      </c>
      <c r="E476" s="7">
        <v>45446</v>
      </c>
      <c r="F476" s="3" t="s">
        <v>2318</v>
      </c>
      <c r="G476" s="7">
        <v>45453</v>
      </c>
      <c r="H476" s="7" t="str">
        <f t="shared" si="155"/>
        <v>Valid</v>
      </c>
      <c r="I476" s="9">
        <f t="shared" si="156"/>
        <v>7</v>
      </c>
      <c r="J476" s="9" t="str">
        <f t="shared" si="157"/>
        <v>Valid</v>
      </c>
      <c r="K476" t="s">
        <v>2319</v>
      </c>
      <c r="L476" t="s">
        <v>209</v>
      </c>
      <c r="M476" t="s">
        <v>209</v>
      </c>
      <c r="N476" t="s">
        <v>107</v>
      </c>
      <c r="O476" s="3" t="str">
        <f t="shared" si="158"/>
        <v>Corporate</v>
      </c>
      <c r="P476" t="s">
        <v>26</v>
      </c>
      <c r="Q476" s="3" t="str">
        <f t="shared" si="159"/>
        <v>North</v>
      </c>
      <c r="R476" t="s">
        <v>153</v>
      </c>
      <c r="S476" t="s">
        <v>154</v>
      </c>
      <c r="T476" t="s">
        <v>44</v>
      </c>
      <c r="U476" s="3" t="str">
        <f t="shared" si="160"/>
        <v>Furniture</v>
      </c>
      <c r="V476" t="s">
        <v>64</v>
      </c>
      <c r="W476" t="s">
        <v>2320</v>
      </c>
      <c r="X476" t="s">
        <v>66</v>
      </c>
      <c r="Y476" s="3" t="str">
        <f t="shared" si="161"/>
        <v>Standard Class</v>
      </c>
      <c r="Z476">
        <v>3</v>
      </c>
      <c r="AA476">
        <v>1633.57</v>
      </c>
      <c r="AB476">
        <v>0</v>
      </c>
      <c r="AC476">
        <f t="shared" si="162"/>
        <v>0</v>
      </c>
      <c r="AD476" t="str">
        <f t="shared" si="165"/>
        <v>Valid</v>
      </c>
      <c r="AE476">
        <v>4900.71</v>
      </c>
      <c r="AF476">
        <v>2713.9</v>
      </c>
      <c r="AG476">
        <v>2186.81</v>
      </c>
      <c r="AH476" t="s">
        <v>33</v>
      </c>
      <c r="AI476" t="str">
        <f t="shared" si="166"/>
        <v>Include</v>
      </c>
      <c r="AJ476" t="str">
        <f t="shared" si="167"/>
        <v/>
      </c>
      <c r="AK476" t="s">
        <v>34</v>
      </c>
      <c r="AL476" t="str">
        <f t="shared" si="163"/>
        <v>Completed</v>
      </c>
      <c r="AM476" t="str">
        <f t="shared" si="168"/>
        <v>Include</v>
      </c>
      <c r="AN476">
        <f t="shared" si="169"/>
        <v>4900.71</v>
      </c>
      <c r="AO476">
        <f t="shared" si="170"/>
        <v>2186.81</v>
      </c>
      <c r="AP476">
        <f>IF(AN476=0,0,AO476/AN476)</f>
        <v>0.44622309828575857</v>
      </c>
      <c r="AQ476" t="str">
        <f t="shared" si="171"/>
        <v>June</v>
      </c>
      <c r="AR476">
        <f t="shared" si="172"/>
        <v>2024</v>
      </c>
      <c r="AS476" t="str">
        <f t="shared" si="173"/>
        <v>Clean</v>
      </c>
      <c r="AT476" t="str">
        <f>IF(OR(AC476&lt;0,AC476&gt;0.5),"Invalid Discount","Valid")</f>
        <v>Valid</v>
      </c>
      <c r="AU476" t="str">
        <f>IF(G476&lt;E476,"Invalid Shipping Record","Valid")</f>
        <v>Valid</v>
      </c>
      <c r="AV476" t="str">
        <f>IF(OR(AL476="Cancelled",AH476="Failed"),"Exclude","Include")</f>
        <v>Include</v>
      </c>
      <c r="AW476" t="str">
        <f t="shared" si="174"/>
        <v>Match</v>
      </c>
      <c r="AX476" t="str">
        <f t="shared" si="175"/>
        <v>Match</v>
      </c>
    </row>
    <row r="477" spans="1:50">
      <c r="A477" t="s">
        <v>2321</v>
      </c>
      <c r="B477">
        <f t="shared" si="176"/>
        <v>1</v>
      </c>
      <c r="C477" t="str">
        <f t="shared" si="164"/>
        <v/>
      </c>
      <c r="D477" s="3" t="s">
        <v>2322</v>
      </c>
      <c r="E477" s="7">
        <v>45717</v>
      </c>
      <c r="F477" s="3" t="s">
        <v>2323</v>
      </c>
      <c r="G477" s="7">
        <v>45724</v>
      </c>
      <c r="H477" s="7" t="str">
        <f t="shared" si="155"/>
        <v>Valid</v>
      </c>
      <c r="I477" s="9">
        <f t="shared" si="156"/>
        <v>7</v>
      </c>
      <c r="J477" s="9" t="str">
        <f t="shared" si="157"/>
        <v>Valid</v>
      </c>
      <c r="K477" t="s">
        <v>2324</v>
      </c>
      <c r="L477" t="s">
        <v>82</v>
      </c>
      <c r="M477" t="s">
        <v>82</v>
      </c>
      <c r="N477" t="s">
        <v>25</v>
      </c>
      <c r="O477" s="3" t="str">
        <f t="shared" si="158"/>
        <v>Consumer</v>
      </c>
      <c r="P477" t="s">
        <v>41</v>
      </c>
      <c r="Q477" s="3" t="str">
        <f t="shared" si="159"/>
        <v>East</v>
      </c>
      <c r="R477" t="s">
        <v>120</v>
      </c>
      <c r="S477" t="s">
        <v>121</v>
      </c>
      <c r="T477" t="s">
        <v>44</v>
      </c>
      <c r="U477" s="3" t="str">
        <f t="shared" si="160"/>
        <v>Furniture</v>
      </c>
      <c r="V477" t="s">
        <v>75</v>
      </c>
      <c r="W477" t="s">
        <v>2325</v>
      </c>
      <c r="X477" t="s">
        <v>47</v>
      </c>
      <c r="Y477" s="3" t="str">
        <f t="shared" si="161"/>
        <v>Same Day</v>
      </c>
      <c r="Z477">
        <v>8</v>
      </c>
      <c r="AA477">
        <v>3378.82</v>
      </c>
      <c r="AB477">
        <v>0.25</v>
      </c>
      <c r="AC477">
        <f t="shared" si="162"/>
        <v>0.25</v>
      </c>
      <c r="AD477" t="str">
        <f t="shared" si="165"/>
        <v>Valid</v>
      </c>
      <c r="AE477">
        <v>20272.919999999998</v>
      </c>
      <c r="AF477">
        <v>15873.38</v>
      </c>
      <c r="AG477">
        <v>4399.54</v>
      </c>
      <c r="AH477" t="s">
        <v>136</v>
      </c>
      <c r="AI477" t="str">
        <f t="shared" si="166"/>
        <v>Include</v>
      </c>
      <c r="AJ477" t="str">
        <f t="shared" si="167"/>
        <v/>
      </c>
      <c r="AK477" t="s">
        <v>124</v>
      </c>
      <c r="AL477" t="str">
        <f t="shared" si="163"/>
        <v>Returned</v>
      </c>
      <c r="AM477" t="str">
        <f t="shared" si="168"/>
        <v>Include</v>
      </c>
      <c r="AN477">
        <f t="shared" si="169"/>
        <v>20272.920000000002</v>
      </c>
      <c r="AO477">
        <f t="shared" si="170"/>
        <v>4399.5400000000027</v>
      </c>
      <c r="AP477">
        <f>IF(AN477=0,0,AO477/AN477)</f>
        <v>0.21701560505344086</v>
      </c>
      <c r="AQ477" t="str">
        <f t="shared" si="171"/>
        <v>March</v>
      </c>
      <c r="AR477">
        <f t="shared" si="172"/>
        <v>2025</v>
      </c>
      <c r="AS477" t="str">
        <f t="shared" si="173"/>
        <v>Clean</v>
      </c>
      <c r="AT477" t="str">
        <f>IF(OR(AC477&lt;0,AC477&gt;0.5),"Invalid Discount","Valid")</f>
        <v>Valid</v>
      </c>
      <c r="AU477" t="str">
        <f>IF(G477&lt;E477,"Invalid Shipping Record","Valid")</f>
        <v>Valid</v>
      </c>
      <c r="AV477" t="str">
        <f>IF(OR(AL477="Cancelled",AH477="Failed"),"Exclude","Include")</f>
        <v>Include</v>
      </c>
      <c r="AW477" t="str">
        <f t="shared" si="174"/>
        <v>Match</v>
      </c>
      <c r="AX477" t="str">
        <f t="shared" si="175"/>
        <v>Match</v>
      </c>
    </row>
    <row r="478" spans="1:50">
      <c r="A478" t="s">
        <v>2326</v>
      </c>
      <c r="B478">
        <f t="shared" si="176"/>
        <v>1</v>
      </c>
      <c r="C478" t="str">
        <f t="shared" si="164"/>
        <v/>
      </c>
      <c r="D478" s="3" t="s">
        <v>2327</v>
      </c>
      <c r="E478" s="7">
        <v>45419</v>
      </c>
      <c r="F478" s="3" t="s">
        <v>2328</v>
      </c>
      <c r="G478" s="7">
        <v>45426</v>
      </c>
      <c r="H478" s="7" t="str">
        <f t="shared" si="155"/>
        <v>Valid</v>
      </c>
      <c r="I478" s="9">
        <f t="shared" si="156"/>
        <v>7</v>
      </c>
      <c r="J478" s="9" t="str">
        <f t="shared" si="157"/>
        <v>Valid</v>
      </c>
      <c r="K478" t="s">
        <v>2329</v>
      </c>
      <c r="L478" t="s">
        <v>167</v>
      </c>
      <c r="M478" t="s">
        <v>167</v>
      </c>
      <c r="N478" t="s">
        <v>40</v>
      </c>
      <c r="O478" s="3" t="str">
        <f t="shared" si="158"/>
        <v>Small Business</v>
      </c>
      <c r="P478" t="s">
        <v>26</v>
      </c>
      <c r="Q478" s="3" t="str">
        <f t="shared" si="159"/>
        <v>North</v>
      </c>
      <c r="R478" t="s">
        <v>27</v>
      </c>
      <c r="S478" t="s">
        <v>28</v>
      </c>
      <c r="T478" t="s">
        <v>29</v>
      </c>
      <c r="U478" s="3" t="str">
        <f t="shared" si="160"/>
        <v>Office Supplies</v>
      </c>
      <c r="V478" t="s">
        <v>155</v>
      </c>
      <c r="W478" t="s">
        <v>2330</v>
      </c>
      <c r="X478" t="s">
        <v>55</v>
      </c>
      <c r="Y478" s="3" t="str">
        <f t="shared" si="161"/>
        <v>First Class</v>
      </c>
      <c r="Z478">
        <v>3</v>
      </c>
      <c r="AA478">
        <v>383.58</v>
      </c>
      <c r="AB478">
        <v>0.1</v>
      </c>
      <c r="AC478">
        <f t="shared" si="162"/>
        <v>0.1</v>
      </c>
      <c r="AD478" t="str">
        <f t="shared" si="165"/>
        <v>Valid</v>
      </c>
      <c r="AE478">
        <v>1035.67</v>
      </c>
      <c r="AF478">
        <v>595.41999999999996</v>
      </c>
      <c r="AG478">
        <v>440.25</v>
      </c>
      <c r="AH478" t="s">
        <v>33</v>
      </c>
      <c r="AI478" t="str">
        <f t="shared" si="166"/>
        <v>Include</v>
      </c>
      <c r="AJ478" t="str">
        <f t="shared" si="167"/>
        <v/>
      </c>
      <c r="AK478" t="s">
        <v>34</v>
      </c>
      <c r="AL478" t="str">
        <f t="shared" si="163"/>
        <v>Completed</v>
      </c>
      <c r="AM478" t="str">
        <f t="shared" si="168"/>
        <v>Include</v>
      </c>
      <c r="AN478">
        <f t="shared" si="169"/>
        <v>1035.6659999999999</v>
      </c>
      <c r="AO478">
        <f t="shared" si="170"/>
        <v>440.24599999999998</v>
      </c>
      <c r="AP478">
        <f>IF(AN478=0,0,AO478/AN478)</f>
        <v>0.42508492120046426</v>
      </c>
      <c r="AQ478" t="str">
        <f t="shared" si="171"/>
        <v>May</v>
      </c>
      <c r="AR478">
        <f t="shared" si="172"/>
        <v>2024</v>
      </c>
      <c r="AS478" t="str">
        <f t="shared" si="173"/>
        <v>Clean</v>
      </c>
      <c r="AT478" t="str">
        <f>IF(OR(AC478&lt;0,AC478&gt;0.5),"Invalid Discount","Valid")</f>
        <v>Valid</v>
      </c>
      <c r="AU478" t="str">
        <f>IF(G478&lt;E478,"Invalid Shipping Record","Valid")</f>
        <v>Valid</v>
      </c>
      <c r="AV478" t="str">
        <f>IF(OR(AL478="Cancelled",AH478="Failed"),"Exclude","Include")</f>
        <v>Include</v>
      </c>
      <c r="AW478" t="str">
        <f t="shared" si="174"/>
        <v>Match</v>
      </c>
      <c r="AX478" t="str">
        <f t="shared" si="175"/>
        <v>Match</v>
      </c>
    </row>
    <row r="479" spans="1:50">
      <c r="A479" t="s">
        <v>2331</v>
      </c>
      <c r="B479">
        <f t="shared" si="176"/>
        <v>1</v>
      </c>
      <c r="C479" t="str">
        <f t="shared" si="164"/>
        <v/>
      </c>
      <c r="D479" s="3" t="s">
        <v>2332</v>
      </c>
      <c r="E479" s="7">
        <v>45892</v>
      </c>
      <c r="F479" s="3" t="s">
        <v>2333</v>
      </c>
      <c r="G479" s="7">
        <v>45897</v>
      </c>
      <c r="H479" s="7" t="str">
        <f t="shared" si="155"/>
        <v>Valid</v>
      </c>
      <c r="I479" s="9">
        <f t="shared" si="156"/>
        <v>5</v>
      </c>
      <c r="J479" s="9" t="str">
        <f t="shared" si="157"/>
        <v>Valid</v>
      </c>
      <c r="K479" t="s">
        <v>2334</v>
      </c>
      <c r="L479" t="s">
        <v>82</v>
      </c>
      <c r="M479" t="s">
        <v>82</v>
      </c>
      <c r="N479" t="s">
        <v>107</v>
      </c>
      <c r="O479" s="3" t="str">
        <f t="shared" si="158"/>
        <v>Corporate</v>
      </c>
      <c r="P479" t="s">
        <v>72</v>
      </c>
      <c r="Q479" s="3" t="str">
        <f t="shared" si="159"/>
        <v>West</v>
      </c>
      <c r="R479" t="s">
        <v>234</v>
      </c>
      <c r="S479" t="s">
        <v>235</v>
      </c>
      <c r="T479" t="s">
        <v>44</v>
      </c>
      <c r="U479" s="3" t="str">
        <f t="shared" si="160"/>
        <v>Furniture</v>
      </c>
      <c r="V479" t="s">
        <v>75</v>
      </c>
      <c r="W479" t="s">
        <v>2335</v>
      </c>
      <c r="X479" t="s">
        <v>66</v>
      </c>
      <c r="Y479" s="3" t="str">
        <f t="shared" si="161"/>
        <v>Standard Class</v>
      </c>
      <c r="Z479">
        <v>6</v>
      </c>
      <c r="AA479">
        <v>2193.23</v>
      </c>
      <c r="AB479">
        <v>0.1</v>
      </c>
      <c r="AC479">
        <f t="shared" si="162"/>
        <v>0.1</v>
      </c>
      <c r="AD479" t="str">
        <f t="shared" si="165"/>
        <v>Valid</v>
      </c>
      <c r="AE479">
        <v>11843.44</v>
      </c>
      <c r="AF479">
        <v>9356.8799999999992</v>
      </c>
      <c r="AG479">
        <v>2486.56</v>
      </c>
      <c r="AH479" t="s">
        <v>33</v>
      </c>
      <c r="AI479" t="str">
        <f t="shared" si="166"/>
        <v>Exclude</v>
      </c>
      <c r="AJ479" t="str">
        <f t="shared" si="167"/>
        <v/>
      </c>
      <c r="AK479" t="s">
        <v>77</v>
      </c>
      <c r="AL479" t="str">
        <f t="shared" si="163"/>
        <v>Cancelled</v>
      </c>
      <c r="AM479" t="str">
        <f t="shared" si="168"/>
        <v>Exclude</v>
      </c>
      <c r="AN479">
        <f t="shared" si="169"/>
        <v>11843.442000000001</v>
      </c>
      <c r="AO479">
        <f t="shared" si="170"/>
        <v>2486.5620000000017</v>
      </c>
      <c r="AP479">
        <f>IF(AN479=0,0,AO479/AN479)</f>
        <v>0.20995264721184953</v>
      </c>
      <c r="AQ479" t="str">
        <f t="shared" si="171"/>
        <v>August</v>
      </c>
      <c r="AR479">
        <f t="shared" si="172"/>
        <v>2025</v>
      </c>
      <c r="AS479" t="str">
        <f t="shared" si="173"/>
        <v>Clean</v>
      </c>
      <c r="AT479" t="str">
        <f>IF(OR(AC479&lt;0,AC479&gt;0.5),"Invalid Discount","Valid")</f>
        <v>Valid</v>
      </c>
      <c r="AU479" t="str">
        <f>IF(G479&lt;E479,"Invalid Shipping Record","Valid")</f>
        <v>Valid</v>
      </c>
      <c r="AV479" t="str">
        <f>IF(OR(AL479="Cancelled",AH479="Failed"),"Exclude","Include")</f>
        <v>Exclude</v>
      </c>
      <c r="AW479" t="str">
        <f t="shared" si="174"/>
        <v>Match</v>
      </c>
      <c r="AX479" t="str">
        <f t="shared" si="175"/>
        <v>Match</v>
      </c>
    </row>
    <row r="480" spans="1:50">
      <c r="A480" t="s">
        <v>2336</v>
      </c>
      <c r="B480">
        <f t="shared" si="176"/>
        <v>1</v>
      </c>
      <c r="C480" t="str">
        <f t="shared" si="164"/>
        <v/>
      </c>
      <c r="D480" s="3" t="s">
        <v>2337</v>
      </c>
      <c r="E480" s="7">
        <v>45452</v>
      </c>
      <c r="F480" s="3" t="s">
        <v>2338</v>
      </c>
      <c r="G480" s="7">
        <v>45456</v>
      </c>
      <c r="H480" s="7" t="str">
        <f t="shared" si="155"/>
        <v>Valid</v>
      </c>
      <c r="I480" s="9">
        <f t="shared" si="156"/>
        <v>4</v>
      </c>
      <c r="J480" s="9" t="str">
        <f t="shared" si="157"/>
        <v>Valid</v>
      </c>
      <c r="K480" t="s">
        <v>2339</v>
      </c>
      <c r="L480" t="s">
        <v>39</v>
      </c>
      <c r="M480" t="s">
        <v>39</v>
      </c>
      <c r="N480" t="s">
        <v>114</v>
      </c>
      <c r="O480" s="3" t="str">
        <f t="shared" si="158"/>
        <v>Home Office</v>
      </c>
      <c r="Q480" s="3" t="str">
        <f t="shared" si="159"/>
        <v>Unknown</v>
      </c>
      <c r="R480" t="s">
        <v>173</v>
      </c>
      <c r="S480" t="s">
        <v>174</v>
      </c>
      <c r="T480" t="s">
        <v>85</v>
      </c>
      <c r="U480" s="3" t="str">
        <f t="shared" si="160"/>
        <v>Technology</v>
      </c>
      <c r="V480" t="s">
        <v>381</v>
      </c>
      <c r="W480" t="s">
        <v>2340</v>
      </c>
      <c r="X480" t="s">
        <v>47</v>
      </c>
      <c r="Y480" s="3" t="str">
        <f t="shared" si="161"/>
        <v>Same Day</v>
      </c>
      <c r="Z480">
        <v>7</v>
      </c>
      <c r="AA480">
        <v>4079.71</v>
      </c>
      <c r="AB480">
        <v>0.1</v>
      </c>
      <c r="AC480">
        <f t="shared" si="162"/>
        <v>0.1</v>
      </c>
      <c r="AD480" t="str">
        <f t="shared" si="165"/>
        <v>Valid</v>
      </c>
      <c r="AE480">
        <v>25702.17</v>
      </c>
      <c r="AF480">
        <v>14571.48</v>
      </c>
      <c r="AG480">
        <v>11130.69</v>
      </c>
      <c r="AH480" t="s">
        <v>123</v>
      </c>
      <c r="AI480" t="str">
        <f t="shared" si="166"/>
        <v>Include</v>
      </c>
      <c r="AJ480" t="str">
        <f t="shared" si="167"/>
        <v>Refunded Order</v>
      </c>
      <c r="AK480" t="s">
        <v>124</v>
      </c>
      <c r="AL480" t="str">
        <f t="shared" si="163"/>
        <v>Returned</v>
      </c>
      <c r="AM480" t="str">
        <f t="shared" si="168"/>
        <v>Include</v>
      </c>
      <c r="AN480">
        <f t="shared" si="169"/>
        <v>25702.173000000003</v>
      </c>
      <c r="AO480">
        <f t="shared" si="170"/>
        <v>11130.693000000003</v>
      </c>
      <c r="AP480">
        <f>IF(AN480=0,0,AO480/AN480)</f>
        <v>0.43306427826160854</v>
      </c>
      <c r="AQ480" t="str">
        <f t="shared" si="171"/>
        <v>June</v>
      </c>
      <c r="AR480">
        <f t="shared" si="172"/>
        <v>2024</v>
      </c>
      <c r="AS480" t="str">
        <f t="shared" si="173"/>
        <v>Warning</v>
      </c>
      <c r="AT480" t="str">
        <f>IF(OR(AC480&lt;0,AC480&gt;0.5),"Invalid Discount","Valid")</f>
        <v>Valid</v>
      </c>
      <c r="AU480" t="str">
        <f>IF(G480&lt;E480,"Invalid Shipping Record","Valid")</f>
        <v>Valid</v>
      </c>
      <c r="AV480" t="str">
        <f>IF(OR(AL480="Cancelled",AH480="Failed"),"Exclude","Include")</f>
        <v>Include</v>
      </c>
      <c r="AW480" t="str">
        <f t="shared" si="174"/>
        <v>Match</v>
      </c>
      <c r="AX480" t="str">
        <f t="shared" si="175"/>
        <v>Match</v>
      </c>
    </row>
    <row r="481" spans="1:50">
      <c r="A481" t="s">
        <v>2341</v>
      </c>
      <c r="B481">
        <f t="shared" si="176"/>
        <v>1</v>
      </c>
      <c r="C481" t="str">
        <f t="shared" si="164"/>
        <v/>
      </c>
      <c r="D481" s="3" t="s">
        <v>2342</v>
      </c>
      <c r="E481" s="7">
        <v>45345</v>
      </c>
      <c r="F481" s="3" t="s">
        <v>2087</v>
      </c>
      <c r="G481" s="7">
        <v>45342</v>
      </c>
      <c r="H481" s="7" t="str">
        <f t="shared" si="155"/>
        <v>Invalid Shipping Record</v>
      </c>
      <c r="I481" s="9">
        <f t="shared" si="156"/>
        <v>-3</v>
      </c>
      <c r="J481" s="9" t="str">
        <f t="shared" si="157"/>
        <v>Invalid Shipping Record</v>
      </c>
      <c r="K481" t="s">
        <v>2343</v>
      </c>
      <c r="L481" t="s">
        <v>60</v>
      </c>
      <c r="M481" t="s">
        <v>60</v>
      </c>
      <c r="N481" t="s">
        <v>107</v>
      </c>
      <c r="O481" s="3" t="str">
        <f t="shared" si="158"/>
        <v>Corporate</v>
      </c>
      <c r="P481" t="s">
        <v>41</v>
      </c>
      <c r="Q481" s="3" t="str">
        <f t="shared" si="159"/>
        <v>East</v>
      </c>
      <c r="R481" t="s">
        <v>42</v>
      </c>
      <c r="S481" t="s">
        <v>43</v>
      </c>
      <c r="T481" t="s">
        <v>44</v>
      </c>
      <c r="U481" s="3" t="str">
        <f t="shared" si="160"/>
        <v>Furniture</v>
      </c>
      <c r="V481" t="s">
        <v>75</v>
      </c>
      <c r="W481" t="s">
        <v>2344</v>
      </c>
      <c r="X481" t="s">
        <v>32</v>
      </c>
      <c r="Y481" s="3" t="str">
        <f t="shared" si="161"/>
        <v>Second Class</v>
      </c>
      <c r="Z481">
        <v>1</v>
      </c>
      <c r="AA481">
        <v>2202.5500000000002</v>
      </c>
      <c r="AC481">
        <f t="shared" si="162"/>
        <v>0</v>
      </c>
      <c r="AD481" t="str">
        <f t="shared" si="165"/>
        <v>Valid</v>
      </c>
      <c r="AE481">
        <v>1651.91</v>
      </c>
      <c r="AF481">
        <v>1034.57</v>
      </c>
      <c r="AG481">
        <v>617.34</v>
      </c>
      <c r="AH481" t="s">
        <v>33</v>
      </c>
      <c r="AI481" t="str">
        <f t="shared" si="166"/>
        <v>Include</v>
      </c>
      <c r="AJ481" t="str">
        <f t="shared" si="167"/>
        <v/>
      </c>
      <c r="AK481" t="s">
        <v>34</v>
      </c>
      <c r="AL481" t="str">
        <f t="shared" si="163"/>
        <v>Completed</v>
      </c>
      <c r="AM481" t="str">
        <f t="shared" si="168"/>
        <v>Include</v>
      </c>
      <c r="AN481">
        <f t="shared" si="169"/>
        <v>2202.5500000000002</v>
      </c>
      <c r="AO481">
        <f t="shared" si="170"/>
        <v>1167.9800000000002</v>
      </c>
      <c r="AP481">
        <f>IF(AN481=0,0,AO481/AN481)</f>
        <v>0.53028535107035035</v>
      </c>
      <c r="AQ481" t="str">
        <f t="shared" si="171"/>
        <v>February</v>
      </c>
      <c r="AR481">
        <f t="shared" si="172"/>
        <v>2024</v>
      </c>
      <c r="AS481" t="str">
        <f t="shared" si="173"/>
        <v>Invalid</v>
      </c>
      <c r="AT481" t="str">
        <f>IF(OR(AC481&lt;0,AC481&gt;0.5),"Invalid Discount","Valid")</f>
        <v>Valid</v>
      </c>
      <c r="AU481" t="str">
        <f>IF(G481&lt;E481,"Invalid Shipping Record","Valid")</f>
        <v>Invalid Shipping Record</v>
      </c>
      <c r="AV481" t="str">
        <f>IF(OR(AL481="Cancelled",AH481="Failed"),"Exclude","Include")</f>
        <v>Include</v>
      </c>
      <c r="AW481" t="str">
        <f t="shared" si="174"/>
        <v>Mismatch</v>
      </c>
      <c r="AX481" t="str">
        <f t="shared" si="175"/>
        <v>Mismatch</v>
      </c>
    </row>
    <row r="482" spans="1:50">
      <c r="A482" t="s">
        <v>2345</v>
      </c>
      <c r="B482">
        <f t="shared" si="176"/>
        <v>1</v>
      </c>
      <c r="C482" t="str">
        <f t="shared" si="164"/>
        <v/>
      </c>
      <c r="D482" s="3" t="s">
        <v>384</v>
      </c>
      <c r="E482" s="7">
        <v>45662</v>
      </c>
      <c r="F482" s="3" t="s">
        <v>2292</v>
      </c>
      <c r="G482" s="7">
        <v>45666</v>
      </c>
      <c r="H482" s="7" t="str">
        <f t="shared" si="155"/>
        <v>Valid</v>
      </c>
      <c r="I482" s="9">
        <f t="shared" si="156"/>
        <v>4</v>
      </c>
      <c r="J482" s="9" t="str">
        <f t="shared" si="157"/>
        <v>Valid</v>
      </c>
      <c r="K482" t="s">
        <v>2346</v>
      </c>
      <c r="L482" t="s">
        <v>92</v>
      </c>
      <c r="M482" t="s">
        <v>92</v>
      </c>
      <c r="N482" t="s">
        <v>40</v>
      </c>
      <c r="O482" s="3" t="str">
        <f t="shared" si="158"/>
        <v>Small Business</v>
      </c>
      <c r="P482" t="s">
        <v>61</v>
      </c>
      <c r="Q482" s="3" t="str">
        <f t="shared" si="159"/>
        <v>South</v>
      </c>
      <c r="R482" t="s">
        <v>338</v>
      </c>
      <c r="S482" t="s">
        <v>339</v>
      </c>
      <c r="T482" t="s">
        <v>29</v>
      </c>
      <c r="U482" s="3" t="str">
        <f t="shared" si="160"/>
        <v>Office Supplies</v>
      </c>
      <c r="V482" t="s">
        <v>155</v>
      </c>
      <c r="W482" t="s">
        <v>2347</v>
      </c>
      <c r="Y482" s="3" t="str">
        <f t="shared" si="161"/>
        <v>Unknown</v>
      </c>
      <c r="Z482">
        <v>5</v>
      </c>
      <c r="AA482">
        <v>905.16</v>
      </c>
      <c r="AB482">
        <v>0</v>
      </c>
      <c r="AC482">
        <f t="shared" si="162"/>
        <v>0</v>
      </c>
      <c r="AD482" t="str">
        <f t="shared" si="165"/>
        <v>Valid</v>
      </c>
      <c r="AE482">
        <v>4525.8</v>
      </c>
      <c r="AF482">
        <v>2714.51</v>
      </c>
      <c r="AG482">
        <v>1811.29</v>
      </c>
      <c r="AH482" t="s">
        <v>33</v>
      </c>
      <c r="AI482" t="str">
        <f t="shared" si="166"/>
        <v>Include</v>
      </c>
      <c r="AJ482" t="str">
        <f t="shared" si="167"/>
        <v/>
      </c>
      <c r="AK482" t="s">
        <v>34</v>
      </c>
      <c r="AL482" t="str">
        <f t="shared" si="163"/>
        <v>Completed</v>
      </c>
      <c r="AM482" t="str">
        <f t="shared" si="168"/>
        <v>Include</v>
      </c>
      <c r="AN482">
        <f t="shared" si="169"/>
        <v>4525.8</v>
      </c>
      <c r="AO482">
        <f t="shared" si="170"/>
        <v>1811.29</v>
      </c>
      <c r="AP482">
        <f>IF(AN482=0,0,AO482/AN482)</f>
        <v>0.40021432674886204</v>
      </c>
      <c r="AQ482" t="str">
        <f t="shared" si="171"/>
        <v>January</v>
      </c>
      <c r="AR482">
        <f t="shared" si="172"/>
        <v>2025</v>
      </c>
      <c r="AS482" t="str">
        <f t="shared" si="173"/>
        <v>Warning</v>
      </c>
      <c r="AT482" t="str">
        <f>IF(OR(AC482&lt;0,AC482&gt;0.5),"Invalid Discount","Valid")</f>
        <v>Valid</v>
      </c>
      <c r="AU482" t="str">
        <f>IF(G482&lt;E482,"Invalid Shipping Record","Valid")</f>
        <v>Valid</v>
      </c>
      <c r="AV482" t="str">
        <f>IF(OR(AL482="Cancelled",AH482="Failed"),"Exclude","Include")</f>
        <v>Include</v>
      </c>
      <c r="AW482" t="str">
        <f t="shared" si="174"/>
        <v>Match</v>
      </c>
      <c r="AX482" t="str">
        <f t="shared" si="175"/>
        <v>Match</v>
      </c>
    </row>
    <row r="483" spans="1:50">
      <c r="A483" t="s">
        <v>2348</v>
      </c>
      <c r="B483">
        <f t="shared" si="176"/>
        <v>1</v>
      </c>
      <c r="C483" t="str">
        <f t="shared" si="164"/>
        <v/>
      </c>
      <c r="D483" s="3" t="s">
        <v>2349</v>
      </c>
      <c r="E483" s="7">
        <v>45813</v>
      </c>
      <c r="F483" s="3" t="s">
        <v>2350</v>
      </c>
      <c r="G483" s="7">
        <v>45821</v>
      </c>
      <c r="H483" s="7" t="str">
        <f t="shared" si="155"/>
        <v>Valid</v>
      </c>
      <c r="I483" s="9">
        <f t="shared" si="156"/>
        <v>8</v>
      </c>
      <c r="J483" s="9" t="str">
        <f t="shared" si="157"/>
        <v>Valid</v>
      </c>
      <c r="K483" t="s">
        <v>2351</v>
      </c>
      <c r="L483" t="s">
        <v>52</v>
      </c>
      <c r="M483" t="s">
        <v>52</v>
      </c>
      <c r="N483" t="s">
        <v>25</v>
      </c>
      <c r="O483" s="3" t="str">
        <f t="shared" si="158"/>
        <v>Consumer</v>
      </c>
      <c r="P483" t="s">
        <v>26</v>
      </c>
      <c r="Q483" s="3" t="str">
        <f t="shared" si="159"/>
        <v>North</v>
      </c>
      <c r="R483" t="s">
        <v>173</v>
      </c>
      <c r="S483" t="s">
        <v>174</v>
      </c>
      <c r="T483" t="s">
        <v>85</v>
      </c>
      <c r="U483" s="3" t="str">
        <f t="shared" si="160"/>
        <v>Technology</v>
      </c>
      <c r="V483" t="s">
        <v>381</v>
      </c>
      <c r="W483" t="s">
        <v>2352</v>
      </c>
      <c r="X483" t="s">
        <v>47</v>
      </c>
      <c r="Y483" s="3" t="str">
        <f t="shared" si="161"/>
        <v>Same Day</v>
      </c>
      <c r="Z483">
        <v>4</v>
      </c>
      <c r="AA483">
        <v>2793.88</v>
      </c>
      <c r="AB483" t="s">
        <v>1169</v>
      </c>
      <c r="AC483" t="str">
        <f t="shared" si="162"/>
        <v>85%</v>
      </c>
      <c r="AD483" t="str">
        <f t="shared" si="165"/>
        <v>Valid</v>
      </c>
      <c r="AE483">
        <v>10616.74</v>
      </c>
      <c r="AF483">
        <v>6353.59</v>
      </c>
      <c r="AG483">
        <v>4263.1499999999996</v>
      </c>
      <c r="AH483" t="s">
        <v>33</v>
      </c>
      <c r="AI483" t="str">
        <f t="shared" si="166"/>
        <v>Include</v>
      </c>
      <c r="AJ483" t="str">
        <f t="shared" si="167"/>
        <v/>
      </c>
      <c r="AK483" t="s">
        <v>34</v>
      </c>
      <c r="AL483" t="str">
        <f t="shared" si="163"/>
        <v>Completed</v>
      </c>
      <c r="AM483" t="str">
        <f t="shared" si="168"/>
        <v>Include</v>
      </c>
      <c r="AN483">
        <f t="shared" si="169"/>
        <v>1676.3280000000002</v>
      </c>
      <c r="AO483">
        <f t="shared" si="170"/>
        <v>-4677.2619999999997</v>
      </c>
      <c r="AP483">
        <f>IF(AN483=0,0,AO483/AN483)</f>
        <v>-2.7901830667983827</v>
      </c>
      <c r="AQ483" t="str">
        <f t="shared" si="171"/>
        <v>June</v>
      </c>
      <c r="AR483">
        <f t="shared" si="172"/>
        <v>2025</v>
      </c>
      <c r="AS483" t="str">
        <f t="shared" si="173"/>
        <v>Invalid</v>
      </c>
      <c r="AT483" t="str">
        <f>IF(OR(AC483&lt;0,AC483&gt;0.5),"Invalid Discount","Valid")</f>
        <v>Invalid Discount</v>
      </c>
      <c r="AU483" t="str">
        <f>IF(G483&lt;E483,"Invalid Shipping Record","Valid")</f>
        <v>Valid</v>
      </c>
      <c r="AV483" t="str">
        <f>IF(OR(AL483="Cancelled",AH483="Failed"),"Exclude","Include")</f>
        <v>Include</v>
      </c>
      <c r="AW483" t="str">
        <f t="shared" si="174"/>
        <v>Mismatch</v>
      </c>
      <c r="AX483" t="str">
        <f t="shared" si="175"/>
        <v>Mismatch</v>
      </c>
    </row>
    <row r="484" spans="1:50">
      <c r="A484" t="s">
        <v>2353</v>
      </c>
      <c r="B484">
        <f t="shared" si="176"/>
        <v>1</v>
      </c>
      <c r="C484" t="str">
        <f t="shared" si="164"/>
        <v/>
      </c>
      <c r="D484" s="3" t="s">
        <v>262</v>
      </c>
      <c r="E484" s="7">
        <v>45495</v>
      </c>
      <c r="F484" s="3" t="s">
        <v>262</v>
      </c>
      <c r="G484" s="7">
        <v>45495</v>
      </c>
      <c r="H484" s="7" t="str">
        <f t="shared" si="155"/>
        <v>Valid</v>
      </c>
      <c r="I484" s="9">
        <f t="shared" si="156"/>
        <v>0</v>
      </c>
      <c r="J484" s="9" t="str">
        <f t="shared" si="157"/>
        <v>Valid</v>
      </c>
      <c r="K484" t="s">
        <v>2354</v>
      </c>
      <c r="L484" t="s">
        <v>141</v>
      </c>
      <c r="M484" t="s">
        <v>141</v>
      </c>
      <c r="N484" t="s">
        <v>25</v>
      </c>
      <c r="O484" s="3" t="str">
        <f t="shared" si="158"/>
        <v>Consumer</v>
      </c>
      <c r="P484" t="s">
        <v>61</v>
      </c>
      <c r="Q484" s="3" t="str">
        <f t="shared" si="159"/>
        <v>South</v>
      </c>
      <c r="R484" t="s">
        <v>228</v>
      </c>
      <c r="S484" t="s">
        <v>229</v>
      </c>
      <c r="T484" t="s">
        <v>85</v>
      </c>
      <c r="U484" s="3" t="str">
        <f t="shared" si="160"/>
        <v>Technology</v>
      </c>
      <c r="V484" t="s">
        <v>86</v>
      </c>
      <c r="W484" t="s">
        <v>2355</v>
      </c>
      <c r="X484" t="s">
        <v>32</v>
      </c>
      <c r="Y484" s="3" t="str">
        <f t="shared" si="161"/>
        <v>Second Class</v>
      </c>
      <c r="Z484">
        <v>3</v>
      </c>
      <c r="AA484">
        <v>1286.22</v>
      </c>
      <c r="AB484">
        <v>0.25</v>
      </c>
      <c r="AC484">
        <f t="shared" si="162"/>
        <v>0.25</v>
      </c>
      <c r="AD484" t="str">
        <f t="shared" si="165"/>
        <v>Valid</v>
      </c>
      <c r="AE484">
        <v>2893.99</v>
      </c>
      <c r="AF484">
        <v>1856.03</v>
      </c>
      <c r="AG484">
        <v>1037.96</v>
      </c>
      <c r="AH484" t="s">
        <v>33</v>
      </c>
      <c r="AI484" t="str">
        <f t="shared" si="166"/>
        <v>Include</v>
      </c>
      <c r="AJ484" t="str">
        <f t="shared" si="167"/>
        <v/>
      </c>
      <c r="AK484" t="s">
        <v>34</v>
      </c>
      <c r="AL484" t="str">
        <f t="shared" si="163"/>
        <v>Completed</v>
      </c>
      <c r="AM484" t="str">
        <f t="shared" si="168"/>
        <v>Include</v>
      </c>
      <c r="AN484">
        <f t="shared" si="169"/>
        <v>2893.9949999999999</v>
      </c>
      <c r="AO484">
        <f t="shared" si="170"/>
        <v>1037.9649999999999</v>
      </c>
      <c r="AP484">
        <f>IF(AN484=0,0,AO484/AN484)</f>
        <v>0.35866164247001114</v>
      </c>
      <c r="AQ484" t="str">
        <f t="shared" si="171"/>
        <v>July</v>
      </c>
      <c r="AR484">
        <f t="shared" si="172"/>
        <v>2024</v>
      </c>
      <c r="AS484" t="str">
        <f t="shared" si="173"/>
        <v>Clean</v>
      </c>
      <c r="AT484" t="str">
        <f>IF(OR(AC484&lt;0,AC484&gt;0.5),"Invalid Discount","Valid")</f>
        <v>Valid</v>
      </c>
      <c r="AU484" t="str">
        <f>IF(G484&lt;E484,"Invalid Shipping Record","Valid")</f>
        <v>Valid</v>
      </c>
      <c r="AV484" t="str">
        <f>IF(OR(AL484="Cancelled",AH484="Failed"),"Exclude","Include")</f>
        <v>Include</v>
      </c>
      <c r="AW484" t="str">
        <f t="shared" si="174"/>
        <v>Mismatch</v>
      </c>
      <c r="AX484" t="str">
        <f t="shared" si="175"/>
        <v>Mismatch</v>
      </c>
    </row>
    <row r="485" spans="1:50">
      <c r="A485" t="s">
        <v>2356</v>
      </c>
      <c r="B485">
        <f t="shared" si="176"/>
        <v>1</v>
      </c>
      <c r="C485" t="str">
        <f t="shared" si="164"/>
        <v/>
      </c>
      <c r="D485" s="3" t="s">
        <v>1404</v>
      </c>
      <c r="E485" s="7">
        <v>45651</v>
      </c>
      <c r="F485" s="3" t="s">
        <v>2357</v>
      </c>
      <c r="G485" s="7">
        <v>45651</v>
      </c>
      <c r="H485" s="7" t="str">
        <f t="shared" si="155"/>
        <v>Valid</v>
      </c>
      <c r="I485" s="9">
        <f t="shared" si="156"/>
        <v>0</v>
      </c>
      <c r="J485" s="9" t="str">
        <f t="shared" si="157"/>
        <v>Valid</v>
      </c>
      <c r="K485" t="s">
        <v>2358</v>
      </c>
      <c r="L485" t="s">
        <v>39</v>
      </c>
      <c r="M485" t="s">
        <v>39</v>
      </c>
      <c r="N485" t="s">
        <v>107</v>
      </c>
      <c r="O485" s="3" t="str">
        <f t="shared" si="158"/>
        <v>Corporate</v>
      </c>
      <c r="P485" t="s">
        <v>41</v>
      </c>
      <c r="Q485" s="3" t="str">
        <f t="shared" si="159"/>
        <v>East</v>
      </c>
      <c r="R485" t="s">
        <v>185</v>
      </c>
      <c r="S485" t="s">
        <v>186</v>
      </c>
      <c r="T485" t="s">
        <v>85</v>
      </c>
      <c r="U485" s="3" t="str">
        <f t="shared" si="160"/>
        <v>Technology</v>
      </c>
      <c r="V485" t="s">
        <v>93</v>
      </c>
      <c r="W485" t="s">
        <v>2359</v>
      </c>
      <c r="X485" t="s">
        <v>66</v>
      </c>
      <c r="Y485" s="3" t="str">
        <f t="shared" si="161"/>
        <v>Standard Class</v>
      </c>
      <c r="Z485">
        <v>1</v>
      </c>
      <c r="AA485">
        <v>829.66</v>
      </c>
      <c r="AB485">
        <v>0.15</v>
      </c>
      <c r="AC485">
        <f t="shared" si="162"/>
        <v>0.15</v>
      </c>
      <c r="AD485" t="str">
        <f t="shared" si="165"/>
        <v>Valid</v>
      </c>
      <c r="AE485">
        <v>705.21</v>
      </c>
      <c r="AF485">
        <v>438.32</v>
      </c>
      <c r="AG485">
        <v>266.89</v>
      </c>
      <c r="AH485" t="s">
        <v>33</v>
      </c>
      <c r="AI485" t="str">
        <f t="shared" si="166"/>
        <v>Include</v>
      </c>
      <c r="AJ485" t="str">
        <f t="shared" si="167"/>
        <v/>
      </c>
      <c r="AK485" t="s">
        <v>34</v>
      </c>
      <c r="AL485" t="str">
        <f t="shared" si="163"/>
        <v>Completed</v>
      </c>
      <c r="AM485" t="str">
        <f t="shared" si="168"/>
        <v>Include</v>
      </c>
      <c r="AN485">
        <f t="shared" si="169"/>
        <v>705.2109999999999</v>
      </c>
      <c r="AO485">
        <f t="shared" si="170"/>
        <v>266.89099999999991</v>
      </c>
      <c r="AP485">
        <f>IF(AN485=0,0,AO485/AN485)</f>
        <v>0.37845552607659261</v>
      </c>
      <c r="AQ485" t="str">
        <f t="shared" si="171"/>
        <v>December</v>
      </c>
      <c r="AR485">
        <f t="shared" si="172"/>
        <v>2024</v>
      </c>
      <c r="AS485" t="str">
        <f t="shared" si="173"/>
        <v>Clean</v>
      </c>
      <c r="AT485" t="str">
        <f>IF(OR(AC485&lt;0,AC485&gt;0.5),"Invalid Discount","Valid")</f>
        <v>Valid</v>
      </c>
      <c r="AU485" t="str">
        <f>IF(G485&lt;E485,"Invalid Shipping Record","Valid")</f>
        <v>Valid</v>
      </c>
      <c r="AV485" t="str">
        <f>IF(OR(AL485="Cancelled",AH485="Failed"),"Exclude","Include")</f>
        <v>Include</v>
      </c>
      <c r="AW485" t="str">
        <f t="shared" si="174"/>
        <v>Match</v>
      </c>
      <c r="AX485" t="str">
        <f t="shared" si="175"/>
        <v>Match</v>
      </c>
    </row>
    <row r="486" spans="1:50">
      <c r="A486" t="s">
        <v>2360</v>
      </c>
      <c r="B486">
        <f t="shared" si="176"/>
        <v>1</v>
      </c>
      <c r="C486" t="str">
        <f t="shared" si="164"/>
        <v/>
      </c>
      <c r="D486" s="3" t="s">
        <v>2361</v>
      </c>
      <c r="E486" s="7">
        <v>45654</v>
      </c>
      <c r="F486" s="3" t="s">
        <v>2362</v>
      </c>
      <c r="G486" s="7">
        <v>45657</v>
      </c>
      <c r="H486" s="7" t="str">
        <f t="shared" si="155"/>
        <v>Valid</v>
      </c>
      <c r="I486" s="9">
        <f t="shared" si="156"/>
        <v>3</v>
      </c>
      <c r="J486" s="9" t="str">
        <f t="shared" si="157"/>
        <v>Valid</v>
      </c>
      <c r="K486" t="s">
        <v>2363</v>
      </c>
      <c r="L486" t="s">
        <v>39</v>
      </c>
      <c r="M486" t="s">
        <v>39</v>
      </c>
      <c r="N486" t="s">
        <v>40</v>
      </c>
      <c r="O486" s="3" t="str">
        <f t="shared" si="158"/>
        <v>Small Business</v>
      </c>
      <c r="P486" t="s">
        <v>61</v>
      </c>
      <c r="Q486" s="3" t="str">
        <f t="shared" si="159"/>
        <v>South</v>
      </c>
      <c r="R486" t="s">
        <v>99</v>
      </c>
      <c r="S486" t="s">
        <v>100</v>
      </c>
      <c r="T486" t="s">
        <v>44</v>
      </c>
      <c r="U486" s="3" t="str">
        <f t="shared" si="160"/>
        <v>Furniture</v>
      </c>
      <c r="V486" t="s">
        <v>64</v>
      </c>
      <c r="W486" t="s">
        <v>2364</v>
      </c>
      <c r="X486" t="s">
        <v>55</v>
      </c>
      <c r="Y486" s="3" t="str">
        <f t="shared" si="161"/>
        <v>First Class</v>
      </c>
      <c r="Z486">
        <v>6</v>
      </c>
      <c r="AA486">
        <v>3641.22</v>
      </c>
      <c r="AB486">
        <v>0.25</v>
      </c>
      <c r="AC486">
        <f t="shared" si="162"/>
        <v>0.25</v>
      </c>
      <c r="AD486" t="str">
        <f t="shared" si="165"/>
        <v>Valid</v>
      </c>
      <c r="AE486">
        <v>16385.490000000002</v>
      </c>
      <c r="AF486">
        <v>13679.24</v>
      </c>
      <c r="AG486">
        <v>2706.25</v>
      </c>
      <c r="AH486" t="s">
        <v>33</v>
      </c>
      <c r="AI486" t="str">
        <f t="shared" si="166"/>
        <v>Include</v>
      </c>
      <c r="AJ486" t="str">
        <f t="shared" si="167"/>
        <v/>
      </c>
      <c r="AK486" t="s">
        <v>34</v>
      </c>
      <c r="AL486" t="str">
        <f t="shared" si="163"/>
        <v>Completed</v>
      </c>
      <c r="AM486" t="str">
        <f t="shared" si="168"/>
        <v>Include</v>
      </c>
      <c r="AN486">
        <f t="shared" si="169"/>
        <v>16385.489999999998</v>
      </c>
      <c r="AO486">
        <f t="shared" si="170"/>
        <v>2706.2499999999982</v>
      </c>
      <c r="AP486">
        <f>IF(AN486=0,0,AO486/AN486)</f>
        <v>0.16516137143289572</v>
      </c>
      <c r="AQ486" t="str">
        <f t="shared" si="171"/>
        <v>December</v>
      </c>
      <c r="AR486">
        <f t="shared" si="172"/>
        <v>2024</v>
      </c>
      <c r="AS486" t="str">
        <f t="shared" si="173"/>
        <v>Clean</v>
      </c>
      <c r="AT486" t="str">
        <f>IF(OR(AC486&lt;0,AC486&gt;0.5),"Invalid Discount","Valid")</f>
        <v>Valid</v>
      </c>
      <c r="AU486" t="str">
        <f>IF(G486&lt;E486,"Invalid Shipping Record","Valid")</f>
        <v>Valid</v>
      </c>
      <c r="AV486" t="str">
        <f>IF(OR(AL486="Cancelled",AH486="Failed"),"Exclude","Include")</f>
        <v>Include</v>
      </c>
      <c r="AW486" t="str">
        <f t="shared" si="174"/>
        <v>Match</v>
      </c>
      <c r="AX486" t="str">
        <f t="shared" si="175"/>
        <v>Match</v>
      </c>
    </row>
    <row r="487" spans="1:50">
      <c r="A487" t="s">
        <v>2365</v>
      </c>
      <c r="B487">
        <f t="shared" si="176"/>
        <v>1</v>
      </c>
      <c r="C487" t="str">
        <f t="shared" si="164"/>
        <v/>
      </c>
      <c r="D487" s="3" t="s">
        <v>1836</v>
      </c>
      <c r="E487" s="7">
        <v>45679</v>
      </c>
      <c r="F487" s="3" t="s">
        <v>183</v>
      </c>
      <c r="G487" s="7">
        <v>45680</v>
      </c>
      <c r="H487" s="7" t="str">
        <f t="shared" si="155"/>
        <v>Valid</v>
      </c>
      <c r="I487" s="9">
        <f t="shared" si="156"/>
        <v>1</v>
      </c>
      <c r="J487" s="9" t="str">
        <f t="shared" si="157"/>
        <v>Valid</v>
      </c>
      <c r="K487" t="s">
        <v>2366</v>
      </c>
      <c r="L487" t="s">
        <v>147</v>
      </c>
      <c r="M487" t="s">
        <v>147</v>
      </c>
      <c r="N487" t="s">
        <v>107</v>
      </c>
      <c r="O487" s="3" t="str">
        <f t="shared" si="158"/>
        <v>Corporate</v>
      </c>
      <c r="P487" t="s">
        <v>72</v>
      </c>
      <c r="Q487" s="3" t="str">
        <f t="shared" si="159"/>
        <v>West</v>
      </c>
      <c r="R487" t="s">
        <v>248</v>
      </c>
      <c r="S487" t="s">
        <v>249</v>
      </c>
      <c r="T487" t="s">
        <v>44</v>
      </c>
      <c r="U487" s="3" t="str">
        <f t="shared" si="160"/>
        <v>Furniture</v>
      </c>
      <c r="V487" t="s">
        <v>203</v>
      </c>
      <c r="W487" t="s">
        <v>2367</v>
      </c>
      <c r="X487" t="s">
        <v>66</v>
      </c>
      <c r="Y487" s="3" t="str">
        <f t="shared" si="161"/>
        <v>Standard Class</v>
      </c>
      <c r="Z487">
        <v>4</v>
      </c>
      <c r="AA487">
        <v>2555.19</v>
      </c>
      <c r="AB487">
        <v>0.25</v>
      </c>
      <c r="AC487">
        <f t="shared" si="162"/>
        <v>0.25</v>
      </c>
      <c r="AD487" t="str">
        <f t="shared" si="165"/>
        <v>Valid</v>
      </c>
      <c r="AE487">
        <v>7665.57</v>
      </c>
      <c r="AF487">
        <v>5595.6</v>
      </c>
      <c r="AG487">
        <v>2069.9699999999998</v>
      </c>
      <c r="AH487" t="s">
        <v>33</v>
      </c>
      <c r="AI487" t="str">
        <f t="shared" si="166"/>
        <v>Include</v>
      </c>
      <c r="AJ487" t="str">
        <f t="shared" si="167"/>
        <v/>
      </c>
      <c r="AK487" t="s">
        <v>34</v>
      </c>
      <c r="AL487" t="str">
        <f t="shared" si="163"/>
        <v>Completed</v>
      </c>
      <c r="AM487" t="str">
        <f t="shared" si="168"/>
        <v>Include</v>
      </c>
      <c r="AN487">
        <f t="shared" si="169"/>
        <v>7665.57</v>
      </c>
      <c r="AO487">
        <f t="shared" si="170"/>
        <v>2069.9699999999993</v>
      </c>
      <c r="AP487">
        <f>IF(AN487=0,0,AO487/AN487)</f>
        <v>0.27003471366121495</v>
      </c>
      <c r="AQ487" t="str">
        <f t="shared" si="171"/>
        <v>January</v>
      </c>
      <c r="AR487">
        <f t="shared" si="172"/>
        <v>2025</v>
      </c>
      <c r="AS487" t="str">
        <f t="shared" si="173"/>
        <v>Clean</v>
      </c>
      <c r="AT487" t="str">
        <f>IF(OR(AC487&lt;0,AC487&gt;0.5),"Invalid Discount","Valid")</f>
        <v>Valid</v>
      </c>
      <c r="AU487" t="str">
        <f>IF(G487&lt;E487,"Invalid Shipping Record","Valid")</f>
        <v>Valid</v>
      </c>
      <c r="AV487" t="str">
        <f>IF(OR(AL487="Cancelled",AH487="Failed"),"Exclude","Include")</f>
        <v>Include</v>
      </c>
      <c r="AW487" t="str">
        <f t="shared" si="174"/>
        <v>Match</v>
      </c>
      <c r="AX487" t="str">
        <f t="shared" si="175"/>
        <v>Match</v>
      </c>
    </row>
    <row r="488" spans="1:50">
      <c r="A488" t="s">
        <v>2368</v>
      </c>
      <c r="B488">
        <f t="shared" si="176"/>
        <v>1</v>
      </c>
      <c r="C488" t="str">
        <f t="shared" si="164"/>
        <v/>
      </c>
      <c r="D488" s="3" t="s">
        <v>2369</v>
      </c>
      <c r="E488" s="7">
        <v>45830</v>
      </c>
      <c r="F488" s="3" t="s">
        <v>2370</v>
      </c>
      <c r="G488" s="7">
        <v>45834</v>
      </c>
      <c r="H488" s="7" t="str">
        <f t="shared" si="155"/>
        <v>Valid</v>
      </c>
      <c r="I488" s="9">
        <f t="shared" si="156"/>
        <v>4</v>
      </c>
      <c r="J488" s="9" t="str">
        <f t="shared" si="157"/>
        <v>Valid</v>
      </c>
      <c r="K488" t="s">
        <v>2371</v>
      </c>
      <c r="L488" t="s">
        <v>147</v>
      </c>
      <c r="M488" t="s">
        <v>147</v>
      </c>
      <c r="N488" t="s">
        <v>107</v>
      </c>
      <c r="O488" s="3" t="str">
        <f t="shared" si="158"/>
        <v>Corporate</v>
      </c>
      <c r="P488" t="s">
        <v>72</v>
      </c>
      <c r="Q488" s="3" t="str">
        <f t="shared" si="159"/>
        <v>West</v>
      </c>
      <c r="R488" t="s">
        <v>248</v>
      </c>
      <c r="S488" t="s">
        <v>249</v>
      </c>
      <c r="T488" t="s">
        <v>44</v>
      </c>
      <c r="U488" s="3" t="str">
        <f t="shared" si="160"/>
        <v>Furniture</v>
      </c>
      <c r="V488" t="s">
        <v>45</v>
      </c>
      <c r="W488" t="s">
        <v>2372</v>
      </c>
      <c r="X488" t="s">
        <v>66</v>
      </c>
      <c r="Y488" s="3" t="str">
        <f t="shared" si="161"/>
        <v>Standard Class</v>
      </c>
      <c r="Z488">
        <v>3</v>
      </c>
      <c r="AA488">
        <v>1946.18</v>
      </c>
      <c r="AB488">
        <v>0.2</v>
      </c>
      <c r="AC488">
        <f t="shared" si="162"/>
        <v>0.2</v>
      </c>
      <c r="AD488" t="str">
        <f t="shared" si="165"/>
        <v>Valid</v>
      </c>
      <c r="AE488">
        <v>4670.83</v>
      </c>
      <c r="AF488">
        <v>3166.49</v>
      </c>
      <c r="AG488">
        <v>1504.34</v>
      </c>
      <c r="AH488" t="s">
        <v>33</v>
      </c>
      <c r="AI488" t="str">
        <f t="shared" si="166"/>
        <v>Include</v>
      </c>
      <c r="AJ488" t="str">
        <f t="shared" si="167"/>
        <v/>
      </c>
      <c r="AK488" t="s">
        <v>34</v>
      </c>
      <c r="AL488" t="str">
        <f t="shared" si="163"/>
        <v>Completed</v>
      </c>
      <c r="AM488" t="str">
        <f t="shared" si="168"/>
        <v>Include</v>
      </c>
      <c r="AN488">
        <f t="shared" si="169"/>
        <v>4670.8320000000003</v>
      </c>
      <c r="AO488">
        <f t="shared" si="170"/>
        <v>1504.3420000000006</v>
      </c>
      <c r="AP488">
        <f>IF(AN488=0,0,AO488/AN488)</f>
        <v>0.3220715281560117</v>
      </c>
      <c r="AQ488" t="str">
        <f t="shared" si="171"/>
        <v>June</v>
      </c>
      <c r="AR488">
        <f t="shared" si="172"/>
        <v>2025</v>
      </c>
      <c r="AS488" t="str">
        <f t="shared" si="173"/>
        <v>Clean</v>
      </c>
      <c r="AT488" t="str">
        <f>IF(OR(AC488&lt;0,AC488&gt;0.5),"Invalid Discount","Valid")</f>
        <v>Valid</v>
      </c>
      <c r="AU488" t="str">
        <f>IF(G488&lt;E488,"Invalid Shipping Record","Valid")</f>
        <v>Valid</v>
      </c>
      <c r="AV488" t="str">
        <f>IF(OR(AL488="Cancelled",AH488="Failed"),"Exclude","Include")</f>
        <v>Include</v>
      </c>
      <c r="AW488" t="str">
        <f t="shared" si="174"/>
        <v>Match</v>
      </c>
      <c r="AX488" t="str">
        <f t="shared" si="175"/>
        <v>Match</v>
      </c>
    </row>
    <row r="489" spans="1:50">
      <c r="A489" t="s">
        <v>2373</v>
      </c>
      <c r="B489">
        <f t="shared" si="176"/>
        <v>1</v>
      </c>
      <c r="C489" t="str">
        <f t="shared" si="164"/>
        <v/>
      </c>
      <c r="D489" s="3" t="s">
        <v>1967</v>
      </c>
      <c r="E489" s="7">
        <v>45818</v>
      </c>
      <c r="F489" s="3" t="s">
        <v>2374</v>
      </c>
      <c r="G489" s="7">
        <v>45825</v>
      </c>
      <c r="H489" s="7" t="str">
        <f t="shared" si="155"/>
        <v>Valid</v>
      </c>
      <c r="I489" s="9">
        <f t="shared" si="156"/>
        <v>7</v>
      </c>
      <c r="J489" s="9" t="str">
        <f t="shared" si="157"/>
        <v>Valid</v>
      </c>
      <c r="K489" t="s">
        <v>2375</v>
      </c>
      <c r="L489" t="s">
        <v>147</v>
      </c>
      <c r="M489" t="s">
        <v>147</v>
      </c>
      <c r="N489" t="s">
        <v>107</v>
      </c>
      <c r="O489" s="3" t="str">
        <f t="shared" si="158"/>
        <v>Corporate</v>
      </c>
      <c r="P489" t="s">
        <v>61</v>
      </c>
      <c r="Q489" s="3" t="str">
        <f t="shared" si="159"/>
        <v>South</v>
      </c>
      <c r="R489" t="s">
        <v>62</v>
      </c>
      <c r="S489" t="s">
        <v>63</v>
      </c>
      <c r="T489" t="s">
        <v>44</v>
      </c>
      <c r="U489" s="3" t="str">
        <f t="shared" si="160"/>
        <v>Furniture</v>
      </c>
      <c r="V489" t="s">
        <v>64</v>
      </c>
      <c r="W489" t="s">
        <v>2376</v>
      </c>
      <c r="X489" t="s">
        <v>66</v>
      </c>
      <c r="Y489" s="3" t="str">
        <f t="shared" si="161"/>
        <v>Standard Class</v>
      </c>
      <c r="Z489">
        <v>5</v>
      </c>
      <c r="AA489">
        <v>1231.0999999999999</v>
      </c>
      <c r="AB489">
        <v>0</v>
      </c>
      <c r="AC489">
        <f t="shared" si="162"/>
        <v>0</v>
      </c>
      <c r="AD489" t="str">
        <f t="shared" si="165"/>
        <v>Valid</v>
      </c>
      <c r="AE489">
        <v>6155.5</v>
      </c>
      <c r="AF489">
        <v>4282.09</v>
      </c>
      <c r="AG489">
        <v>1873.41</v>
      </c>
      <c r="AH489" t="s">
        <v>123</v>
      </c>
      <c r="AI489" t="str">
        <f t="shared" si="166"/>
        <v>Include</v>
      </c>
      <c r="AJ489" t="str">
        <f t="shared" si="167"/>
        <v>Refunded Order</v>
      </c>
      <c r="AK489" t="s">
        <v>124</v>
      </c>
      <c r="AL489" t="str">
        <f t="shared" si="163"/>
        <v>Returned</v>
      </c>
      <c r="AM489" t="str">
        <f t="shared" si="168"/>
        <v>Include</v>
      </c>
      <c r="AN489">
        <f t="shared" si="169"/>
        <v>6155.5</v>
      </c>
      <c r="AO489">
        <f t="shared" si="170"/>
        <v>1873.4099999999999</v>
      </c>
      <c r="AP489">
        <f>IF(AN489=0,0,AO489/AN489)</f>
        <v>0.3043473316546178</v>
      </c>
      <c r="AQ489" t="str">
        <f t="shared" si="171"/>
        <v>June</v>
      </c>
      <c r="AR489">
        <f t="shared" si="172"/>
        <v>2025</v>
      </c>
      <c r="AS489" t="str">
        <f t="shared" si="173"/>
        <v>Clean</v>
      </c>
      <c r="AT489" t="str">
        <f>IF(OR(AC489&lt;0,AC489&gt;0.5),"Invalid Discount","Valid")</f>
        <v>Valid</v>
      </c>
      <c r="AU489" t="str">
        <f>IF(G489&lt;E489,"Invalid Shipping Record","Valid")</f>
        <v>Valid</v>
      </c>
      <c r="AV489" t="str">
        <f>IF(OR(AL489="Cancelled",AH489="Failed"),"Exclude","Include")</f>
        <v>Include</v>
      </c>
      <c r="AW489" t="str">
        <f t="shared" si="174"/>
        <v>Match</v>
      </c>
      <c r="AX489" t="str">
        <f t="shared" si="175"/>
        <v>Match</v>
      </c>
    </row>
    <row r="490" spans="1:50">
      <c r="A490" t="s">
        <v>2377</v>
      </c>
      <c r="B490">
        <f t="shared" si="176"/>
        <v>1</v>
      </c>
      <c r="C490" t="str">
        <f t="shared" si="164"/>
        <v/>
      </c>
      <c r="D490" s="3" t="s">
        <v>2378</v>
      </c>
      <c r="E490" s="7">
        <v>45579</v>
      </c>
      <c r="F490" s="3" t="s">
        <v>2379</v>
      </c>
      <c r="G490" s="7">
        <v>45585</v>
      </c>
      <c r="H490" s="7" t="str">
        <f t="shared" si="155"/>
        <v>Valid</v>
      </c>
      <c r="I490" s="9">
        <f t="shared" si="156"/>
        <v>6</v>
      </c>
      <c r="J490" s="9" t="str">
        <f t="shared" si="157"/>
        <v>Valid</v>
      </c>
      <c r="K490" t="s">
        <v>2380</v>
      </c>
      <c r="L490" t="s">
        <v>106</v>
      </c>
      <c r="M490" t="s">
        <v>106</v>
      </c>
      <c r="N490" t="s">
        <v>40</v>
      </c>
      <c r="O490" s="3" t="str">
        <f t="shared" si="158"/>
        <v>Small Business</v>
      </c>
      <c r="P490" t="s">
        <v>26</v>
      </c>
      <c r="Q490" s="3" t="str">
        <f t="shared" si="159"/>
        <v>North</v>
      </c>
      <c r="R490" t="s">
        <v>27</v>
      </c>
      <c r="S490" t="s">
        <v>28</v>
      </c>
      <c r="T490" t="s">
        <v>44</v>
      </c>
      <c r="U490" s="3" t="str">
        <f t="shared" si="160"/>
        <v>Furniture</v>
      </c>
      <c r="V490" t="s">
        <v>45</v>
      </c>
      <c r="W490" t="s">
        <v>2381</v>
      </c>
      <c r="X490" t="s">
        <v>47</v>
      </c>
      <c r="Y490" s="3" t="str">
        <f t="shared" si="161"/>
        <v>Same Day</v>
      </c>
      <c r="Z490">
        <v>7</v>
      </c>
      <c r="AA490">
        <v>1547.6</v>
      </c>
      <c r="AB490">
        <v>0.2</v>
      </c>
      <c r="AC490">
        <f t="shared" si="162"/>
        <v>0.2</v>
      </c>
      <c r="AD490" t="str">
        <f t="shared" si="165"/>
        <v>Valid</v>
      </c>
      <c r="AE490">
        <v>8666.56</v>
      </c>
      <c r="AF490">
        <v>5967.44</v>
      </c>
      <c r="AG490">
        <v>2699.12</v>
      </c>
      <c r="AH490" t="s">
        <v>33</v>
      </c>
      <c r="AI490" t="str">
        <f t="shared" si="166"/>
        <v>Include</v>
      </c>
      <c r="AJ490" t="str">
        <f t="shared" si="167"/>
        <v/>
      </c>
      <c r="AK490" t="s">
        <v>34</v>
      </c>
      <c r="AL490" t="str">
        <f t="shared" si="163"/>
        <v>Completed</v>
      </c>
      <c r="AM490" t="str">
        <f t="shared" si="168"/>
        <v>Include</v>
      </c>
      <c r="AN490">
        <f t="shared" si="169"/>
        <v>8666.56</v>
      </c>
      <c r="AO490">
        <f t="shared" si="170"/>
        <v>2699.12</v>
      </c>
      <c r="AP490">
        <f>IF(AN490=0,0,AO490/AN490)</f>
        <v>0.31144075619392242</v>
      </c>
      <c r="AQ490" t="str">
        <f t="shared" si="171"/>
        <v>October</v>
      </c>
      <c r="AR490">
        <f t="shared" si="172"/>
        <v>2024</v>
      </c>
      <c r="AS490" t="str">
        <f t="shared" si="173"/>
        <v>Clean</v>
      </c>
      <c r="AT490" t="str">
        <f>IF(OR(AC490&lt;0,AC490&gt;0.5),"Invalid Discount","Valid")</f>
        <v>Valid</v>
      </c>
      <c r="AU490" t="str">
        <f>IF(G490&lt;E490,"Invalid Shipping Record","Valid")</f>
        <v>Valid</v>
      </c>
      <c r="AV490" t="str">
        <f>IF(OR(AL490="Cancelled",AH490="Failed"),"Exclude","Include")</f>
        <v>Include</v>
      </c>
      <c r="AW490" t="str">
        <f t="shared" si="174"/>
        <v>Match</v>
      </c>
      <c r="AX490" t="str">
        <f t="shared" si="175"/>
        <v>Match</v>
      </c>
    </row>
    <row r="491" spans="1:50">
      <c r="A491" t="s">
        <v>2382</v>
      </c>
      <c r="B491">
        <f t="shared" si="176"/>
        <v>1</v>
      </c>
      <c r="C491" t="str">
        <f t="shared" si="164"/>
        <v/>
      </c>
      <c r="D491" s="3" t="s">
        <v>389</v>
      </c>
      <c r="E491" s="7">
        <v>45329</v>
      </c>
      <c r="F491" s="3" t="s">
        <v>2383</v>
      </c>
      <c r="G491" s="7">
        <v>45334</v>
      </c>
      <c r="H491" s="7" t="str">
        <f t="shared" si="155"/>
        <v>Valid</v>
      </c>
      <c r="I491" s="9">
        <f t="shared" si="156"/>
        <v>5</v>
      </c>
      <c r="J491" s="9" t="str">
        <f t="shared" si="157"/>
        <v>Valid</v>
      </c>
      <c r="K491" t="s">
        <v>2384</v>
      </c>
      <c r="L491" t="s">
        <v>60</v>
      </c>
      <c r="M491" t="s">
        <v>60</v>
      </c>
      <c r="N491" t="s">
        <v>114</v>
      </c>
      <c r="O491" s="3" t="str">
        <f t="shared" si="158"/>
        <v>Home Office</v>
      </c>
      <c r="P491" t="s">
        <v>41</v>
      </c>
      <c r="Q491" s="3" t="str">
        <f t="shared" si="159"/>
        <v>East</v>
      </c>
      <c r="R491" t="s">
        <v>120</v>
      </c>
      <c r="S491" t="s">
        <v>121</v>
      </c>
      <c r="T491" t="s">
        <v>85</v>
      </c>
      <c r="U491" s="3" t="str">
        <f t="shared" si="160"/>
        <v>Technology</v>
      </c>
      <c r="V491" t="s">
        <v>86</v>
      </c>
      <c r="W491" t="s">
        <v>2385</v>
      </c>
      <c r="X491" t="s">
        <v>32</v>
      </c>
      <c r="Y491" s="3" t="str">
        <f t="shared" si="161"/>
        <v>Second Class</v>
      </c>
      <c r="Z491">
        <v>1</v>
      </c>
      <c r="AA491">
        <v>452.19</v>
      </c>
      <c r="AB491">
        <v>0.2</v>
      </c>
      <c r="AC491">
        <f t="shared" si="162"/>
        <v>0.2</v>
      </c>
      <c r="AD491" t="str">
        <f t="shared" si="165"/>
        <v>Valid</v>
      </c>
      <c r="AE491">
        <v>361.75</v>
      </c>
      <c r="AF491">
        <v>262.52999999999997</v>
      </c>
      <c r="AG491">
        <v>99.22</v>
      </c>
      <c r="AH491" t="s">
        <v>33</v>
      </c>
      <c r="AI491" t="str">
        <f t="shared" si="166"/>
        <v>Include</v>
      </c>
      <c r="AJ491" t="str">
        <f t="shared" si="167"/>
        <v/>
      </c>
      <c r="AK491" t="s">
        <v>34</v>
      </c>
      <c r="AL491" t="str">
        <f t="shared" si="163"/>
        <v>Completed</v>
      </c>
      <c r="AM491" t="str">
        <f t="shared" si="168"/>
        <v>Include</v>
      </c>
      <c r="AN491">
        <f t="shared" si="169"/>
        <v>361.75200000000001</v>
      </c>
      <c r="AO491">
        <f t="shared" si="170"/>
        <v>99.222000000000037</v>
      </c>
      <c r="AP491">
        <f>IF(AN491=0,0,AO491/AN491)</f>
        <v>0.27428182843495003</v>
      </c>
      <c r="AQ491" t="str">
        <f t="shared" si="171"/>
        <v>February</v>
      </c>
      <c r="AR491">
        <f t="shared" si="172"/>
        <v>2024</v>
      </c>
      <c r="AS491" t="str">
        <f t="shared" si="173"/>
        <v>Clean</v>
      </c>
      <c r="AT491" t="str">
        <f>IF(OR(AC491&lt;0,AC491&gt;0.5),"Invalid Discount","Valid")</f>
        <v>Valid</v>
      </c>
      <c r="AU491" t="str">
        <f>IF(G491&lt;E491,"Invalid Shipping Record","Valid")</f>
        <v>Valid</v>
      </c>
      <c r="AV491" t="str">
        <f>IF(OR(AL491="Cancelled",AH491="Failed"),"Exclude","Include")</f>
        <v>Include</v>
      </c>
      <c r="AW491" t="str">
        <f t="shared" si="174"/>
        <v>Match</v>
      </c>
      <c r="AX491" t="str">
        <f t="shared" si="175"/>
        <v>Match</v>
      </c>
    </row>
    <row r="492" spans="1:50">
      <c r="A492" t="s">
        <v>2386</v>
      </c>
      <c r="B492">
        <f t="shared" si="176"/>
        <v>1</v>
      </c>
      <c r="C492" t="str">
        <f t="shared" si="164"/>
        <v/>
      </c>
      <c r="D492" s="3" t="s">
        <v>2387</v>
      </c>
      <c r="E492" s="7">
        <v>45551</v>
      </c>
      <c r="F492" s="3" t="s">
        <v>1888</v>
      </c>
      <c r="G492" s="7">
        <v>45554</v>
      </c>
      <c r="H492" s="7" t="str">
        <f t="shared" si="155"/>
        <v>Valid</v>
      </c>
      <c r="I492" s="9">
        <f t="shared" si="156"/>
        <v>3</v>
      </c>
      <c r="J492" s="9" t="str">
        <f t="shared" si="157"/>
        <v>Valid</v>
      </c>
      <c r="K492" t="s">
        <v>2388</v>
      </c>
      <c r="L492" t="s">
        <v>106</v>
      </c>
      <c r="M492" t="s">
        <v>106</v>
      </c>
      <c r="N492" t="s">
        <v>25</v>
      </c>
      <c r="O492" s="3" t="str">
        <f t="shared" si="158"/>
        <v>Consumer</v>
      </c>
      <c r="P492" t="s">
        <v>72</v>
      </c>
      <c r="Q492" s="3" t="str">
        <f t="shared" si="159"/>
        <v>West</v>
      </c>
      <c r="R492" t="s">
        <v>27</v>
      </c>
      <c r="S492" t="s">
        <v>134</v>
      </c>
      <c r="T492" t="s">
        <v>29</v>
      </c>
      <c r="U492" s="3" t="str">
        <f t="shared" si="160"/>
        <v>Office Supplies</v>
      </c>
      <c r="V492" t="s">
        <v>197</v>
      </c>
      <c r="W492" t="s">
        <v>2389</v>
      </c>
      <c r="X492" t="s">
        <v>55</v>
      </c>
      <c r="Y492" s="3" t="str">
        <f t="shared" si="161"/>
        <v>First Class</v>
      </c>
      <c r="Z492">
        <v>7</v>
      </c>
      <c r="AA492">
        <v>406.42</v>
      </c>
      <c r="AB492">
        <v>0.15</v>
      </c>
      <c r="AC492">
        <f t="shared" si="162"/>
        <v>0.15</v>
      </c>
      <c r="AD492" t="str">
        <f t="shared" si="165"/>
        <v>Valid</v>
      </c>
      <c r="AE492">
        <v>2418.1999999999998</v>
      </c>
      <c r="AF492">
        <v>1613.82</v>
      </c>
      <c r="AG492">
        <v>804.38</v>
      </c>
      <c r="AH492" t="s">
        <v>33</v>
      </c>
      <c r="AI492" t="str">
        <f t="shared" si="166"/>
        <v>Include</v>
      </c>
      <c r="AJ492" t="str">
        <f t="shared" si="167"/>
        <v/>
      </c>
      <c r="AK492" t="s">
        <v>34</v>
      </c>
      <c r="AL492" t="str">
        <f t="shared" si="163"/>
        <v>Completed</v>
      </c>
      <c r="AM492" t="str">
        <f t="shared" si="168"/>
        <v>Include</v>
      </c>
      <c r="AN492">
        <f t="shared" si="169"/>
        <v>2418.1990000000001</v>
      </c>
      <c r="AO492">
        <f t="shared" si="170"/>
        <v>804.37900000000013</v>
      </c>
      <c r="AP492">
        <f>IF(AN492=0,0,AO492/AN492)</f>
        <v>0.33263556886757462</v>
      </c>
      <c r="AQ492" t="str">
        <f t="shared" si="171"/>
        <v>September</v>
      </c>
      <c r="AR492">
        <f t="shared" si="172"/>
        <v>2024</v>
      </c>
      <c r="AS492" t="str">
        <f t="shared" si="173"/>
        <v>Clean</v>
      </c>
      <c r="AT492" t="str">
        <f>IF(OR(AC492&lt;0,AC492&gt;0.5),"Invalid Discount","Valid")</f>
        <v>Valid</v>
      </c>
      <c r="AU492" t="str">
        <f>IF(G492&lt;E492,"Invalid Shipping Record","Valid")</f>
        <v>Valid</v>
      </c>
      <c r="AV492" t="str">
        <f>IF(OR(AL492="Cancelled",AH492="Failed"),"Exclude","Include")</f>
        <v>Include</v>
      </c>
      <c r="AW492" t="str">
        <f t="shared" si="174"/>
        <v>Match</v>
      </c>
      <c r="AX492" t="str">
        <f t="shared" si="175"/>
        <v>Match</v>
      </c>
    </row>
    <row r="493" spans="1:50">
      <c r="A493" t="s">
        <v>2390</v>
      </c>
      <c r="B493">
        <f t="shared" si="176"/>
        <v>1</v>
      </c>
      <c r="C493" t="str">
        <f t="shared" si="164"/>
        <v/>
      </c>
      <c r="D493" s="3" t="s">
        <v>1977</v>
      </c>
      <c r="E493" s="7">
        <v>45776</v>
      </c>
      <c r="F493" s="3" t="s">
        <v>2391</v>
      </c>
      <c r="G493" s="7">
        <v>45777</v>
      </c>
      <c r="H493" s="7" t="str">
        <f t="shared" si="155"/>
        <v>Valid</v>
      </c>
      <c r="I493" s="9">
        <f t="shared" si="156"/>
        <v>1</v>
      </c>
      <c r="J493" s="9" t="str">
        <f t="shared" si="157"/>
        <v>Valid</v>
      </c>
      <c r="K493" t="s">
        <v>2392</v>
      </c>
      <c r="L493" t="s">
        <v>39</v>
      </c>
      <c r="M493" t="s">
        <v>39</v>
      </c>
      <c r="N493" t="s">
        <v>107</v>
      </c>
      <c r="O493" s="3" t="str">
        <f t="shared" si="158"/>
        <v>Corporate</v>
      </c>
      <c r="P493" t="s">
        <v>61</v>
      </c>
      <c r="Q493" s="3" t="str">
        <f t="shared" si="159"/>
        <v>South</v>
      </c>
      <c r="R493" t="s">
        <v>241</v>
      </c>
      <c r="S493" t="s">
        <v>242</v>
      </c>
      <c r="T493" t="s">
        <v>85</v>
      </c>
      <c r="U493" s="3" t="str">
        <f t="shared" si="160"/>
        <v>Technology</v>
      </c>
      <c r="V493" t="s">
        <v>86</v>
      </c>
      <c r="W493" t="s">
        <v>2393</v>
      </c>
      <c r="X493" t="s">
        <v>66</v>
      </c>
      <c r="Y493" s="3" t="str">
        <f t="shared" si="161"/>
        <v>Standard Class</v>
      </c>
      <c r="Z493">
        <v>4</v>
      </c>
      <c r="AA493">
        <v>606.58000000000004</v>
      </c>
      <c r="AB493">
        <v>0.2</v>
      </c>
      <c r="AC493">
        <f t="shared" si="162"/>
        <v>0.2</v>
      </c>
      <c r="AD493" t="str">
        <f t="shared" si="165"/>
        <v>Valid</v>
      </c>
      <c r="AE493">
        <v>1941.06</v>
      </c>
      <c r="AF493">
        <v>1207.42</v>
      </c>
      <c r="AG493">
        <v>733.64</v>
      </c>
      <c r="AH493" t="s">
        <v>33</v>
      </c>
      <c r="AI493" t="str">
        <f t="shared" si="166"/>
        <v>Include</v>
      </c>
      <c r="AJ493" t="str">
        <f t="shared" si="167"/>
        <v/>
      </c>
      <c r="AK493" t="s">
        <v>34</v>
      </c>
      <c r="AL493" t="str">
        <f t="shared" si="163"/>
        <v>Completed</v>
      </c>
      <c r="AM493" t="str">
        <f t="shared" si="168"/>
        <v>Include</v>
      </c>
      <c r="AN493">
        <f t="shared" si="169"/>
        <v>1941.0560000000003</v>
      </c>
      <c r="AO493">
        <f t="shared" si="170"/>
        <v>733.63600000000019</v>
      </c>
      <c r="AP493">
        <f>IF(AN493=0,0,AO493/AN493)</f>
        <v>0.37795715321969076</v>
      </c>
      <c r="AQ493" t="str">
        <f t="shared" si="171"/>
        <v>April</v>
      </c>
      <c r="AR493">
        <f t="shared" si="172"/>
        <v>2025</v>
      </c>
      <c r="AS493" t="str">
        <f t="shared" si="173"/>
        <v>Clean</v>
      </c>
      <c r="AT493" t="str">
        <f>IF(OR(AC493&lt;0,AC493&gt;0.5),"Invalid Discount","Valid")</f>
        <v>Valid</v>
      </c>
      <c r="AU493" t="str">
        <f>IF(G493&lt;E493,"Invalid Shipping Record","Valid")</f>
        <v>Valid</v>
      </c>
      <c r="AV493" t="str">
        <f>IF(OR(AL493="Cancelled",AH493="Failed"),"Exclude","Include")</f>
        <v>Include</v>
      </c>
      <c r="AW493" t="str">
        <f t="shared" si="174"/>
        <v>Match</v>
      </c>
      <c r="AX493" t="str">
        <f t="shared" si="175"/>
        <v>Match</v>
      </c>
    </row>
    <row r="494" spans="1:50">
      <c r="A494" t="s">
        <v>2394</v>
      </c>
      <c r="B494">
        <f t="shared" si="176"/>
        <v>1</v>
      </c>
      <c r="C494" t="str">
        <f t="shared" si="164"/>
        <v/>
      </c>
      <c r="D494" s="3" t="s">
        <v>2395</v>
      </c>
      <c r="E494" s="7">
        <v>45836</v>
      </c>
      <c r="F494" s="3" t="s">
        <v>2396</v>
      </c>
      <c r="G494" s="7">
        <v>45840</v>
      </c>
      <c r="H494" s="7" t="str">
        <f t="shared" si="155"/>
        <v>Valid</v>
      </c>
      <c r="I494" s="9">
        <f t="shared" si="156"/>
        <v>4</v>
      </c>
      <c r="J494" s="9" t="str">
        <f t="shared" si="157"/>
        <v>Valid</v>
      </c>
      <c r="K494" t="s">
        <v>2397</v>
      </c>
      <c r="L494" t="s">
        <v>71</v>
      </c>
      <c r="M494" t="s">
        <v>71</v>
      </c>
      <c r="N494" t="s">
        <v>107</v>
      </c>
      <c r="O494" s="3" t="str">
        <f t="shared" si="158"/>
        <v>Corporate</v>
      </c>
      <c r="P494" t="s">
        <v>61</v>
      </c>
      <c r="Q494" s="3" t="str">
        <f t="shared" si="159"/>
        <v>South</v>
      </c>
      <c r="R494" t="s">
        <v>99</v>
      </c>
      <c r="S494" t="s">
        <v>100</v>
      </c>
      <c r="T494" t="s">
        <v>29</v>
      </c>
      <c r="U494" s="3" t="str">
        <f t="shared" si="160"/>
        <v>Office Supplies</v>
      </c>
      <c r="V494" t="s">
        <v>155</v>
      </c>
      <c r="W494" t="s">
        <v>2398</v>
      </c>
      <c r="X494" t="s">
        <v>32</v>
      </c>
      <c r="Y494" s="3" t="str">
        <f t="shared" si="161"/>
        <v>Second Class</v>
      </c>
      <c r="Z494">
        <v>2</v>
      </c>
      <c r="AA494">
        <v>2725.44</v>
      </c>
      <c r="AB494">
        <v>0.25</v>
      </c>
      <c r="AC494">
        <f t="shared" si="162"/>
        <v>0.25</v>
      </c>
      <c r="AD494" t="str">
        <f t="shared" si="165"/>
        <v>Valid</v>
      </c>
      <c r="AE494">
        <v>4088.16</v>
      </c>
      <c r="AF494">
        <v>3205.68</v>
      </c>
      <c r="AG494">
        <v>882.48</v>
      </c>
      <c r="AH494" t="s">
        <v>33</v>
      </c>
      <c r="AI494" t="str">
        <f t="shared" si="166"/>
        <v>Include</v>
      </c>
      <c r="AJ494" t="str">
        <f t="shared" si="167"/>
        <v/>
      </c>
      <c r="AK494" t="s">
        <v>34</v>
      </c>
      <c r="AL494" t="str">
        <f t="shared" si="163"/>
        <v>Completed</v>
      </c>
      <c r="AM494" t="str">
        <f t="shared" si="168"/>
        <v>Include</v>
      </c>
      <c r="AN494">
        <f t="shared" si="169"/>
        <v>4088.16</v>
      </c>
      <c r="AO494">
        <f t="shared" si="170"/>
        <v>882.48</v>
      </c>
      <c r="AP494">
        <f>IF(AN494=0,0,AO494/AN494)</f>
        <v>0.21586239286133616</v>
      </c>
      <c r="AQ494" t="str">
        <f t="shared" si="171"/>
        <v>June</v>
      </c>
      <c r="AR494">
        <f t="shared" si="172"/>
        <v>2025</v>
      </c>
      <c r="AS494" t="str">
        <f t="shared" si="173"/>
        <v>Clean</v>
      </c>
      <c r="AT494" t="str">
        <f>IF(OR(AC494&lt;0,AC494&gt;0.5),"Invalid Discount","Valid")</f>
        <v>Valid</v>
      </c>
      <c r="AU494" t="str">
        <f>IF(G494&lt;E494,"Invalid Shipping Record","Valid")</f>
        <v>Valid</v>
      </c>
      <c r="AV494" t="str">
        <f>IF(OR(AL494="Cancelled",AH494="Failed"),"Exclude","Include")</f>
        <v>Include</v>
      </c>
      <c r="AW494" t="str">
        <f t="shared" si="174"/>
        <v>Match</v>
      </c>
      <c r="AX494" t="str">
        <f t="shared" si="175"/>
        <v>Match</v>
      </c>
    </row>
    <row r="495" spans="1:50">
      <c r="A495" t="s">
        <v>2399</v>
      </c>
      <c r="B495">
        <f t="shared" si="176"/>
        <v>1</v>
      </c>
      <c r="C495" t="str">
        <f t="shared" si="164"/>
        <v/>
      </c>
      <c r="D495" s="3" t="s">
        <v>1414</v>
      </c>
      <c r="E495" s="7">
        <v>45701</v>
      </c>
      <c r="F495" s="3" t="s">
        <v>2400</v>
      </c>
      <c r="G495" s="7">
        <v>45701</v>
      </c>
      <c r="H495" s="7" t="str">
        <f t="shared" si="155"/>
        <v>Valid</v>
      </c>
      <c r="I495" s="9">
        <f t="shared" si="156"/>
        <v>0</v>
      </c>
      <c r="J495" s="9" t="str">
        <f t="shared" si="157"/>
        <v>Valid</v>
      </c>
      <c r="K495" t="s">
        <v>2401</v>
      </c>
      <c r="L495" t="s">
        <v>365</v>
      </c>
      <c r="M495" t="s">
        <v>365</v>
      </c>
      <c r="N495" t="s">
        <v>107</v>
      </c>
      <c r="O495" s="3" t="str">
        <f t="shared" si="158"/>
        <v>Corporate</v>
      </c>
      <c r="P495" t="s">
        <v>41</v>
      </c>
      <c r="Q495" s="3" t="str">
        <f t="shared" si="159"/>
        <v>East</v>
      </c>
      <c r="R495" t="s">
        <v>42</v>
      </c>
      <c r="S495" t="s">
        <v>43</v>
      </c>
      <c r="T495" t="s">
        <v>29</v>
      </c>
      <c r="U495" s="3" t="str">
        <f t="shared" si="160"/>
        <v>Office Supplies</v>
      </c>
      <c r="V495" t="s">
        <v>30</v>
      </c>
      <c r="W495" t="s">
        <v>2402</v>
      </c>
      <c r="X495" t="s">
        <v>32</v>
      </c>
      <c r="Y495" s="3" t="str">
        <f t="shared" si="161"/>
        <v>Second Class</v>
      </c>
      <c r="Z495">
        <v>7</v>
      </c>
      <c r="AA495">
        <v>2296.6999999999998</v>
      </c>
      <c r="AB495">
        <v>0.05</v>
      </c>
      <c r="AC495">
        <f t="shared" si="162"/>
        <v>0.05</v>
      </c>
      <c r="AD495" t="str">
        <f t="shared" si="165"/>
        <v>Valid</v>
      </c>
      <c r="AE495">
        <v>15273.05</v>
      </c>
      <c r="AF495">
        <v>11088.76</v>
      </c>
      <c r="AG495">
        <v>4184.29</v>
      </c>
      <c r="AH495" t="s">
        <v>33</v>
      </c>
      <c r="AI495" t="str">
        <f t="shared" si="166"/>
        <v>Include</v>
      </c>
      <c r="AJ495" t="str">
        <f t="shared" si="167"/>
        <v/>
      </c>
      <c r="AK495" t="s">
        <v>2403</v>
      </c>
      <c r="AL495" t="str">
        <f t="shared" si="163"/>
        <v>Completed</v>
      </c>
      <c r="AM495" t="str">
        <f t="shared" si="168"/>
        <v>Include</v>
      </c>
      <c r="AN495">
        <f t="shared" si="169"/>
        <v>15273.054999999997</v>
      </c>
      <c r="AO495">
        <f t="shared" si="170"/>
        <v>4184.2949999999964</v>
      </c>
      <c r="AP495">
        <f>IF(AN495=0,0,AO495/AN495)</f>
        <v>0.27396581757873573</v>
      </c>
      <c r="AQ495" t="str">
        <f t="shared" si="171"/>
        <v>February</v>
      </c>
      <c r="AR495">
        <f t="shared" si="172"/>
        <v>2025</v>
      </c>
      <c r="AS495" t="str">
        <f t="shared" si="173"/>
        <v>Clean</v>
      </c>
      <c r="AT495" t="str">
        <f>IF(OR(AC495&lt;0,AC495&gt;0.5),"Invalid Discount","Valid")</f>
        <v>Valid</v>
      </c>
      <c r="AU495" t="str">
        <f>IF(G495&lt;E495,"Invalid Shipping Record","Valid")</f>
        <v>Valid</v>
      </c>
      <c r="AV495" t="str">
        <f>IF(OR(AL495="Cancelled",AH495="Failed"),"Exclude","Include")</f>
        <v>Include</v>
      </c>
      <c r="AW495" t="str">
        <f t="shared" si="174"/>
        <v>Mismatch</v>
      </c>
      <c r="AX495" t="str">
        <f t="shared" si="175"/>
        <v>Mismatch</v>
      </c>
    </row>
    <row r="496" spans="1:50">
      <c r="A496" t="s">
        <v>2404</v>
      </c>
      <c r="B496">
        <f t="shared" si="176"/>
        <v>1</v>
      </c>
      <c r="C496" t="str">
        <f t="shared" si="164"/>
        <v/>
      </c>
      <c r="D496" s="3" t="s">
        <v>2405</v>
      </c>
      <c r="E496" s="7">
        <v>45610</v>
      </c>
      <c r="F496" s="3" t="s">
        <v>2406</v>
      </c>
      <c r="G496" s="7">
        <v>45618</v>
      </c>
      <c r="H496" s="7" t="str">
        <f t="shared" si="155"/>
        <v>Valid</v>
      </c>
      <c r="I496" s="9">
        <f t="shared" si="156"/>
        <v>8</v>
      </c>
      <c r="J496" s="9" t="str">
        <f t="shared" si="157"/>
        <v>Valid</v>
      </c>
      <c r="K496" t="s">
        <v>2407</v>
      </c>
      <c r="L496" t="s">
        <v>52</v>
      </c>
      <c r="M496" t="s">
        <v>52</v>
      </c>
      <c r="N496" t="s">
        <v>25</v>
      </c>
      <c r="O496" s="3" t="str">
        <f t="shared" si="158"/>
        <v>Consumer</v>
      </c>
      <c r="P496" t="s">
        <v>72</v>
      </c>
      <c r="Q496" s="3" t="str">
        <f t="shared" si="159"/>
        <v>West</v>
      </c>
      <c r="R496" t="s">
        <v>83</v>
      </c>
      <c r="S496" t="s">
        <v>84</v>
      </c>
      <c r="T496" t="s">
        <v>85</v>
      </c>
      <c r="U496" s="3" t="str">
        <f t="shared" si="160"/>
        <v>Technology</v>
      </c>
      <c r="V496" t="s">
        <v>222</v>
      </c>
      <c r="W496" t="s">
        <v>2408</v>
      </c>
      <c r="X496" t="s">
        <v>66</v>
      </c>
      <c r="Y496" s="3" t="str">
        <f t="shared" si="161"/>
        <v>Standard Class</v>
      </c>
      <c r="Z496">
        <v>3</v>
      </c>
      <c r="AA496">
        <v>671.68</v>
      </c>
      <c r="AB496">
        <v>-0.13</v>
      </c>
      <c r="AC496">
        <f t="shared" si="162"/>
        <v>-0.13</v>
      </c>
      <c r="AD496" t="str">
        <f t="shared" si="165"/>
        <v>Invalid Discount</v>
      </c>
      <c r="AE496">
        <v>1712.78</v>
      </c>
      <c r="AF496">
        <v>1569.38</v>
      </c>
      <c r="AG496">
        <v>360.66</v>
      </c>
      <c r="AH496" t="s">
        <v>199</v>
      </c>
      <c r="AI496" t="str">
        <f t="shared" si="166"/>
        <v>Exclude</v>
      </c>
      <c r="AJ496" t="str">
        <f t="shared" si="167"/>
        <v/>
      </c>
      <c r="AK496" t="s">
        <v>77</v>
      </c>
      <c r="AL496" t="str">
        <f t="shared" si="163"/>
        <v>Cancelled</v>
      </c>
      <c r="AM496" t="str">
        <f t="shared" si="168"/>
        <v>Exclude</v>
      </c>
      <c r="AN496">
        <f t="shared" si="169"/>
        <v>2276.9951999999998</v>
      </c>
      <c r="AO496">
        <f t="shared" si="170"/>
        <v>707.61519999999973</v>
      </c>
      <c r="AP496">
        <f>IF(AN496=0,0,AO496/AN496)</f>
        <v>0.31076710218800629</v>
      </c>
      <c r="AQ496" t="str">
        <f t="shared" si="171"/>
        <v>November</v>
      </c>
      <c r="AR496">
        <f t="shared" si="172"/>
        <v>2024</v>
      </c>
      <c r="AS496" t="str">
        <f t="shared" si="173"/>
        <v>Invalid</v>
      </c>
      <c r="AT496" t="str">
        <f>IF(OR(AC496&lt;0,AC496&gt;0.5),"Invalid Discount","Valid")</f>
        <v>Invalid Discount</v>
      </c>
      <c r="AU496" t="str">
        <f>IF(G496&lt;E496,"Invalid Shipping Record","Valid")</f>
        <v>Valid</v>
      </c>
      <c r="AV496" t="str">
        <f>IF(OR(AL496="Cancelled",AH496="Failed"),"Exclude","Include")</f>
        <v>Exclude</v>
      </c>
      <c r="AW496" t="str">
        <f t="shared" si="174"/>
        <v>Mismatch</v>
      </c>
      <c r="AX496" t="str">
        <f t="shared" si="175"/>
        <v>Mismatch</v>
      </c>
    </row>
    <row r="497" spans="1:50">
      <c r="A497" t="s">
        <v>2409</v>
      </c>
      <c r="B497">
        <f t="shared" si="176"/>
        <v>1</v>
      </c>
      <c r="C497" t="str">
        <f t="shared" si="164"/>
        <v/>
      </c>
      <c r="D497" s="3" t="s">
        <v>2190</v>
      </c>
      <c r="E497" s="7">
        <v>45421</v>
      </c>
      <c r="F497" s="3" t="s">
        <v>2410</v>
      </c>
      <c r="G497" s="7">
        <v>45427</v>
      </c>
      <c r="H497" s="7" t="str">
        <f t="shared" si="155"/>
        <v>Valid</v>
      </c>
      <c r="I497" s="9">
        <f t="shared" si="156"/>
        <v>6</v>
      </c>
      <c r="J497" s="9" t="str">
        <f t="shared" si="157"/>
        <v>Valid</v>
      </c>
      <c r="K497" t="s">
        <v>2411</v>
      </c>
      <c r="L497" t="s">
        <v>39</v>
      </c>
      <c r="M497" t="s">
        <v>39</v>
      </c>
      <c r="N497" t="s">
        <v>40</v>
      </c>
      <c r="O497" s="3" t="str">
        <f t="shared" si="158"/>
        <v>Small Business</v>
      </c>
      <c r="P497" t="s">
        <v>41</v>
      </c>
      <c r="Q497" s="3" t="str">
        <f t="shared" si="159"/>
        <v>East</v>
      </c>
      <c r="R497" t="s">
        <v>215</v>
      </c>
      <c r="S497" t="s">
        <v>216</v>
      </c>
      <c r="T497" t="s">
        <v>85</v>
      </c>
      <c r="U497" s="3" t="str">
        <f t="shared" si="160"/>
        <v>Technology</v>
      </c>
      <c r="V497" t="s">
        <v>222</v>
      </c>
      <c r="W497" t="s">
        <v>2412</v>
      </c>
      <c r="X497" t="s">
        <v>32</v>
      </c>
      <c r="Y497" s="3" t="str">
        <f t="shared" si="161"/>
        <v>Second Class</v>
      </c>
      <c r="Z497">
        <v>4</v>
      </c>
      <c r="AA497">
        <v>995.98</v>
      </c>
      <c r="AB497">
        <v>0.05</v>
      </c>
      <c r="AC497">
        <f t="shared" si="162"/>
        <v>0.05</v>
      </c>
      <c r="AD497" t="str">
        <f t="shared" si="165"/>
        <v>Valid</v>
      </c>
      <c r="AE497">
        <v>3784.72</v>
      </c>
      <c r="AF497">
        <v>2419.2399999999998</v>
      </c>
      <c r="AG497">
        <v>1365.48</v>
      </c>
      <c r="AH497" t="s">
        <v>123</v>
      </c>
      <c r="AI497" t="str">
        <f t="shared" si="166"/>
        <v>Include</v>
      </c>
      <c r="AJ497" t="str">
        <f t="shared" si="167"/>
        <v>Refunded Order</v>
      </c>
      <c r="AK497" t="s">
        <v>124</v>
      </c>
      <c r="AL497" t="str">
        <f t="shared" si="163"/>
        <v>Returned</v>
      </c>
      <c r="AM497" t="str">
        <f t="shared" si="168"/>
        <v>Include</v>
      </c>
      <c r="AN497">
        <f t="shared" si="169"/>
        <v>3784.7239999999997</v>
      </c>
      <c r="AO497">
        <f t="shared" si="170"/>
        <v>1365.4839999999999</v>
      </c>
      <c r="AP497">
        <f>IF(AN497=0,0,AO497/AN497)</f>
        <v>0.36078826355633858</v>
      </c>
      <c r="AQ497" t="str">
        <f t="shared" si="171"/>
        <v>May</v>
      </c>
      <c r="AR497">
        <f t="shared" si="172"/>
        <v>2024</v>
      </c>
      <c r="AS497" t="str">
        <f t="shared" si="173"/>
        <v>Clean</v>
      </c>
      <c r="AT497" t="str">
        <f>IF(OR(AC497&lt;0,AC497&gt;0.5),"Invalid Discount","Valid")</f>
        <v>Valid</v>
      </c>
      <c r="AU497" t="str">
        <f>IF(G497&lt;E497,"Invalid Shipping Record","Valid")</f>
        <v>Valid</v>
      </c>
      <c r="AV497" t="str">
        <f>IF(OR(AL497="Cancelled",AH497="Failed"),"Exclude","Include")</f>
        <v>Include</v>
      </c>
      <c r="AW497" t="str">
        <f t="shared" si="174"/>
        <v>Match</v>
      </c>
      <c r="AX497" t="str">
        <f t="shared" si="175"/>
        <v>Match</v>
      </c>
    </row>
    <row r="498" spans="1:50">
      <c r="A498" t="s">
        <v>2413</v>
      </c>
      <c r="B498">
        <f t="shared" si="176"/>
        <v>1</v>
      </c>
      <c r="C498" t="str">
        <f t="shared" si="164"/>
        <v/>
      </c>
      <c r="D498" s="3" t="s">
        <v>2414</v>
      </c>
      <c r="E498" s="7">
        <v>45842</v>
      </c>
      <c r="F498" s="3" t="s">
        <v>2415</v>
      </c>
      <c r="G498" s="7">
        <v>45844</v>
      </c>
      <c r="H498" s="7" t="str">
        <f t="shared" si="155"/>
        <v>Valid</v>
      </c>
      <c r="I498" s="9">
        <f t="shared" si="156"/>
        <v>2</v>
      </c>
      <c r="J498" s="9" t="str">
        <f t="shared" si="157"/>
        <v>Valid</v>
      </c>
      <c r="K498" t="s">
        <v>2416</v>
      </c>
      <c r="L498" t="s">
        <v>365</v>
      </c>
      <c r="M498" t="s">
        <v>365</v>
      </c>
      <c r="N498" t="s">
        <v>40</v>
      </c>
      <c r="O498" s="3" t="str">
        <f t="shared" si="158"/>
        <v>Small Business</v>
      </c>
      <c r="P498" t="s">
        <v>41</v>
      </c>
      <c r="Q498" s="3" t="str">
        <f t="shared" si="159"/>
        <v>East</v>
      </c>
      <c r="R498" t="s">
        <v>310</v>
      </c>
      <c r="S498" t="s">
        <v>311</v>
      </c>
      <c r="T498" t="s">
        <v>44</v>
      </c>
      <c r="U498" s="3" t="str">
        <f t="shared" si="160"/>
        <v>Furniture</v>
      </c>
      <c r="V498" t="s">
        <v>75</v>
      </c>
      <c r="W498" t="s">
        <v>2417</v>
      </c>
      <c r="X498" t="s">
        <v>32</v>
      </c>
      <c r="Y498" s="3" t="str">
        <f t="shared" si="161"/>
        <v>Second Class</v>
      </c>
      <c r="Z498">
        <v>2</v>
      </c>
      <c r="AA498">
        <v>3686.42</v>
      </c>
      <c r="AB498">
        <v>0.1</v>
      </c>
      <c r="AC498">
        <f t="shared" si="162"/>
        <v>0.1</v>
      </c>
      <c r="AD498" t="str">
        <f t="shared" si="165"/>
        <v>Valid</v>
      </c>
      <c r="AE498">
        <v>6635.56</v>
      </c>
      <c r="AF498">
        <v>3652.91</v>
      </c>
      <c r="AG498">
        <v>2982.65</v>
      </c>
      <c r="AH498" t="s">
        <v>33</v>
      </c>
      <c r="AI498" t="str">
        <f t="shared" si="166"/>
        <v>Include</v>
      </c>
      <c r="AJ498" t="str">
        <f t="shared" si="167"/>
        <v/>
      </c>
      <c r="AK498" t="s">
        <v>34</v>
      </c>
      <c r="AL498" t="str">
        <f t="shared" si="163"/>
        <v>Completed</v>
      </c>
      <c r="AM498" t="str">
        <f t="shared" si="168"/>
        <v>Include</v>
      </c>
      <c r="AN498">
        <f t="shared" si="169"/>
        <v>6635.5560000000005</v>
      </c>
      <c r="AO498">
        <f t="shared" si="170"/>
        <v>2982.6460000000006</v>
      </c>
      <c r="AP498">
        <f>IF(AN498=0,0,AO498/AN498)</f>
        <v>0.44949451108543131</v>
      </c>
      <c r="AQ498" t="str">
        <f t="shared" si="171"/>
        <v>July</v>
      </c>
      <c r="AR498">
        <f t="shared" si="172"/>
        <v>2025</v>
      </c>
      <c r="AS498" t="str">
        <f t="shared" si="173"/>
        <v>Clean</v>
      </c>
      <c r="AT498" t="str">
        <f>IF(OR(AC498&lt;0,AC498&gt;0.5),"Invalid Discount","Valid")</f>
        <v>Valid</v>
      </c>
      <c r="AU498" t="str">
        <f>IF(G498&lt;E498,"Invalid Shipping Record","Valid")</f>
        <v>Valid</v>
      </c>
      <c r="AV498" t="str">
        <f>IF(OR(AL498="Cancelled",AH498="Failed"),"Exclude","Include")</f>
        <v>Include</v>
      </c>
      <c r="AW498" t="str">
        <f t="shared" si="174"/>
        <v>Match</v>
      </c>
      <c r="AX498" t="str">
        <f t="shared" si="175"/>
        <v>Match</v>
      </c>
    </row>
    <row r="499" spans="1:50">
      <c r="A499" t="s">
        <v>2418</v>
      </c>
      <c r="B499">
        <f t="shared" si="176"/>
        <v>1</v>
      </c>
      <c r="C499" t="str">
        <f t="shared" si="164"/>
        <v/>
      </c>
      <c r="D499" s="3" t="s">
        <v>2419</v>
      </c>
      <c r="E499" s="7">
        <v>45533</v>
      </c>
      <c r="F499" s="3" t="s">
        <v>2419</v>
      </c>
      <c r="G499" s="7">
        <v>45533</v>
      </c>
      <c r="H499" s="7" t="str">
        <f t="shared" si="155"/>
        <v>Valid</v>
      </c>
      <c r="I499" s="9">
        <f t="shared" si="156"/>
        <v>0</v>
      </c>
      <c r="J499" s="9" t="str">
        <f t="shared" si="157"/>
        <v>Valid</v>
      </c>
      <c r="K499" t="s">
        <v>2420</v>
      </c>
      <c r="L499" t="s">
        <v>167</v>
      </c>
      <c r="M499" t="s">
        <v>167</v>
      </c>
      <c r="N499" t="s">
        <v>40</v>
      </c>
      <c r="O499" s="3" t="str">
        <f t="shared" si="158"/>
        <v>Small Business</v>
      </c>
      <c r="P499" t="s">
        <v>711</v>
      </c>
      <c r="Q499" s="3" t="str">
        <f t="shared" si="159"/>
        <v>North</v>
      </c>
      <c r="R499" t="s">
        <v>173</v>
      </c>
      <c r="S499" t="s">
        <v>174</v>
      </c>
      <c r="T499" t="s">
        <v>85</v>
      </c>
      <c r="U499" s="3" t="str">
        <f t="shared" si="160"/>
        <v>Technology</v>
      </c>
      <c r="V499" t="s">
        <v>86</v>
      </c>
      <c r="W499" t="s">
        <v>2421</v>
      </c>
      <c r="X499" t="s">
        <v>32</v>
      </c>
      <c r="Y499" s="3" t="str">
        <f t="shared" si="161"/>
        <v>Second Class</v>
      </c>
      <c r="Z499">
        <v>1</v>
      </c>
      <c r="AA499">
        <v>3106.88</v>
      </c>
      <c r="AB499">
        <v>0.2</v>
      </c>
      <c r="AC499">
        <f t="shared" si="162"/>
        <v>0.2</v>
      </c>
      <c r="AD499" t="str">
        <f t="shared" si="165"/>
        <v>Valid</v>
      </c>
      <c r="AE499">
        <v>2485.5</v>
      </c>
      <c r="AF499">
        <v>2028.43</v>
      </c>
      <c r="AG499">
        <v>457.07</v>
      </c>
      <c r="AH499" t="s">
        <v>33</v>
      </c>
      <c r="AI499" t="str">
        <f t="shared" si="166"/>
        <v>Exclude</v>
      </c>
      <c r="AJ499" t="str">
        <f t="shared" si="167"/>
        <v/>
      </c>
      <c r="AK499" t="s">
        <v>77</v>
      </c>
      <c r="AL499" t="str">
        <f t="shared" si="163"/>
        <v>Cancelled</v>
      </c>
      <c r="AM499" t="str">
        <f t="shared" si="168"/>
        <v>Exclude</v>
      </c>
      <c r="AN499">
        <f t="shared" si="169"/>
        <v>2485.5040000000004</v>
      </c>
      <c r="AO499">
        <f t="shared" si="170"/>
        <v>457.0740000000003</v>
      </c>
      <c r="AP499">
        <f>IF(AN499=0,0,AO499/AN499)</f>
        <v>0.18389590199814615</v>
      </c>
      <c r="AQ499" t="str">
        <f t="shared" si="171"/>
        <v>August</v>
      </c>
      <c r="AR499">
        <f t="shared" si="172"/>
        <v>2024</v>
      </c>
      <c r="AS499" t="str">
        <f t="shared" si="173"/>
        <v>Clean</v>
      </c>
      <c r="AT499" t="str">
        <f>IF(OR(AC499&lt;0,AC499&gt;0.5),"Invalid Discount","Valid")</f>
        <v>Valid</v>
      </c>
      <c r="AU499" t="str">
        <f>IF(G499&lt;E499,"Invalid Shipping Record","Valid")</f>
        <v>Valid</v>
      </c>
      <c r="AV499" t="str">
        <f>IF(OR(AL499="Cancelled",AH499="Failed"),"Exclude","Include")</f>
        <v>Exclude</v>
      </c>
      <c r="AW499" t="str">
        <f t="shared" si="174"/>
        <v>Match</v>
      </c>
      <c r="AX499" t="str">
        <f t="shared" si="175"/>
        <v>Match</v>
      </c>
    </row>
    <row r="500" spans="1:50">
      <c r="A500" t="s">
        <v>2422</v>
      </c>
      <c r="B500">
        <f t="shared" si="176"/>
        <v>1</v>
      </c>
      <c r="C500" t="str">
        <f t="shared" si="164"/>
        <v/>
      </c>
      <c r="D500" s="3" t="s">
        <v>2423</v>
      </c>
      <c r="E500" s="7">
        <v>45907</v>
      </c>
      <c r="F500" s="3" t="s">
        <v>2424</v>
      </c>
      <c r="G500" s="7">
        <v>45910</v>
      </c>
      <c r="H500" s="7" t="str">
        <f t="shared" si="155"/>
        <v>Valid</v>
      </c>
      <c r="I500" s="9">
        <f t="shared" si="156"/>
        <v>3</v>
      </c>
      <c r="J500" s="9" t="str">
        <f t="shared" si="157"/>
        <v>Valid</v>
      </c>
      <c r="K500" t="s">
        <v>2425</v>
      </c>
      <c r="L500" t="s">
        <v>24</v>
      </c>
      <c r="M500" t="s">
        <v>24</v>
      </c>
      <c r="N500" t="s">
        <v>25</v>
      </c>
      <c r="O500" s="3" t="str">
        <f t="shared" si="158"/>
        <v>Consumer</v>
      </c>
      <c r="P500" t="s">
        <v>26</v>
      </c>
      <c r="Q500" s="3" t="str">
        <f t="shared" si="159"/>
        <v>North</v>
      </c>
      <c r="R500" t="s">
        <v>153</v>
      </c>
      <c r="S500" t="s">
        <v>154</v>
      </c>
      <c r="T500" t="s">
        <v>44</v>
      </c>
      <c r="U500" s="3" t="str">
        <f t="shared" si="160"/>
        <v>Furniture</v>
      </c>
      <c r="V500" t="s">
        <v>75</v>
      </c>
      <c r="W500" t="s">
        <v>2426</v>
      </c>
      <c r="X500" t="s">
        <v>47</v>
      </c>
      <c r="Y500" s="3" t="str">
        <f t="shared" si="161"/>
        <v>Same Day</v>
      </c>
      <c r="Z500">
        <v>2</v>
      </c>
      <c r="AA500">
        <v>447.55</v>
      </c>
      <c r="AB500">
        <v>0.05</v>
      </c>
      <c r="AC500">
        <f t="shared" si="162"/>
        <v>0.05</v>
      </c>
      <c r="AD500" t="str">
        <f t="shared" si="165"/>
        <v>Valid</v>
      </c>
      <c r="AE500">
        <v>850.35</v>
      </c>
      <c r="AF500">
        <v>600.98</v>
      </c>
      <c r="AG500">
        <v>249.37</v>
      </c>
      <c r="AH500" t="s">
        <v>123</v>
      </c>
      <c r="AI500" t="str">
        <f t="shared" si="166"/>
        <v>Exclude</v>
      </c>
      <c r="AJ500" t="str">
        <f t="shared" si="167"/>
        <v>Refunded Order</v>
      </c>
      <c r="AK500" t="s">
        <v>2427</v>
      </c>
      <c r="AL500" t="str">
        <f t="shared" si="163"/>
        <v>Cancelled</v>
      </c>
      <c r="AM500" t="str">
        <f t="shared" si="168"/>
        <v>Exclude</v>
      </c>
      <c r="AN500">
        <f t="shared" si="169"/>
        <v>850.34500000000003</v>
      </c>
      <c r="AO500">
        <f t="shared" si="170"/>
        <v>249.36500000000001</v>
      </c>
      <c r="AP500">
        <f>IF(AN500=0,0,AO500/AN500)</f>
        <v>0.29325156260106194</v>
      </c>
      <c r="AQ500" t="str">
        <f t="shared" si="171"/>
        <v>September</v>
      </c>
      <c r="AR500">
        <f t="shared" si="172"/>
        <v>2025</v>
      </c>
      <c r="AS500" t="str">
        <f t="shared" si="173"/>
        <v>Clean</v>
      </c>
      <c r="AT500" t="str">
        <f>IF(OR(AC500&lt;0,AC500&gt;0.5),"Invalid Discount","Valid")</f>
        <v>Valid</v>
      </c>
      <c r="AU500" t="str">
        <f>IF(G500&lt;E500,"Invalid Shipping Record","Valid")</f>
        <v>Valid</v>
      </c>
      <c r="AV500" t="str">
        <f>IF(OR(AL500="Cancelled",AH500="Failed"),"Exclude","Include")</f>
        <v>Exclude</v>
      </c>
      <c r="AW500" t="str">
        <f t="shared" si="174"/>
        <v>Match</v>
      </c>
      <c r="AX500" t="str">
        <f t="shared" si="175"/>
        <v>Match</v>
      </c>
    </row>
    <row r="501" spans="1:50">
      <c r="A501" t="s">
        <v>2428</v>
      </c>
      <c r="B501">
        <f t="shared" si="176"/>
        <v>1</v>
      </c>
      <c r="C501" t="str">
        <f t="shared" si="164"/>
        <v/>
      </c>
      <c r="D501" s="3" t="s">
        <v>2429</v>
      </c>
      <c r="E501" s="7">
        <v>45648</v>
      </c>
      <c r="F501" s="3" t="s">
        <v>1444</v>
      </c>
      <c r="G501" s="7">
        <v>45652</v>
      </c>
      <c r="H501" s="7" t="str">
        <f t="shared" si="155"/>
        <v>Valid</v>
      </c>
      <c r="I501" s="9">
        <f t="shared" si="156"/>
        <v>4</v>
      </c>
      <c r="J501" s="9" t="str">
        <f t="shared" si="157"/>
        <v>Valid</v>
      </c>
      <c r="K501" t="s">
        <v>2430</v>
      </c>
      <c r="L501" t="s">
        <v>147</v>
      </c>
      <c r="M501" t="s">
        <v>147</v>
      </c>
      <c r="N501" t="s">
        <v>114</v>
      </c>
      <c r="O501" s="3" t="str">
        <f t="shared" si="158"/>
        <v>Home Office</v>
      </c>
      <c r="P501" t="s">
        <v>26</v>
      </c>
      <c r="Q501" s="3" t="str">
        <f t="shared" si="159"/>
        <v>North</v>
      </c>
      <c r="R501" t="s">
        <v>173</v>
      </c>
      <c r="S501" t="s">
        <v>174</v>
      </c>
      <c r="T501" t="s">
        <v>44</v>
      </c>
      <c r="U501" s="3" t="str">
        <f t="shared" si="160"/>
        <v>Furniture</v>
      </c>
      <c r="V501" t="s">
        <v>75</v>
      </c>
      <c r="W501" t="s">
        <v>2431</v>
      </c>
      <c r="X501" t="s">
        <v>66</v>
      </c>
      <c r="Y501" s="3" t="str">
        <f t="shared" si="161"/>
        <v>Standard Class</v>
      </c>
      <c r="Z501">
        <v>9</v>
      </c>
      <c r="AA501">
        <v>1110.8699999999999</v>
      </c>
      <c r="AC501">
        <f t="shared" si="162"/>
        <v>0</v>
      </c>
      <c r="AD501" t="str">
        <f t="shared" si="165"/>
        <v>Valid</v>
      </c>
      <c r="AE501">
        <v>7498.37</v>
      </c>
      <c r="AF501">
        <v>6059.07</v>
      </c>
      <c r="AG501">
        <v>1439.3</v>
      </c>
      <c r="AH501" t="s">
        <v>33</v>
      </c>
      <c r="AI501" t="str">
        <f t="shared" si="166"/>
        <v>Exclude</v>
      </c>
      <c r="AJ501" t="str">
        <f t="shared" si="167"/>
        <v/>
      </c>
      <c r="AK501" t="s">
        <v>77</v>
      </c>
      <c r="AL501" t="str">
        <f t="shared" si="163"/>
        <v>Cancelled</v>
      </c>
      <c r="AM501" t="str">
        <f t="shared" si="168"/>
        <v>Exclude</v>
      </c>
      <c r="AN501">
        <f t="shared" si="169"/>
        <v>9997.8299999999981</v>
      </c>
      <c r="AO501">
        <f t="shared" si="170"/>
        <v>3938.7599999999984</v>
      </c>
      <c r="AP501">
        <f>IF(AN501=0,0,AO501/AN501)</f>
        <v>0.3939614896432525</v>
      </c>
      <c r="AQ501" t="str">
        <f t="shared" si="171"/>
        <v>December</v>
      </c>
      <c r="AR501">
        <f t="shared" si="172"/>
        <v>2024</v>
      </c>
      <c r="AS501" t="str">
        <f t="shared" si="173"/>
        <v>Clean</v>
      </c>
      <c r="AT501" t="str">
        <f>IF(OR(AC501&lt;0,AC501&gt;0.5),"Invalid Discount","Valid")</f>
        <v>Valid</v>
      </c>
      <c r="AU501" t="str">
        <f>IF(G501&lt;E501,"Invalid Shipping Record","Valid")</f>
        <v>Valid</v>
      </c>
      <c r="AV501" t="str">
        <f>IF(OR(AL501="Cancelled",AH501="Failed"),"Exclude","Include")</f>
        <v>Exclude</v>
      </c>
      <c r="AW501" t="str">
        <f t="shared" si="174"/>
        <v>Mismatch</v>
      </c>
      <c r="AX501" t="str">
        <f t="shared" si="175"/>
        <v>Mismatch</v>
      </c>
    </row>
    <row r="502" spans="1:50">
      <c r="A502" t="s">
        <v>2432</v>
      </c>
      <c r="B502">
        <f t="shared" si="176"/>
        <v>1</v>
      </c>
      <c r="C502" t="str">
        <f t="shared" si="164"/>
        <v/>
      </c>
      <c r="D502" s="3" t="s">
        <v>1128</v>
      </c>
      <c r="E502" s="7">
        <v>45429</v>
      </c>
      <c r="F502" s="3" t="s">
        <v>2433</v>
      </c>
      <c r="G502" s="7">
        <v>45434</v>
      </c>
      <c r="H502" s="7" t="str">
        <f t="shared" si="155"/>
        <v>Valid</v>
      </c>
      <c r="I502" s="9">
        <f t="shared" si="156"/>
        <v>5</v>
      </c>
      <c r="J502" s="9" t="str">
        <f t="shared" si="157"/>
        <v>Valid</v>
      </c>
      <c r="K502" t="s">
        <v>2434</v>
      </c>
      <c r="L502" t="s">
        <v>167</v>
      </c>
      <c r="M502" t="s">
        <v>167</v>
      </c>
      <c r="N502" t="s">
        <v>25</v>
      </c>
      <c r="O502" s="3" t="str">
        <f t="shared" si="158"/>
        <v>Consumer</v>
      </c>
      <c r="P502" t="s">
        <v>61</v>
      </c>
      <c r="Q502" s="3" t="str">
        <f t="shared" si="159"/>
        <v>South</v>
      </c>
      <c r="R502" t="s">
        <v>241</v>
      </c>
      <c r="S502" t="s">
        <v>242</v>
      </c>
      <c r="T502" t="s">
        <v>85</v>
      </c>
      <c r="U502" s="3" t="str">
        <f t="shared" si="160"/>
        <v>Technology</v>
      </c>
      <c r="V502" t="s">
        <v>222</v>
      </c>
      <c r="W502" t="s">
        <v>2435</v>
      </c>
      <c r="X502" t="s">
        <v>47</v>
      </c>
      <c r="Y502" s="3" t="str">
        <f t="shared" si="161"/>
        <v>Same Day</v>
      </c>
      <c r="Z502">
        <v>9</v>
      </c>
      <c r="AA502">
        <v>3795.99</v>
      </c>
      <c r="AB502" t="s">
        <v>1169</v>
      </c>
      <c r="AC502" t="str">
        <f t="shared" si="162"/>
        <v>85%</v>
      </c>
      <c r="AD502" t="str">
        <f t="shared" si="165"/>
        <v>Valid</v>
      </c>
      <c r="AE502">
        <v>34163.910000000003</v>
      </c>
      <c r="AF502">
        <v>28577.15</v>
      </c>
      <c r="AG502">
        <v>5586.76</v>
      </c>
      <c r="AH502" t="s">
        <v>33</v>
      </c>
      <c r="AI502" t="str">
        <f t="shared" si="166"/>
        <v>Include</v>
      </c>
      <c r="AJ502" t="str">
        <f t="shared" si="167"/>
        <v/>
      </c>
      <c r="AK502" t="s">
        <v>34</v>
      </c>
      <c r="AL502" t="str">
        <f t="shared" si="163"/>
        <v>Completed</v>
      </c>
      <c r="AM502" t="str">
        <f t="shared" si="168"/>
        <v>Include</v>
      </c>
      <c r="AN502">
        <f t="shared" si="169"/>
        <v>5124.5865000000003</v>
      </c>
      <c r="AO502">
        <f t="shared" si="170"/>
        <v>-23452.5635</v>
      </c>
      <c r="AP502">
        <f>IF(AN502=0,0,AO502/AN502)</f>
        <v>-4.5764791949555343</v>
      </c>
      <c r="AQ502" t="str">
        <f t="shared" si="171"/>
        <v>May</v>
      </c>
      <c r="AR502">
        <f t="shared" si="172"/>
        <v>2024</v>
      </c>
      <c r="AS502" t="str">
        <f t="shared" si="173"/>
        <v>Invalid</v>
      </c>
      <c r="AT502" t="str">
        <f>IF(OR(AC502&lt;0,AC502&gt;0.5),"Invalid Discount","Valid")</f>
        <v>Invalid Discount</v>
      </c>
      <c r="AU502" t="str">
        <f>IF(G502&lt;E502,"Invalid Shipping Record","Valid")</f>
        <v>Valid</v>
      </c>
      <c r="AV502" t="str">
        <f>IF(OR(AL502="Cancelled",AH502="Failed"),"Exclude","Include")</f>
        <v>Include</v>
      </c>
      <c r="AW502" t="str">
        <f t="shared" si="174"/>
        <v>Mismatch</v>
      </c>
      <c r="AX502" t="str">
        <f t="shared" si="175"/>
        <v>Mismatch</v>
      </c>
    </row>
    <row r="503" spans="1:50">
      <c r="A503" t="s">
        <v>2436</v>
      </c>
      <c r="B503">
        <f t="shared" si="176"/>
        <v>1</v>
      </c>
      <c r="C503" t="str">
        <f t="shared" si="164"/>
        <v/>
      </c>
      <c r="D503" s="3" t="s">
        <v>2437</v>
      </c>
      <c r="E503" s="7">
        <v>45515</v>
      </c>
      <c r="F503" s="3" t="s">
        <v>2438</v>
      </c>
      <c r="G503" s="7">
        <v>45521</v>
      </c>
      <c r="H503" s="7" t="str">
        <f t="shared" si="155"/>
        <v>Valid</v>
      </c>
      <c r="I503" s="9">
        <f t="shared" si="156"/>
        <v>6</v>
      </c>
      <c r="J503" s="9" t="str">
        <f t="shared" si="157"/>
        <v>Valid</v>
      </c>
      <c r="K503" t="s">
        <v>1236</v>
      </c>
      <c r="L503" t="s">
        <v>92</v>
      </c>
      <c r="M503" t="s">
        <v>92</v>
      </c>
      <c r="N503" t="s">
        <v>25</v>
      </c>
      <c r="O503" s="3" t="str">
        <f t="shared" si="158"/>
        <v>Consumer</v>
      </c>
      <c r="P503" t="s">
        <v>41</v>
      </c>
      <c r="Q503" s="3" t="str">
        <f t="shared" si="159"/>
        <v>East</v>
      </c>
      <c r="R503" t="s">
        <v>310</v>
      </c>
      <c r="S503" t="s">
        <v>311</v>
      </c>
      <c r="T503" t="s">
        <v>29</v>
      </c>
      <c r="U503" s="3" t="str">
        <f t="shared" si="160"/>
        <v>Office Supplies</v>
      </c>
      <c r="V503" t="s">
        <v>53</v>
      </c>
      <c r="W503" t="s">
        <v>2439</v>
      </c>
      <c r="X503" t="s">
        <v>32</v>
      </c>
      <c r="Y503" s="3" t="str">
        <f t="shared" si="161"/>
        <v>Second Class</v>
      </c>
      <c r="Z503">
        <v>6</v>
      </c>
      <c r="AA503">
        <v>3497.54</v>
      </c>
      <c r="AB503">
        <v>0.15</v>
      </c>
      <c r="AC503">
        <f t="shared" si="162"/>
        <v>0.15</v>
      </c>
      <c r="AD503" t="str">
        <f t="shared" si="165"/>
        <v>Valid</v>
      </c>
      <c r="AE503">
        <v>17837.45</v>
      </c>
      <c r="AF503">
        <v>13627.02</v>
      </c>
      <c r="AG503">
        <v>4210.43</v>
      </c>
      <c r="AH503" t="s">
        <v>33</v>
      </c>
      <c r="AI503" t="str">
        <f t="shared" si="166"/>
        <v>Include</v>
      </c>
      <c r="AJ503" t="str">
        <f t="shared" si="167"/>
        <v/>
      </c>
      <c r="AK503" t="s">
        <v>34</v>
      </c>
      <c r="AL503" t="str">
        <f t="shared" si="163"/>
        <v>Completed</v>
      </c>
      <c r="AM503" t="str">
        <f t="shared" si="168"/>
        <v>Include</v>
      </c>
      <c r="AN503">
        <f t="shared" si="169"/>
        <v>17837.453999999998</v>
      </c>
      <c r="AO503">
        <f t="shared" si="170"/>
        <v>4210.4339999999975</v>
      </c>
      <c r="AP503">
        <f>IF(AN503=0,0,AO503/AN503)</f>
        <v>0.23604456106796395</v>
      </c>
      <c r="AQ503" t="str">
        <f t="shared" si="171"/>
        <v>August</v>
      </c>
      <c r="AR503">
        <f t="shared" si="172"/>
        <v>2024</v>
      </c>
      <c r="AS503" t="str">
        <f t="shared" si="173"/>
        <v>Clean</v>
      </c>
      <c r="AT503" t="str">
        <f>IF(OR(AC503&lt;0,AC503&gt;0.5),"Invalid Discount","Valid")</f>
        <v>Valid</v>
      </c>
      <c r="AU503" t="str">
        <f>IF(G503&lt;E503,"Invalid Shipping Record","Valid")</f>
        <v>Valid</v>
      </c>
      <c r="AV503" t="str">
        <f>IF(OR(AL503="Cancelled",AH503="Failed"),"Exclude","Include")</f>
        <v>Include</v>
      </c>
      <c r="AW503" t="str">
        <f t="shared" si="174"/>
        <v>Match</v>
      </c>
      <c r="AX503" t="str">
        <f t="shared" si="175"/>
        <v>Match</v>
      </c>
    </row>
    <row r="504" spans="1:50">
      <c r="A504" t="s">
        <v>2440</v>
      </c>
      <c r="B504">
        <f t="shared" si="176"/>
        <v>1</v>
      </c>
      <c r="C504" t="str">
        <f t="shared" si="164"/>
        <v/>
      </c>
      <c r="D504" s="3" t="s">
        <v>2441</v>
      </c>
      <c r="E504" s="7">
        <v>45383</v>
      </c>
      <c r="F504" s="3" t="s">
        <v>2442</v>
      </c>
      <c r="G504" s="7">
        <v>45391</v>
      </c>
      <c r="H504" s="7" t="str">
        <f t="shared" si="155"/>
        <v>Valid</v>
      </c>
      <c r="I504" s="9">
        <f t="shared" si="156"/>
        <v>8</v>
      </c>
      <c r="J504" s="9" t="str">
        <f t="shared" si="157"/>
        <v>Valid</v>
      </c>
      <c r="K504" t="s">
        <v>2443</v>
      </c>
      <c r="L504" t="s">
        <v>141</v>
      </c>
      <c r="M504" t="s">
        <v>141</v>
      </c>
      <c r="N504" t="s">
        <v>40</v>
      </c>
      <c r="O504" s="3" t="str">
        <f t="shared" si="158"/>
        <v>Small Business</v>
      </c>
      <c r="P504" t="s">
        <v>41</v>
      </c>
      <c r="Q504" s="3" t="str">
        <f t="shared" si="159"/>
        <v>East</v>
      </c>
      <c r="R504" t="s">
        <v>42</v>
      </c>
      <c r="S504" t="s">
        <v>43</v>
      </c>
      <c r="T504" t="s">
        <v>85</v>
      </c>
      <c r="U504" s="3" t="str">
        <f t="shared" si="160"/>
        <v>Technology</v>
      </c>
      <c r="V504" t="s">
        <v>93</v>
      </c>
      <c r="W504" t="s">
        <v>2444</v>
      </c>
      <c r="X504" t="s">
        <v>32</v>
      </c>
      <c r="Y504" s="3" t="str">
        <f t="shared" si="161"/>
        <v>Second Class</v>
      </c>
      <c r="Z504">
        <v>6</v>
      </c>
      <c r="AA504">
        <v>826.93</v>
      </c>
      <c r="AB504">
        <v>0.1</v>
      </c>
      <c r="AC504">
        <f t="shared" si="162"/>
        <v>0.1</v>
      </c>
      <c r="AD504" t="str">
        <f t="shared" si="165"/>
        <v>Valid</v>
      </c>
      <c r="AE504">
        <v>4465.42</v>
      </c>
      <c r="AF504">
        <v>3377.1</v>
      </c>
      <c r="AG504">
        <v>1088.32</v>
      </c>
      <c r="AH504" t="s">
        <v>33</v>
      </c>
      <c r="AI504" t="str">
        <f t="shared" si="166"/>
        <v>Include</v>
      </c>
      <c r="AJ504" t="str">
        <f t="shared" si="167"/>
        <v/>
      </c>
      <c r="AK504" t="s">
        <v>34</v>
      </c>
      <c r="AL504" t="str">
        <f t="shared" si="163"/>
        <v>Completed</v>
      </c>
      <c r="AM504" t="str">
        <f t="shared" si="168"/>
        <v>Include</v>
      </c>
      <c r="AN504">
        <f t="shared" si="169"/>
        <v>4465.4220000000005</v>
      </c>
      <c r="AO504">
        <f t="shared" si="170"/>
        <v>1088.3220000000006</v>
      </c>
      <c r="AP504">
        <f>IF(AN504=0,0,AO504/AN504)</f>
        <v>0.24372209390288319</v>
      </c>
      <c r="AQ504" t="str">
        <f t="shared" si="171"/>
        <v>April</v>
      </c>
      <c r="AR504">
        <f t="shared" si="172"/>
        <v>2024</v>
      </c>
      <c r="AS504" t="str">
        <f t="shared" si="173"/>
        <v>Clean</v>
      </c>
      <c r="AT504" t="str">
        <f>IF(OR(AC504&lt;0,AC504&gt;0.5),"Invalid Discount","Valid")</f>
        <v>Valid</v>
      </c>
      <c r="AU504" t="str">
        <f>IF(G504&lt;E504,"Invalid Shipping Record","Valid")</f>
        <v>Valid</v>
      </c>
      <c r="AV504" t="str">
        <f>IF(OR(AL504="Cancelled",AH504="Failed"),"Exclude","Include")</f>
        <v>Include</v>
      </c>
      <c r="AW504" t="str">
        <f t="shared" si="174"/>
        <v>Match</v>
      </c>
      <c r="AX504" t="str">
        <f t="shared" si="175"/>
        <v>Match</v>
      </c>
    </row>
    <row r="505" spans="1:50">
      <c r="A505" t="s">
        <v>2445</v>
      </c>
      <c r="B505">
        <f t="shared" si="176"/>
        <v>1</v>
      </c>
      <c r="C505" t="str">
        <f t="shared" si="164"/>
        <v/>
      </c>
      <c r="D505" s="3" t="s">
        <v>2446</v>
      </c>
      <c r="E505" s="7">
        <v>45563</v>
      </c>
      <c r="F505" s="3" t="s">
        <v>2447</v>
      </c>
      <c r="G505" s="7">
        <v>45570</v>
      </c>
      <c r="H505" s="7" t="str">
        <f t="shared" si="155"/>
        <v>Valid</v>
      </c>
      <c r="I505" s="9">
        <f t="shared" si="156"/>
        <v>7</v>
      </c>
      <c r="J505" s="9" t="str">
        <f t="shared" si="157"/>
        <v>Valid</v>
      </c>
      <c r="K505" t="s">
        <v>2448</v>
      </c>
      <c r="L505" t="s">
        <v>161</v>
      </c>
      <c r="M505" t="s">
        <v>161</v>
      </c>
      <c r="N505" t="s">
        <v>25</v>
      </c>
      <c r="O505" s="3" t="str">
        <f t="shared" si="158"/>
        <v>Consumer</v>
      </c>
      <c r="P505" t="s">
        <v>61</v>
      </c>
      <c r="Q505" s="3" t="str">
        <f t="shared" si="159"/>
        <v>South</v>
      </c>
      <c r="R505" t="s">
        <v>338</v>
      </c>
      <c r="S505" t="s">
        <v>339</v>
      </c>
      <c r="T505" t="s">
        <v>85</v>
      </c>
      <c r="U505" s="3" t="str">
        <f t="shared" si="160"/>
        <v>Technology</v>
      </c>
      <c r="V505" t="s">
        <v>222</v>
      </c>
      <c r="W505" t="s">
        <v>2449</v>
      </c>
      <c r="X505" t="s">
        <v>66</v>
      </c>
      <c r="Y505" s="3" t="str">
        <f t="shared" si="161"/>
        <v>Standard Class</v>
      </c>
      <c r="Z505">
        <v>7</v>
      </c>
      <c r="AA505">
        <v>1681.6</v>
      </c>
      <c r="AB505">
        <v>0.1</v>
      </c>
      <c r="AC505">
        <f t="shared" si="162"/>
        <v>0.1</v>
      </c>
      <c r="AD505" t="str">
        <f t="shared" si="165"/>
        <v>Valid</v>
      </c>
      <c r="AE505">
        <v>10594.08</v>
      </c>
      <c r="AF505">
        <v>7160.31</v>
      </c>
      <c r="AG505">
        <v>3433.77</v>
      </c>
      <c r="AH505" t="s">
        <v>33</v>
      </c>
      <c r="AI505" t="str">
        <f t="shared" si="166"/>
        <v>Include</v>
      </c>
      <c r="AJ505" t="str">
        <f t="shared" si="167"/>
        <v/>
      </c>
      <c r="AK505" t="s">
        <v>34</v>
      </c>
      <c r="AL505" t="str">
        <f t="shared" si="163"/>
        <v>Completed</v>
      </c>
      <c r="AM505" t="str">
        <f t="shared" si="168"/>
        <v>Include</v>
      </c>
      <c r="AN505">
        <f t="shared" si="169"/>
        <v>10594.08</v>
      </c>
      <c r="AO505">
        <f t="shared" si="170"/>
        <v>3433.7699999999995</v>
      </c>
      <c r="AP505">
        <f>IF(AN505=0,0,AO505/AN505)</f>
        <v>0.32412158488514337</v>
      </c>
      <c r="AQ505" t="str">
        <f t="shared" si="171"/>
        <v>September</v>
      </c>
      <c r="AR505">
        <f t="shared" si="172"/>
        <v>2024</v>
      </c>
      <c r="AS505" t="str">
        <f t="shared" si="173"/>
        <v>Clean</v>
      </c>
      <c r="AT505" t="str">
        <f>IF(OR(AC505&lt;0,AC505&gt;0.5),"Invalid Discount","Valid")</f>
        <v>Valid</v>
      </c>
      <c r="AU505" t="str">
        <f>IF(G505&lt;E505,"Invalid Shipping Record","Valid")</f>
        <v>Valid</v>
      </c>
      <c r="AV505" t="str">
        <f>IF(OR(AL505="Cancelled",AH505="Failed"),"Exclude","Include")</f>
        <v>Include</v>
      </c>
      <c r="AW505" t="str">
        <f t="shared" si="174"/>
        <v>Match</v>
      </c>
      <c r="AX505" t="str">
        <f t="shared" si="175"/>
        <v>Match</v>
      </c>
    </row>
    <row r="506" spans="1:50">
      <c r="A506" t="s">
        <v>2450</v>
      </c>
      <c r="B506">
        <f t="shared" si="176"/>
        <v>1</v>
      </c>
      <c r="C506" t="str">
        <f t="shared" si="164"/>
        <v/>
      </c>
      <c r="D506" s="3" t="s">
        <v>2451</v>
      </c>
      <c r="E506" s="7">
        <v>45700</v>
      </c>
      <c r="F506" s="3" t="s">
        <v>2452</v>
      </c>
      <c r="G506" s="7">
        <v>45705</v>
      </c>
      <c r="H506" s="7" t="str">
        <f t="shared" si="155"/>
        <v>Valid</v>
      </c>
      <c r="I506" s="9">
        <f t="shared" si="156"/>
        <v>5</v>
      </c>
      <c r="J506" s="9" t="str">
        <f t="shared" si="157"/>
        <v>Valid</v>
      </c>
      <c r="K506" t="s">
        <v>2453</v>
      </c>
      <c r="L506" t="s">
        <v>60</v>
      </c>
      <c r="M506" t="s">
        <v>60</v>
      </c>
      <c r="N506" t="s">
        <v>107</v>
      </c>
      <c r="O506" s="3" t="str">
        <f t="shared" si="158"/>
        <v>Corporate</v>
      </c>
      <c r="P506" t="s">
        <v>72</v>
      </c>
      <c r="Q506" s="3" t="str">
        <f t="shared" si="159"/>
        <v>West</v>
      </c>
      <c r="R506" t="s">
        <v>234</v>
      </c>
      <c r="S506" t="s">
        <v>235</v>
      </c>
      <c r="T506" t="s">
        <v>29</v>
      </c>
      <c r="U506" s="3" t="str">
        <f t="shared" si="160"/>
        <v>Office Supplies</v>
      </c>
      <c r="V506" t="s">
        <v>53</v>
      </c>
      <c r="W506" t="s">
        <v>2454</v>
      </c>
      <c r="X506" t="s">
        <v>66</v>
      </c>
      <c r="Y506" s="3" t="str">
        <f t="shared" si="161"/>
        <v>Standard Class</v>
      </c>
      <c r="Z506">
        <v>4</v>
      </c>
      <c r="AA506">
        <v>4328.12</v>
      </c>
      <c r="AB506">
        <v>0</v>
      </c>
      <c r="AC506">
        <f t="shared" si="162"/>
        <v>0</v>
      </c>
      <c r="AD506" t="str">
        <f t="shared" si="165"/>
        <v>Valid</v>
      </c>
      <c r="AE506">
        <v>17312.48</v>
      </c>
      <c r="AF506">
        <v>14424.22</v>
      </c>
      <c r="AG506">
        <v>2888.26</v>
      </c>
      <c r="AH506" t="s">
        <v>33</v>
      </c>
      <c r="AI506" t="str">
        <f t="shared" si="166"/>
        <v>Include</v>
      </c>
      <c r="AJ506" t="str">
        <f t="shared" si="167"/>
        <v/>
      </c>
      <c r="AK506" t="s">
        <v>34</v>
      </c>
      <c r="AL506" t="str">
        <f t="shared" si="163"/>
        <v>Completed</v>
      </c>
      <c r="AM506" t="str">
        <f t="shared" si="168"/>
        <v>Include</v>
      </c>
      <c r="AN506">
        <f t="shared" si="169"/>
        <v>17312.48</v>
      </c>
      <c r="AO506">
        <f t="shared" si="170"/>
        <v>2888.26</v>
      </c>
      <c r="AP506">
        <f>IF(AN506=0,0,AO506/AN506)</f>
        <v>0.16683109525613893</v>
      </c>
      <c r="AQ506" t="str">
        <f t="shared" si="171"/>
        <v>February</v>
      </c>
      <c r="AR506">
        <f t="shared" si="172"/>
        <v>2025</v>
      </c>
      <c r="AS506" t="str">
        <f t="shared" si="173"/>
        <v>Clean</v>
      </c>
      <c r="AT506" t="str">
        <f>IF(OR(AC506&lt;0,AC506&gt;0.5),"Invalid Discount","Valid")</f>
        <v>Valid</v>
      </c>
      <c r="AU506" t="str">
        <f>IF(G506&lt;E506,"Invalid Shipping Record","Valid")</f>
        <v>Valid</v>
      </c>
      <c r="AV506" t="str">
        <f>IF(OR(AL506="Cancelled",AH506="Failed"),"Exclude","Include")</f>
        <v>Include</v>
      </c>
      <c r="AW506" t="str">
        <f t="shared" si="174"/>
        <v>Match</v>
      </c>
      <c r="AX506" t="str">
        <f t="shared" si="175"/>
        <v>Match</v>
      </c>
    </row>
    <row r="507" spans="1:50">
      <c r="A507" t="s">
        <v>2455</v>
      </c>
      <c r="B507">
        <f t="shared" si="176"/>
        <v>1</v>
      </c>
      <c r="C507" t="str">
        <f t="shared" si="164"/>
        <v/>
      </c>
      <c r="D507" s="3" t="s">
        <v>2456</v>
      </c>
      <c r="E507" s="7">
        <v>45605</v>
      </c>
      <c r="F507" s="3" t="s">
        <v>1379</v>
      </c>
      <c r="G507" s="7">
        <v>45610</v>
      </c>
      <c r="H507" s="7" t="str">
        <f t="shared" si="155"/>
        <v>Valid</v>
      </c>
      <c r="I507" s="9">
        <f t="shared" si="156"/>
        <v>5</v>
      </c>
      <c r="J507" s="9" t="str">
        <f t="shared" si="157"/>
        <v>Valid</v>
      </c>
      <c r="K507" t="s">
        <v>2457</v>
      </c>
      <c r="L507" t="s">
        <v>92</v>
      </c>
      <c r="M507" t="s">
        <v>92</v>
      </c>
      <c r="N507" t="s">
        <v>107</v>
      </c>
      <c r="O507" s="3" t="str">
        <f t="shared" si="158"/>
        <v>Corporate</v>
      </c>
      <c r="P507" t="s">
        <v>72</v>
      </c>
      <c r="Q507" s="3" t="str">
        <f t="shared" si="159"/>
        <v>West</v>
      </c>
      <c r="R507" t="s">
        <v>83</v>
      </c>
      <c r="S507" t="s">
        <v>84</v>
      </c>
      <c r="T507" t="s">
        <v>29</v>
      </c>
      <c r="U507" s="3" t="str">
        <f t="shared" si="160"/>
        <v>Office Supplies</v>
      </c>
      <c r="V507" t="s">
        <v>53</v>
      </c>
      <c r="W507" t="s">
        <v>2458</v>
      </c>
      <c r="X507" t="s">
        <v>55</v>
      </c>
      <c r="Y507" s="3" t="str">
        <f t="shared" si="161"/>
        <v>First Class</v>
      </c>
      <c r="Z507">
        <v>9</v>
      </c>
      <c r="AA507">
        <v>2438.29</v>
      </c>
      <c r="AB507">
        <v>0.2</v>
      </c>
      <c r="AC507">
        <f t="shared" si="162"/>
        <v>0.2</v>
      </c>
      <c r="AD507" t="str">
        <f t="shared" si="165"/>
        <v>Valid</v>
      </c>
      <c r="AE507">
        <v>17555.689999999999</v>
      </c>
      <c r="AF507">
        <v>13293.2</v>
      </c>
      <c r="AG507">
        <v>4262.49</v>
      </c>
      <c r="AH507" t="s">
        <v>33</v>
      </c>
      <c r="AI507" t="str">
        <f t="shared" si="166"/>
        <v>Exclude</v>
      </c>
      <c r="AJ507" t="str">
        <f t="shared" si="167"/>
        <v/>
      </c>
      <c r="AK507" t="s">
        <v>77</v>
      </c>
      <c r="AL507" t="str">
        <f t="shared" si="163"/>
        <v>Cancelled</v>
      </c>
      <c r="AM507" t="str">
        <f t="shared" si="168"/>
        <v>Exclude</v>
      </c>
      <c r="AN507">
        <f t="shared" si="169"/>
        <v>17555.688000000002</v>
      </c>
      <c r="AO507">
        <f t="shared" si="170"/>
        <v>4262.4880000000012</v>
      </c>
      <c r="AP507">
        <f>IF(AN507=0,0,AO507/AN507)</f>
        <v>0.24279811762432785</v>
      </c>
      <c r="AQ507" t="str">
        <f t="shared" si="171"/>
        <v>November</v>
      </c>
      <c r="AR507">
        <f t="shared" si="172"/>
        <v>2024</v>
      </c>
      <c r="AS507" t="str">
        <f t="shared" si="173"/>
        <v>Clean</v>
      </c>
      <c r="AT507" t="str">
        <f>IF(OR(AC507&lt;0,AC507&gt;0.5),"Invalid Discount","Valid")</f>
        <v>Valid</v>
      </c>
      <c r="AU507" t="str">
        <f>IF(G507&lt;E507,"Invalid Shipping Record","Valid")</f>
        <v>Valid</v>
      </c>
      <c r="AV507" t="str">
        <f>IF(OR(AL507="Cancelled",AH507="Failed"),"Exclude","Include")</f>
        <v>Exclude</v>
      </c>
      <c r="AW507" t="str">
        <f t="shared" si="174"/>
        <v>Match</v>
      </c>
      <c r="AX507" t="str">
        <f t="shared" si="175"/>
        <v>Match</v>
      </c>
    </row>
    <row r="508" spans="1:50">
      <c r="A508" t="s">
        <v>2459</v>
      </c>
      <c r="B508">
        <f t="shared" si="176"/>
        <v>1</v>
      </c>
      <c r="C508" t="str">
        <f t="shared" si="164"/>
        <v/>
      </c>
      <c r="D508" s="3" t="s">
        <v>2460</v>
      </c>
      <c r="E508" s="7">
        <v>45641</v>
      </c>
      <c r="F508" s="3" t="s">
        <v>2461</v>
      </c>
      <c r="G508" s="7">
        <v>45641</v>
      </c>
      <c r="H508" s="7" t="str">
        <f t="shared" si="155"/>
        <v>Valid</v>
      </c>
      <c r="I508" s="9">
        <f t="shared" si="156"/>
        <v>0</v>
      </c>
      <c r="J508" s="9" t="str">
        <f t="shared" si="157"/>
        <v>Valid</v>
      </c>
      <c r="K508" t="s">
        <v>2462</v>
      </c>
      <c r="L508" t="s">
        <v>161</v>
      </c>
      <c r="M508" t="s">
        <v>161</v>
      </c>
      <c r="N508" t="s">
        <v>40</v>
      </c>
      <c r="O508" s="3" t="str">
        <f t="shared" si="158"/>
        <v>Small Business</v>
      </c>
      <c r="P508" t="s">
        <v>26</v>
      </c>
      <c r="Q508" s="3" t="str">
        <f t="shared" si="159"/>
        <v>North</v>
      </c>
      <c r="R508" t="s">
        <v>153</v>
      </c>
      <c r="S508" t="s">
        <v>154</v>
      </c>
      <c r="T508" t="s">
        <v>44</v>
      </c>
      <c r="U508" s="3" t="str">
        <f t="shared" si="160"/>
        <v>Furniture</v>
      </c>
      <c r="V508" t="s">
        <v>64</v>
      </c>
      <c r="W508" t="s">
        <v>2463</v>
      </c>
      <c r="X508" t="s">
        <v>55</v>
      </c>
      <c r="Y508" s="3" t="str">
        <f t="shared" si="161"/>
        <v>First Class</v>
      </c>
      <c r="Z508">
        <v>2</v>
      </c>
      <c r="AA508">
        <v>669.8</v>
      </c>
      <c r="AB508">
        <v>0.1</v>
      </c>
      <c r="AC508">
        <f t="shared" si="162"/>
        <v>0.1</v>
      </c>
      <c r="AD508" t="str">
        <f t="shared" si="165"/>
        <v>Valid</v>
      </c>
      <c r="AE508">
        <v>1205.6400000000001</v>
      </c>
      <c r="AF508">
        <v>842.07</v>
      </c>
      <c r="AG508">
        <v>363.57</v>
      </c>
      <c r="AH508" t="s">
        <v>123</v>
      </c>
      <c r="AI508" t="str">
        <f t="shared" si="166"/>
        <v>Include</v>
      </c>
      <c r="AJ508" t="str">
        <f t="shared" si="167"/>
        <v>Refunded Order</v>
      </c>
      <c r="AK508" t="s">
        <v>124</v>
      </c>
      <c r="AL508" t="str">
        <f t="shared" si="163"/>
        <v>Returned</v>
      </c>
      <c r="AM508" t="str">
        <f t="shared" si="168"/>
        <v>Include</v>
      </c>
      <c r="AN508">
        <f t="shared" si="169"/>
        <v>1205.6399999999999</v>
      </c>
      <c r="AO508">
        <f t="shared" si="170"/>
        <v>363.56999999999982</v>
      </c>
      <c r="AP508">
        <f>IF(AN508=0,0,AO508/AN508)</f>
        <v>0.30155767890912699</v>
      </c>
      <c r="AQ508" t="str">
        <f t="shared" si="171"/>
        <v>December</v>
      </c>
      <c r="AR508">
        <f t="shared" si="172"/>
        <v>2024</v>
      </c>
      <c r="AS508" t="str">
        <f t="shared" si="173"/>
        <v>Clean</v>
      </c>
      <c r="AT508" t="str">
        <f>IF(OR(AC508&lt;0,AC508&gt;0.5),"Invalid Discount","Valid")</f>
        <v>Valid</v>
      </c>
      <c r="AU508" t="str">
        <f>IF(G508&lt;E508,"Invalid Shipping Record","Valid")</f>
        <v>Valid</v>
      </c>
      <c r="AV508" t="str">
        <f>IF(OR(AL508="Cancelled",AH508="Failed"),"Exclude","Include")</f>
        <v>Include</v>
      </c>
      <c r="AW508" t="str">
        <f t="shared" si="174"/>
        <v>Match</v>
      </c>
      <c r="AX508" t="str">
        <f t="shared" si="175"/>
        <v>Match</v>
      </c>
    </row>
    <row r="509" spans="1:50">
      <c r="A509" t="s">
        <v>2464</v>
      </c>
      <c r="B509">
        <f t="shared" si="176"/>
        <v>1</v>
      </c>
      <c r="C509" t="str">
        <f t="shared" si="164"/>
        <v/>
      </c>
      <c r="D509" s="3" t="s">
        <v>2142</v>
      </c>
      <c r="E509" s="7">
        <v>45762</v>
      </c>
      <c r="F509" s="3" t="s">
        <v>2108</v>
      </c>
      <c r="G509" s="7">
        <v>45769</v>
      </c>
      <c r="H509" s="7" t="str">
        <f t="shared" si="155"/>
        <v>Valid</v>
      </c>
      <c r="I509" s="9">
        <f t="shared" si="156"/>
        <v>7</v>
      </c>
      <c r="J509" s="9" t="str">
        <f t="shared" si="157"/>
        <v>Valid</v>
      </c>
      <c r="K509" t="s">
        <v>2465</v>
      </c>
      <c r="L509" t="s">
        <v>52</v>
      </c>
      <c r="M509" t="s">
        <v>52</v>
      </c>
      <c r="N509" t="s">
        <v>40</v>
      </c>
      <c r="O509" s="3" t="str">
        <f t="shared" si="158"/>
        <v>Small Business</v>
      </c>
      <c r="P509" t="s">
        <v>26</v>
      </c>
      <c r="Q509" s="3" t="str">
        <f t="shared" si="159"/>
        <v>North</v>
      </c>
      <c r="R509" t="s">
        <v>322</v>
      </c>
      <c r="S509" t="s">
        <v>323</v>
      </c>
      <c r="T509" t="s">
        <v>29</v>
      </c>
      <c r="U509" s="3" t="str">
        <f t="shared" si="160"/>
        <v>Office Supplies</v>
      </c>
      <c r="V509" t="s">
        <v>197</v>
      </c>
      <c r="W509" t="s">
        <v>2466</v>
      </c>
      <c r="X509" t="s">
        <v>47</v>
      </c>
      <c r="Y509" s="3" t="str">
        <f t="shared" si="161"/>
        <v>Same Day</v>
      </c>
      <c r="Z509">
        <v>4</v>
      </c>
      <c r="AA509">
        <v>2990.42</v>
      </c>
      <c r="AB509">
        <v>0.25</v>
      </c>
      <c r="AC509">
        <f t="shared" si="162"/>
        <v>0.25</v>
      </c>
      <c r="AD509" t="str">
        <f t="shared" si="165"/>
        <v>Valid</v>
      </c>
      <c r="AE509">
        <v>8971.26</v>
      </c>
      <c r="AF509">
        <v>6814.35</v>
      </c>
      <c r="AG509">
        <v>2156.91</v>
      </c>
      <c r="AH509" t="s">
        <v>33</v>
      </c>
      <c r="AI509" t="str">
        <f t="shared" si="166"/>
        <v>Include</v>
      </c>
      <c r="AJ509" t="str">
        <f t="shared" si="167"/>
        <v/>
      </c>
      <c r="AK509" t="s">
        <v>34</v>
      </c>
      <c r="AL509" t="str">
        <f t="shared" si="163"/>
        <v>Completed</v>
      </c>
      <c r="AM509" t="str">
        <f t="shared" si="168"/>
        <v>Include</v>
      </c>
      <c r="AN509">
        <f t="shared" si="169"/>
        <v>8971.26</v>
      </c>
      <c r="AO509">
        <f t="shared" si="170"/>
        <v>2156.91</v>
      </c>
      <c r="AP509">
        <f>IF(AN509=0,0,AO509/AN509)</f>
        <v>0.24042442198754688</v>
      </c>
      <c r="AQ509" t="str">
        <f t="shared" si="171"/>
        <v>April</v>
      </c>
      <c r="AR509">
        <f t="shared" si="172"/>
        <v>2025</v>
      </c>
      <c r="AS509" t="str">
        <f t="shared" si="173"/>
        <v>Clean</v>
      </c>
      <c r="AT509" t="str">
        <f>IF(OR(AC509&lt;0,AC509&gt;0.5),"Invalid Discount","Valid")</f>
        <v>Valid</v>
      </c>
      <c r="AU509" t="str">
        <f>IF(G509&lt;E509,"Invalid Shipping Record","Valid")</f>
        <v>Valid</v>
      </c>
      <c r="AV509" t="str">
        <f>IF(OR(AL509="Cancelled",AH509="Failed"),"Exclude","Include")</f>
        <v>Include</v>
      </c>
      <c r="AW509" t="str">
        <f t="shared" si="174"/>
        <v>Match</v>
      </c>
      <c r="AX509" t="str">
        <f t="shared" si="175"/>
        <v>Match</v>
      </c>
    </row>
    <row r="510" spans="1:50">
      <c r="A510" t="s">
        <v>2467</v>
      </c>
      <c r="B510">
        <f t="shared" si="176"/>
        <v>1</v>
      </c>
      <c r="C510" t="str">
        <f t="shared" si="164"/>
        <v/>
      </c>
      <c r="D510" s="3" t="s">
        <v>2468</v>
      </c>
      <c r="E510" s="7">
        <v>45382</v>
      </c>
      <c r="F510" s="3" t="s">
        <v>1418</v>
      </c>
      <c r="G510" s="7">
        <v>45389</v>
      </c>
      <c r="H510" s="7" t="str">
        <f t="shared" si="155"/>
        <v>Valid</v>
      </c>
      <c r="I510" s="9">
        <f t="shared" si="156"/>
        <v>7</v>
      </c>
      <c r="J510" s="9" t="str">
        <f t="shared" si="157"/>
        <v>Valid</v>
      </c>
      <c r="K510" t="s">
        <v>2469</v>
      </c>
      <c r="L510" t="s">
        <v>52</v>
      </c>
      <c r="M510" t="s">
        <v>52</v>
      </c>
      <c r="N510" t="s">
        <v>40</v>
      </c>
      <c r="O510" s="3" t="str">
        <f t="shared" si="158"/>
        <v>Small Business</v>
      </c>
      <c r="P510" t="s">
        <v>26</v>
      </c>
      <c r="Q510" s="3" t="str">
        <f t="shared" si="159"/>
        <v>North</v>
      </c>
      <c r="R510" t="s">
        <v>322</v>
      </c>
      <c r="S510" t="s">
        <v>323</v>
      </c>
      <c r="T510" t="s">
        <v>85</v>
      </c>
      <c r="U510" s="3" t="str">
        <f t="shared" si="160"/>
        <v>Technology</v>
      </c>
      <c r="V510" t="s">
        <v>381</v>
      </c>
      <c r="W510" t="s">
        <v>2470</v>
      </c>
      <c r="X510" t="s">
        <v>32</v>
      </c>
      <c r="Y510" s="3" t="str">
        <f t="shared" si="161"/>
        <v>Second Class</v>
      </c>
      <c r="Z510">
        <v>4</v>
      </c>
      <c r="AA510">
        <v>1831</v>
      </c>
      <c r="AB510">
        <v>0</v>
      </c>
      <c r="AC510">
        <f t="shared" si="162"/>
        <v>0</v>
      </c>
      <c r="AD510" t="str">
        <f t="shared" si="165"/>
        <v>Valid</v>
      </c>
      <c r="AE510">
        <v>7324</v>
      </c>
      <c r="AF510">
        <v>4179.63</v>
      </c>
      <c r="AG510">
        <v>3144.37</v>
      </c>
      <c r="AH510" t="s">
        <v>33</v>
      </c>
      <c r="AI510" t="str">
        <f t="shared" si="166"/>
        <v>Include</v>
      </c>
      <c r="AJ510" t="str">
        <f t="shared" si="167"/>
        <v/>
      </c>
      <c r="AK510" t="s">
        <v>34</v>
      </c>
      <c r="AL510" t="str">
        <f t="shared" si="163"/>
        <v>Completed</v>
      </c>
      <c r="AM510" t="str">
        <f t="shared" si="168"/>
        <v>Include</v>
      </c>
      <c r="AN510">
        <f t="shared" si="169"/>
        <v>7324</v>
      </c>
      <c r="AO510">
        <f t="shared" si="170"/>
        <v>3144.37</v>
      </c>
      <c r="AP510">
        <f>IF(AN510=0,0,AO510/AN510)</f>
        <v>0.42932413981430911</v>
      </c>
      <c r="AQ510" t="str">
        <f t="shared" si="171"/>
        <v>March</v>
      </c>
      <c r="AR510">
        <f t="shared" si="172"/>
        <v>2024</v>
      </c>
      <c r="AS510" t="str">
        <f t="shared" si="173"/>
        <v>Clean</v>
      </c>
      <c r="AT510" t="str">
        <f>IF(OR(AC510&lt;0,AC510&gt;0.5),"Invalid Discount","Valid")</f>
        <v>Valid</v>
      </c>
      <c r="AU510" t="str">
        <f>IF(G510&lt;E510,"Invalid Shipping Record","Valid")</f>
        <v>Valid</v>
      </c>
      <c r="AV510" t="str">
        <f>IF(OR(AL510="Cancelled",AH510="Failed"),"Exclude","Include")</f>
        <v>Include</v>
      </c>
      <c r="AW510" t="str">
        <f t="shared" si="174"/>
        <v>Match</v>
      </c>
      <c r="AX510" t="str">
        <f t="shared" si="175"/>
        <v>Match</v>
      </c>
    </row>
    <row r="511" spans="1:50">
      <c r="A511" t="s">
        <v>2471</v>
      </c>
      <c r="B511">
        <f t="shared" si="176"/>
        <v>1</v>
      </c>
      <c r="C511" t="str">
        <f t="shared" si="164"/>
        <v/>
      </c>
      <c r="D511" s="3" t="s">
        <v>2472</v>
      </c>
      <c r="E511" s="7">
        <v>45789</v>
      </c>
      <c r="F511" s="3" t="s">
        <v>2473</v>
      </c>
      <c r="G511" s="7">
        <v>45791</v>
      </c>
      <c r="H511" s="7" t="str">
        <f t="shared" si="155"/>
        <v>Valid</v>
      </c>
      <c r="I511" s="9">
        <f t="shared" si="156"/>
        <v>2</v>
      </c>
      <c r="J511" s="9" t="str">
        <f t="shared" si="157"/>
        <v>Valid</v>
      </c>
      <c r="K511" t="s">
        <v>2474</v>
      </c>
      <c r="L511" t="s">
        <v>92</v>
      </c>
      <c r="M511" t="s">
        <v>92</v>
      </c>
      <c r="N511" t="s">
        <v>25</v>
      </c>
      <c r="O511" s="3" t="str">
        <f t="shared" si="158"/>
        <v>Consumer</v>
      </c>
      <c r="P511" t="s">
        <v>72</v>
      </c>
      <c r="Q511" s="3" t="str">
        <f t="shared" si="159"/>
        <v>West</v>
      </c>
      <c r="R511" t="s">
        <v>234</v>
      </c>
      <c r="S511" t="s">
        <v>235</v>
      </c>
      <c r="T511" t="s">
        <v>85</v>
      </c>
      <c r="U511" s="3" t="str">
        <f t="shared" si="160"/>
        <v>Technology</v>
      </c>
      <c r="V511" t="s">
        <v>381</v>
      </c>
      <c r="W511" t="s">
        <v>2475</v>
      </c>
      <c r="X511" t="s">
        <v>47</v>
      </c>
      <c r="Y511" s="3" t="str">
        <f t="shared" si="161"/>
        <v>Same Day</v>
      </c>
      <c r="Z511">
        <v>8</v>
      </c>
      <c r="AA511">
        <v>3631.44</v>
      </c>
      <c r="AB511">
        <v>0.2</v>
      </c>
      <c r="AC511">
        <f t="shared" si="162"/>
        <v>0.2</v>
      </c>
      <c r="AD511" t="str">
        <f t="shared" si="165"/>
        <v>Valid</v>
      </c>
      <c r="AE511">
        <v>23241.22</v>
      </c>
      <c r="AF511">
        <v>17220.900000000001</v>
      </c>
      <c r="AG511">
        <v>6020.32</v>
      </c>
      <c r="AH511" t="s">
        <v>33</v>
      </c>
      <c r="AI511" t="str">
        <f t="shared" si="166"/>
        <v>Include</v>
      </c>
      <c r="AJ511" t="str">
        <f t="shared" si="167"/>
        <v/>
      </c>
      <c r="AK511" t="s">
        <v>34</v>
      </c>
      <c r="AL511" t="str">
        <f t="shared" si="163"/>
        <v>Completed</v>
      </c>
      <c r="AM511" t="str">
        <f t="shared" si="168"/>
        <v>Include</v>
      </c>
      <c r="AN511">
        <f t="shared" si="169"/>
        <v>23241.216</v>
      </c>
      <c r="AO511">
        <f t="shared" si="170"/>
        <v>6020.3159999999989</v>
      </c>
      <c r="AP511">
        <f>IF(AN511=0,0,AO511/AN511)</f>
        <v>0.25903618812371948</v>
      </c>
      <c r="AQ511" t="str">
        <f t="shared" si="171"/>
        <v>May</v>
      </c>
      <c r="AR511">
        <f t="shared" si="172"/>
        <v>2025</v>
      </c>
      <c r="AS511" t="str">
        <f t="shared" si="173"/>
        <v>Clean</v>
      </c>
      <c r="AT511" t="str">
        <f>IF(OR(AC511&lt;0,AC511&gt;0.5),"Invalid Discount","Valid")</f>
        <v>Valid</v>
      </c>
      <c r="AU511" t="str">
        <f>IF(G511&lt;E511,"Invalid Shipping Record","Valid")</f>
        <v>Valid</v>
      </c>
      <c r="AV511" t="str">
        <f>IF(OR(AL511="Cancelled",AH511="Failed"),"Exclude","Include")</f>
        <v>Include</v>
      </c>
      <c r="AW511" t="str">
        <f t="shared" si="174"/>
        <v>Match</v>
      </c>
      <c r="AX511" t="str">
        <f t="shared" si="175"/>
        <v>Match</v>
      </c>
    </row>
    <row r="512" spans="1:50">
      <c r="A512" t="s">
        <v>2476</v>
      </c>
      <c r="B512">
        <f t="shared" si="176"/>
        <v>1</v>
      </c>
      <c r="C512" t="str">
        <f t="shared" si="164"/>
        <v/>
      </c>
      <c r="D512" s="3" t="s">
        <v>643</v>
      </c>
      <c r="E512" s="7">
        <v>45583</v>
      </c>
      <c r="F512" s="3" t="s">
        <v>2477</v>
      </c>
      <c r="G512" s="7">
        <v>45586</v>
      </c>
      <c r="H512" s="7" t="str">
        <f t="shared" si="155"/>
        <v>Valid</v>
      </c>
      <c r="I512" s="9">
        <f t="shared" si="156"/>
        <v>3</v>
      </c>
      <c r="J512" s="9" t="str">
        <f t="shared" si="157"/>
        <v>Valid</v>
      </c>
      <c r="K512" t="s">
        <v>2478</v>
      </c>
      <c r="L512" t="s">
        <v>2479</v>
      </c>
      <c r="M512" t="s">
        <v>161</v>
      </c>
      <c r="N512" t="s">
        <v>25</v>
      </c>
      <c r="O512" s="3" t="str">
        <f t="shared" si="158"/>
        <v>Consumer</v>
      </c>
      <c r="P512" t="s">
        <v>61</v>
      </c>
      <c r="Q512" s="3" t="str">
        <f t="shared" si="159"/>
        <v>South</v>
      </c>
      <c r="R512" t="s">
        <v>228</v>
      </c>
      <c r="S512" t="s">
        <v>229</v>
      </c>
      <c r="T512" t="s">
        <v>29</v>
      </c>
      <c r="U512" s="3" t="str">
        <f t="shared" si="160"/>
        <v>Office Supplies</v>
      </c>
      <c r="V512" t="s">
        <v>155</v>
      </c>
      <c r="W512" t="s">
        <v>2480</v>
      </c>
      <c r="X512" t="s">
        <v>32</v>
      </c>
      <c r="Y512" s="3" t="str">
        <f t="shared" si="161"/>
        <v>Second Class</v>
      </c>
      <c r="Z512">
        <v>2</v>
      </c>
      <c r="AA512">
        <v>4238.51</v>
      </c>
      <c r="AB512">
        <v>0</v>
      </c>
      <c r="AC512">
        <f t="shared" si="162"/>
        <v>0</v>
      </c>
      <c r="AD512" t="str">
        <f t="shared" si="165"/>
        <v>Valid</v>
      </c>
      <c r="AE512">
        <v>8477.02</v>
      </c>
      <c r="AF512">
        <v>6884.96</v>
      </c>
      <c r="AG512">
        <v>1592.06</v>
      </c>
      <c r="AH512" t="s">
        <v>33</v>
      </c>
      <c r="AI512" t="str">
        <f t="shared" si="166"/>
        <v>Include</v>
      </c>
      <c r="AJ512" t="str">
        <f t="shared" si="167"/>
        <v/>
      </c>
      <c r="AK512" t="s">
        <v>34</v>
      </c>
      <c r="AL512" t="str">
        <f t="shared" si="163"/>
        <v>Completed</v>
      </c>
      <c r="AM512" t="str">
        <f t="shared" si="168"/>
        <v>Include</v>
      </c>
      <c r="AN512">
        <f t="shared" si="169"/>
        <v>8477.02</v>
      </c>
      <c r="AO512">
        <f t="shared" si="170"/>
        <v>1592.0600000000004</v>
      </c>
      <c r="AP512">
        <f>IF(AN512=0,0,AO512/AN512)</f>
        <v>0.18780892341884298</v>
      </c>
      <c r="AQ512" t="str">
        <f t="shared" si="171"/>
        <v>October</v>
      </c>
      <c r="AR512">
        <f t="shared" si="172"/>
        <v>2024</v>
      </c>
      <c r="AS512" t="str">
        <f t="shared" si="173"/>
        <v>Clean</v>
      </c>
      <c r="AT512" t="str">
        <f>IF(OR(AC512&lt;0,AC512&gt;0.5),"Invalid Discount","Valid")</f>
        <v>Valid</v>
      </c>
      <c r="AU512" t="str">
        <f>IF(G512&lt;E512,"Invalid Shipping Record","Valid")</f>
        <v>Valid</v>
      </c>
      <c r="AV512" t="str">
        <f>IF(OR(AL512="Cancelled",AH512="Failed"),"Exclude","Include")</f>
        <v>Include</v>
      </c>
      <c r="AW512" t="str">
        <f t="shared" si="174"/>
        <v>Match</v>
      </c>
      <c r="AX512" t="str">
        <f t="shared" si="175"/>
        <v>Match</v>
      </c>
    </row>
    <row r="513" spans="1:50">
      <c r="A513" t="s">
        <v>2481</v>
      </c>
      <c r="B513">
        <f t="shared" si="176"/>
        <v>1</v>
      </c>
      <c r="C513" t="str">
        <f t="shared" si="164"/>
        <v/>
      </c>
      <c r="D513" s="3" t="s">
        <v>2482</v>
      </c>
      <c r="E513" s="7">
        <v>45588</v>
      </c>
      <c r="F513" s="3" t="s">
        <v>2483</v>
      </c>
      <c r="G513" s="7">
        <v>45591</v>
      </c>
      <c r="H513" s="7" t="str">
        <f t="shared" si="155"/>
        <v>Valid</v>
      </c>
      <c r="I513" s="9">
        <f t="shared" si="156"/>
        <v>3</v>
      </c>
      <c r="J513" s="9" t="str">
        <f t="shared" si="157"/>
        <v>Valid</v>
      </c>
      <c r="K513" t="s">
        <v>2484</v>
      </c>
      <c r="L513" t="s">
        <v>167</v>
      </c>
      <c r="M513" t="s">
        <v>167</v>
      </c>
      <c r="N513" t="s">
        <v>25</v>
      </c>
      <c r="O513" s="3" t="str">
        <f t="shared" si="158"/>
        <v>Consumer</v>
      </c>
      <c r="P513" t="s">
        <v>72</v>
      </c>
      <c r="Q513" s="3" t="str">
        <f t="shared" si="159"/>
        <v>West</v>
      </c>
      <c r="R513" t="s">
        <v>83</v>
      </c>
      <c r="S513" t="s">
        <v>84</v>
      </c>
      <c r="T513" t="s">
        <v>44</v>
      </c>
      <c r="U513" s="3" t="str">
        <f t="shared" si="160"/>
        <v>Furniture</v>
      </c>
      <c r="V513" t="s">
        <v>203</v>
      </c>
      <c r="W513" t="s">
        <v>2485</v>
      </c>
      <c r="X513" t="s">
        <v>66</v>
      </c>
      <c r="Y513" s="3" t="str">
        <f t="shared" si="161"/>
        <v>Standard Class</v>
      </c>
      <c r="Z513">
        <v>9</v>
      </c>
      <c r="AA513">
        <v>544.27</v>
      </c>
      <c r="AB513">
        <v>0.25</v>
      </c>
      <c r="AC513">
        <f t="shared" si="162"/>
        <v>0.25</v>
      </c>
      <c r="AD513" t="str">
        <f t="shared" si="165"/>
        <v>Valid</v>
      </c>
      <c r="AE513">
        <v>3673.82</v>
      </c>
      <c r="AF513">
        <v>2088.15</v>
      </c>
      <c r="AG513">
        <v>1585.67</v>
      </c>
      <c r="AH513" t="s">
        <v>33</v>
      </c>
      <c r="AI513" t="str">
        <f t="shared" si="166"/>
        <v>Include</v>
      </c>
      <c r="AJ513" t="str">
        <f t="shared" si="167"/>
        <v/>
      </c>
      <c r="AK513" t="s">
        <v>34</v>
      </c>
      <c r="AL513" t="str">
        <f t="shared" si="163"/>
        <v>Completed</v>
      </c>
      <c r="AM513" t="str">
        <f t="shared" si="168"/>
        <v>Include</v>
      </c>
      <c r="AN513">
        <f t="shared" si="169"/>
        <v>3673.8225000000002</v>
      </c>
      <c r="AO513">
        <f t="shared" si="170"/>
        <v>1585.6725000000001</v>
      </c>
      <c r="AP513">
        <f>IF(AN513=0,0,AO513/AN513)</f>
        <v>0.43161380278987349</v>
      </c>
      <c r="AQ513" t="str">
        <f t="shared" si="171"/>
        <v>October</v>
      </c>
      <c r="AR513">
        <f t="shared" si="172"/>
        <v>2024</v>
      </c>
      <c r="AS513" t="str">
        <f t="shared" si="173"/>
        <v>Clean</v>
      </c>
      <c r="AT513" t="str">
        <f>IF(OR(AC513&lt;0,AC513&gt;0.5),"Invalid Discount","Valid")</f>
        <v>Valid</v>
      </c>
      <c r="AU513" t="str">
        <f>IF(G513&lt;E513,"Invalid Shipping Record","Valid")</f>
        <v>Valid</v>
      </c>
      <c r="AV513" t="str">
        <f>IF(OR(AL513="Cancelled",AH513="Failed"),"Exclude","Include")</f>
        <v>Include</v>
      </c>
      <c r="AW513" t="str">
        <f t="shared" si="174"/>
        <v>Match</v>
      </c>
      <c r="AX513" t="str">
        <f t="shared" si="175"/>
        <v>Match</v>
      </c>
    </row>
    <row r="514" spans="1:50">
      <c r="A514" t="s">
        <v>2486</v>
      </c>
      <c r="B514">
        <f t="shared" si="176"/>
        <v>1</v>
      </c>
      <c r="C514" t="str">
        <f t="shared" si="164"/>
        <v/>
      </c>
      <c r="D514" s="3" t="s">
        <v>785</v>
      </c>
      <c r="E514" s="7">
        <v>45718</v>
      </c>
      <c r="F514" s="3" t="s">
        <v>2487</v>
      </c>
      <c r="G514" s="7">
        <v>45719</v>
      </c>
      <c r="H514" s="7" t="str">
        <f t="shared" ref="H514:H577" si="177">IF(G514&lt;E514,"Invalid Shipping Record","Valid")</f>
        <v>Valid</v>
      </c>
      <c r="I514" s="9">
        <f t="shared" ref="I514:I577" si="178">G514-E514</f>
        <v>1</v>
      </c>
      <c r="J514" s="9" t="str">
        <f t="shared" ref="J514:J577" si="179">IF(OR(E514="",G514=""),"Missing Date",IF(OR(NOT(ISNUMBER(E514)),NOT(ISNUMBER(G514))),"Invalid Date",IF(G514&lt;E514,"Invalid Shipping Record","Valid")))</f>
        <v>Valid</v>
      </c>
      <c r="K514" t="s">
        <v>1899</v>
      </c>
      <c r="L514" t="s">
        <v>52</v>
      </c>
      <c r="M514" t="s">
        <v>52</v>
      </c>
      <c r="N514" t="s">
        <v>107</v>
      </c>
      <c r="O514" s="3" t="str">
        <f t="shared" ref="O514:O577" si="180">PROPER(TRIM(N514))</f>
        <v>Corporate</v>
      </c>
      <c r="P514" t="s">
        <v>61</v>
      </c>
      <c r="Q514" s="3" t="str">
        <f t="shared" ref="Q514:Q577" si="181">IF(TRIM(P514)="","Unknown",PROPER(TRIM(P514)))</f>
        <v>South</v>
      </c>
      <c r="R514" t="s">
        <v>241</v>
      </c>
      <c r="S514" t="s">
        <v>242</v>
      </c>
      <c r="T514" t="s">
        <v>29</v>
      </c>
      <c r="U514" s="3" t="str">
        <f t="shared" ref="U514:U577" si="182">PROPER(TRIM(T514))</f>
        <v>Office Supplies</v>
      </c>
      <c r="V514" t="s">
        <v>108</v>
      </c>
      <c r="W514" t="s">
        <v>2488</v>
      </c>
      <c r="X514" t="s">
        <v>32</v>
      </c>
      <c r="Y514" s="3" t="str">
        <f t="shared" ref="Y514:Y577" si="183">IF(TRIM(X514)="","Unknown",PROPER(TRIM(X514)))</f>
        <v>Second Class</v>
      </c>
      <c r="Z514">
        <v>2</v>
      </c>
      <c r="AA514">
        <v>4031.45</v>
      </c>
      <c r="AB514">
        <v>0.25</v>
      </c>
      <c r="AC514">
        <f t="shared" ref="AC514:AC577" si="184">IF(AND(AB514=" ",Z514=" ",AA514=" ",AF514=" "),0,AB514)</f>
        <v>0.25</v>
      </c>
      <c r="AD514" t="str">
        <f t="shared" si="165"/>
        <v>Valid</v>
      </c>
      <c r="AE514">
        <v>6047.17</v>
      </c>
      <c r="AF514">
        <v>3368.79</v>
      </c>
      <c r="AG514">
        <v>2678.38</v>
      </c>
      <c r="AH514" t="s">
        <v>33</v>
      </c>
      <c r="AI514" t="str">
        <f t="shared" si="166"/>
        <v>Include</v>
      </c>
      <c r="AJ514" t="str">
        <f t="shared" si="167"/>
        <v/>
      </c>
      <c r="AK514" t="s">
        <v>34</v>
      </c>
      <c r="AL514" t="str">
        <f t="shared" ref="AL514:AL577" si="185">PROPER(TRIM(AK514))</f>
        <v>Completed</v>
      </c>
      <c r="AM514" t="str">
        <f t="shared" si="168"/>
        <v>Include</v>
      </c>
      <c r="AN514">
        <f t="shared" si="169"/>
        <v>6047.1749999999993</v>
      </c>
      <c r="AO514">
        <f t="shared" si="170"/>
        <v>2678.3849999999993</v>
      </c>
      <c r="AP514">
        <f>IF(AN514=0,0,AO514/AN514)</f>
        <v>0.44291508018206843</v>
      </c>
      <c r="AQ514" t="str">
        <f t="shared" si="171"/>
        <v>March</v>
      </c>
      <c r="AR514">
        <f t="shared" si="172"/>
        <v>2025</v>
      </c>
      <c r="AS514" t="str">
        <f t="shared" si="173"/>
        <v>Clean</v>
      </c>
      <c r="AT514" t="str">
        <f>IF(OR(AC514&lt;0,AC514&gt;0.5),"Invalid Discount","Valid")</f>
        <v>Valid</v>
      </c>
      <c r="AU514" t="str">
        <f>IF(G514&lt;E514,"Invalid Shipping Record","Valid")</f>
        <v>Valid</v>
      </c>
      <c r="AV514" t="str">
        <f>IF(OR(AL514="Cancelled",AH514="Failed"),"Exclude","Include")</f>
        <v>Include</v>
      </c>
      <c r="AW514" t="str">
        <f t="shared" si="174"/>
        <v>Mismatch</v>
      </c>
      <c r="AX514" t="str">
        <f t="shared" si="175"/>
        <v>Mismatch</v>
      </c>
    </row>
    <row r="515" spans="1:50">
      <c r="A515" t="s">
        <v>2489</v>
      </c>
      <c r="B515">
        <f t="shared" si="176"/>
        <v>1</v>
      </c>
      <c r="C515" t="str">
        <f t="shared" ref="C515:C578" si="186">IF(B515&gt;1,"Review Required","")</f>
        <v/>
      </c>
      <c r="D515" s="3" t="s">
        <v>996</v>
      </c>
      <c r="E515" s="7">
        <v>45835</v>
      </c>
      <c r="F515" s="3" t="s">
        <v>2396</v>
      </c>
      <c r="G515" s="7">
        <v>45840</v>
      </c>
      <c r="H515" s="7" t="str">
        <f t="shared" si="177"/>
        <v>Valid</v>
      </c>
      <c r="I515" s="9">
        <f t="shared" si="178"/>
        <v>5</v>
      </c>
      <c r="J515" s="9" t="str">
        <f t="shared" si="179"/>
        <v>Valid</v>
      </c>
      <c r="K515" t="s">
        <v>2490</v>
      </c>
      <c r="L515" t="s">
        <v>161</v>
      </c>
      <c r="M515" t="s">
        <v>161</v>
      </c>
      <c r="N515" t="s">
        <v>107</v>
      </c>
      <c r="O515" s="3" t="str">
        <f t="shared" si="180"/>
        <v>Corporate</v>
      </c>
      <c r="P515" t="s">
        <v>61</v>
      </c>
      <c r="Q515" s="3" t="str">
        <f t="shared" si="181"/>
        <v>South</v>
      </c>
      <c r="R515" t="s">
        <v>241</v>
      </c>
      <c r="S515" t="s">
        <v>242</v>
      </c>
      <c r="T515" t="s">
        <v>85</v>
      </c>
      <c r="U515" s="3" t="str">
        <f t="shared" si="182"/>
        <v>Technology</v>
      </c>
      <c r="V515" t="s">
        <v>86</v>
      </c>
      <c r="W515" t="s">
        <v>2491</v>
      </c>
      <c r="X515" t="s">
        <v>55</v>
      </c>
      <c r="Y515" s="3" t="str">
        <f t="shared" si="183"/>
        <v>First Class</v>
      </c>
      <c r="Z515">
        <v>6</v>
      </c>
      <c r="AA515">
        <v>1099.49</v>
      </c>
      <c r="AB515">
        <v>0.1</v>
      </c>
      <c r="AC515">
        <f t="shared" si="184"/>
        <v>0.1</v>
      </c>
      <c r="AD515" t="str">
        <f t="shared" ref="AD515:AD578" si="187">IF(AC515&lt;0,"Invalid Discount","Valid")</f>
        <v>Valid</v>
      </c>
      <c r="AE515">
        <v>6212.38</v>
      </c>
      <c r="AF515">
        <v>4088.46</v>
      </c>
      <c r="AG515">
        <v>1848.79</v>
      </c>
      <c r="AH515" t="s">
        <v>33</v>
      </c>
      <c r="AI515" t="str">
        <f t="shared" ref="AI515:AI578" si="188">IF(OR(AH515="Failed",AL515="Cancelled"),"Exclude","Include")</f>
        <v>Include</v>
      </c>
      <c r="AJ515" t="str">
        <f t="shared" ref="AJ515:AJ578" si="189">IF(AH515="Refunded","Refunded Order","")</f>
        <v/>
      </c>
      <c r="AK515" t="s">
        <v>34</v>
      </c>
      <c r="AL515" t="str">
        <f t="shared" si="185"/>
        <v>Completed</v>
      </c>
      <c r="AM515" t="str">
        <f t="shared" ref="AM515:AM578" si="190">IF(AL515="Cancelled","Exclude","Include")</f>
        <v>Include</v>
      </c>
      <c r="AN515">
        <f t="shared" ref="AN515:AN578" si="191">Z515*AA515*(1-AC515)</f>
        <v>5937.246000000001</v>
      </c>
      <c r="AO515">
        <f t="shared" ref="AO515:AO578" si="192">AN515-AF515</f>
        <v>1848.786000000001</v>
      </c>
      <c r="AP515">
        <f>IF(AN515=0,0,AO515/AN515)</f>
        <v>0.31138780505304997</v>
      </c>
      <c r="AQ515" t="str">
        <f t="shared" ref="AQ515:AQ578" si="193">TEXT(E515,"mmmm")</f>
        <v>June</v>
      </c>
      <c r="AR515">
        <f t="shared" ref="AR515:AR578" si="194">YEAR(E515)</f>
        <v>2025</v>
      </c>
      <c r="AS515" t="str">
        <f t="shared" ref="AS515:AS578" si="195">IF(OR(AC515&lt;0,AC515&gt;1,G515&lt;E515),"Invalid",IF(OR(Q515="Unknown",Y515="Unknown"),"Warning","Clean"))</f>
        <v>Clean</v>
      </c>
      <c r="AT515" t="str">
        <f>IF(OR(AC515&lt;0,AC515&gt;0.5),"Invalid Discount","Valid")</f>
        <v>Valid</v>
      </c>
      <c r="AU515" t="str">
        <f>IF(G515&lt;E515,"Invalid Shipping Record","Valid")</f>
        <v>Valid</v>
      </c>
      <c r="AV515" t="str">
        <f>IF(OR(AL515="Cancelled",AH515="Failed"),"Exclude","Include")</f>
        <v>Include</v>
      </c>
      <c r="AW515" t="str">
        <f t="shared" ref="AW515:AW578" si="196">IF(ROUND(AE515,2)=ROUND(AN515,2),"Match","Mismatch")</f>
        <v>Mismatch</v>
      </c>
      <c r="AX515" t="str">
        <f t="shared" ref="AX515:AX578" si="197">IF(ROUND(AG515,2)=ROUND(AO515,2),"Match","Mismatch")</f>
        <v>Match</v>
      </c>
    </row>
    <row r="516" spans="1:50">
      <c r="A516" t="s">
        <v>2492</v>
      </c>
      <c r="B516">
        <f t="shared" si="176"/>
        <v>1</v>
      </c>
      <c r="C516" t="str">
        <f t="shared" si="186"/>
        <v/>
      </c>
      <c r="D516" s="3" t="s">
        <v>2493</v>
      </c>
      <c r="E516" s="7">
        <v>45614</v>
      </c>
      <c r="F516" s="3" t="s">
        <v>2406</v>
      </c>
      <c r="G516" s="7">
        <v>45618</v>
      </c>
      <c r="H516" s="7" t="str">
        <f t="shared" si="177"/>
        <v>Valid</v>
      </c>
      <c r="I516" s="9">
        <f t="shared" si="178"/>
        <v>4</v>
      </c>
      <c r="J516" s="9" t="str">
        <f t="shared" si="179"/>
        <v>Valid</v>
      </c>
      <c r="K516" t="s">
        <v>2494</v>
      </c>
      <c r="L516" t="s">
        <v>24</v>
      </c>
      <c r="M516" t="s">
        <v>24</v>
      </c>
      <c r="N516" t="s">
        <v>114</v>
      </c>
      <c r="O516" s="3" t="str">
        <f t="shared" si="180"/>
        <v>Home Office</v>
      </c>
      <c r="P516" t="s">
        <v>61</v>
      </c>
      <c r="Q516" s="3" t="str">
        <f t="shared" si="181"/>
        <v>South</v>
      </c>
      <c r="R516" t="s">
        <v>241</v>
      </c>
      <c r="S516" t="s">
        <v>242</v>
      </c>
      <c r="T516" t="s">
        <v>85</v>
      </c>
      <c r="U516" s="3" t="str">
        <f t="shared" si="182"/>
        <v>Technology</v>
      </c>
      <c r="V516" t="s">
        <v>86</v>
      </c>
      <c r="W516" t="s">
        <v>2495</v>
      </c>
      <c r="X516" t="s">
        <v>66</v>
      </c>
      <c r="Y516" s="3" t="str">
        <f t="shared" si="183"/>
        <v>Standard Class</v>
      </c>
      <c r="Z516">
        <v>6</v>
      </c>
      <c r="AA516">
        <v>3872.94</v>
      </c>
      <c r="AB516">
        <v>0.1</v>
      </c>
      <c r="AC516">
        <f t="shared" si="184"/>
        <v>0.1</v>
      </c>
      <c r="AD516" t="str">
        <f t="shared" si="187"/>
        <v>Valid</v>
      </c>
      <c r="AE516">
        <v>20913.88</v>
      </c>
      <c r="AF516">
        <v>11684.68</v>
      </c>
      <c r="AG516">
        <v>9229.2000000000007</v>
      </c>
      <c r="AH516" t="s">
        <v>33</v>
      </c>
      <c r="AI516" t="str">
        <f t="shared" si="188"/>
        <v>Include</v>
      </c>
      <c r="AJ516" t="str">
        <f t="shared" si="189"/>
        <v/>
      </c>
      <c r="AK516" t="s">
        <v>34</v>
      </c>
      <c r="AL516" t="str">
        <f t="shared" si="185"/>
        <v>Completed</v>
      </c>
      <c r="AM516" t="str">
        <f t="shared" si="190"/>
        <v>Include</v>
      </c>
      <c r="AN516">
        <f t="shared" si="191"/>
        <v>20913.876</v>
      </c>
      <c r="AO516">
        <f t="shared" si="192"/>
        <v>9229.1959999999999</v>
      </c>
      <c r="AP516">
        <f>IF(AN516=0,0,AO516/AN516)</f>
        <v>0.44129533903710627</v>
      </c>
      <c r="AQ516" t="str">
        <f t="shared" si="193"/>
        <v>November</v>
      </c>
      <c r="AR516">
        <f t="shared" si="194"/>
        <v>2024</v>
      </c>
      <c r="AS516" t="str">
        <f t="shared" si="195"/>
        <v>Clean</v>
      </c>
      <c r="AT516" t="str">
        <f>IF(OR(AC516&lt;0,AC516&gt;0.5),"Invalid Discount","Valid")</f>
        <v>Valid</v>
      </c>
      <c r="AU516" t="str">
        <f>IF(G516&lt;E516,"Invalid Shipping Record","Valid")</f>
        <v>Valid</v>
      </c>
      <c r="AV516" t="str">
        <f>IF(OR(AL516="Cancelled",AH516="Failed"),"Exclude","Include")</f>
        <v>Include</v>
      </c>
      <c r="AW516" t="str">
        <f t="shared" si="196"/>
        <v>Match</v>
      </c>
      <c r="AX516" t="str">
        <f t="shared" si="197"/>
        <v>Match</v>
      </c>
    </row>
    <row r="517" spans="1:50">
      <c r="A517" t="s">
        <v>2496</v>
      </c>
      <c r="B517">
        <f t="shared" si="176"/>
        <v>1</v>
      </c>
      <c r="C517" t="str">
        <f t="shared" si="186"/>
        <v/>
      </c>
      <c r="D517" s="3" t="s">
        <v>2141</v>
      </c>
      <c r="E517" s="7">
        <v>45758</v>
      </c>
      <c r="F517" s="3" t="s">
        <v>2497</v>
      </c>
      <c r="G517" s="7">
        <v>45758</v>
      </c>
      <c r="H517" s="7" t="str">
        <f t="shared" si="177"/>
        <v>Valid</v>
      </c>
      <c r="I517" s="9">
        <f t="shared" si="178"/>
        <v>0</v>
      </c>
      <c r="J517" s="9" t="str">
        <f t="shared" si="179"/>
        <v>Valid</v>
      </c>
      <c r="K517" t="s">
        <v>2498</v>
      </c>
      <c r="L517" t="s">
        <v>147</v>
      </c>
      <c r="M517" t="s">
        <v>147</v>
      </c>
      <c r="N517" t="s">
        <v>107</v>
      </c>
      <c r="O517" s="3" t="str">
        <f t="shared" si="180"/>
        <v>Corporate</v>
      </c>
      <c r="P517" t="s">
        <v>26</v>
      </c>
      <c r="Q517" s="3" t="str">
        <f t="shared" si="181"/>
        <v>North</v>
      </c>
      <c r="R517" t="s">
        <v>505</v>
      </c>
      <c r="S517" t="s">
        <v>506</v>
      </c>
      <c r="T517" t="s">
        <v>29</v>
      </c>
      <c r="U517" s="3" t="str">
        <f t="shared" si="182"/>
        <v>Office Supplies</v>
      </c>
      <c r="V517" t="s">
        <v>30</v>
      </c>
      <c r="W517" t="s">
        <v>2499</v>
      </c>
      <c r="X517" t="s">
        <v>66</v>
      </c>
      <c r="Y517" s="3" t="str">
        <f t="shared" si="183"/>
        <v>Standard Class</v>
      </c>
      <c r="Z517">
        <v>1</v>
      </c>
      <c r="AA517">
        <v>4458.49</v>
      </c>
      <c r="AB517">
        <v>-7.0000000000000007E-2</v>
      </c>
      <c r="AC517">
        <f t="shared" si="184"/>
        <v>-7.0000000000000007E-2</v>
      </c>
      <c r="AD517" t="str">
        <f t="shared" si="187"/>
        <v>Invalid Discount</v>
      </c>
      <c r="AE517">
        <v>3566.79</v>
      </c>
      <c r="AF517">
        <v>2083.41</v>
      </c>
      <c r="AG517">
        <v>1483.38</v>
      </c>
      <c r="AH517" t="s">
        <v>33</v>
      </c>
      <c r="AI517" t="str">
        <f t="shared" si="188"/>
        <v>Include</v>
      </c>
      <c r="AJ517" t="str">
        <f t="shared" si="189"/>
        <v/>
      </c>
      <c r="AK517" t="s">
        <v>34</v>
      </c>
      <c r="AL517" t="str">
        <f t="shared" si="185"/>
        <v>Completed</v>
      </c>
      <c r="AM517" t="str">
        <f t="shared" si="190"/>
        <v>Include</v>
      </c>
      <c r="AN517">
        <f t="shared" si="191"/>
        <v>4770.5843000000004</v>
      </c>
      <c r="AO517">
        <f t="shared" si="192"/>
        <v>2687.1743000000006</v>
      </c>
      <c r="AP517">
        <f>IF(AN517=0,0,AO517/AN517)</f>
        <v>0.56327991101635089</v>
      </c>
      <c r="AQ517" t="str">
        <f t="shared" si="193"/>
        <v>April</v>
      </c>
      <c r="AR517">
        <f t="shared" si="194"/>
        <v>2025</v>
      </c>
      <c r="AS517" t="str">
        <f t="shared" si="195"/>
        <v>Invalid</v>
      </c>
      <c r="AT517" t="str">
        <f>IF(OR(AC517&lt;0,AC517&gt;0.5),"Invalid Discount","Valid")</f>
        <v>Invalid Discount</v>
      </c>
      <c r="AU517" t="str">
        <f>IF(G517&lt;E517,"Invalid Shipping Record","Valid")</f>
        <v>Valid</v>
      </c>
      <c r="AV517" t="str">
        <f>IF(OR(AL517="Cancelled",AH517="Failed"),"Exclude","Include")</f>
        <v>Include</v>
      </c>
      <c r="AW517" t="str">
        <f t="shared" si="196"/>
        <v>Mismatch</v>
      </c>
      <c r="AX517" t="str">
        <f t="shared" si="197"/>
        <v>Mismatch</v>
      </c>
    </row>
    <row r="518" spans="1:50">
      <c r="A518" t="s">
        <v>2500</v>
      </c>
      <c r="B518">
        <f t="shared" si="176"/>
        <v>1</v>
      </c>
      <c r="C518" t="str">
        <f t="shared" si="186"/>
        <v/>
      </c>
      <c r="D518" s="3" t="s">
        <v>2501</v>
      </c>
      <c r="E518" s="7">
        <v>45563</v>
      </c>
      <c r="F518" s="3" t="s">
        <v>2502</v>
      </c>
      <c r="G518" s="7">
        <v>45569</v>
      </c>
      <c r="H518" s="7" t="str">
        <f t="shared" si="177"/>
        <v>Valid</v>
      </c>
      <c r="I518" s="9">
        <f t="shared" si="178"/>
        <v>6</v>
      </c>
      <c r="J518" s="9" t="str">
        <f t="shared" si="179"/>
        <v>Valid</v>
      </c>
      <c r="K518" t="s">
        <v>2503</v>
      </c>
      <c r="L518" t="s">
        <v>365</v>
      </c>
      <c r="M518" t="s">
        <v>365</v>
      </c>
      <c r="N518" t="s">
        <v>114</v>
      </c>
      <c r="O518" s="3" t="str">
        <f t="shared" si="180"/>
        <v>Home Office</v>
      </c>
      <c r="P518" t="s">
        <v>26</v>
      </c>
      <c r="Q518" s="3" t="str">
        <f t="shared" si="181"/>
        <v>North</v>
      </c>
      <c r="R518" t="s">
        <v>505</v>
      </c>
      <c r="S518" t="s">
        <v>506</v>
      </c>
      <c r="T518" t="s">
        <v>85</v>
      </c>
      <c r="U518" s="3" t="str">
        <f t="shared" si="182"/>
        <v>Technology</v>
      </c>
      <c r="V518" t="s">
        <v>93</v>
      </c>
      <c r="W518" t="s">
        <v>2504</v>
      </c>
      <c r="X518" t="s">
        <v>66</v>
      </c>
      <c r="Y518" s="3" t="str">
        <f t="shared" si="183"/>
        <v>Standard Class</v>
      </c>
      <c r="Z518">
        <v>1</v>
      </c>
      <c r="AA518">
        <v>2233.1799999999998</v>
      </c>
      <c r="AB518">
        <v>0</v>
      </c>
      <c r="AC518">
        <f t="shared" si="184"/>
        <v>0</v>
      </c>
      <c r="AD518" t="str">
        <f t="shared" si="187"/>
        <v>Valid</v>
      </c>
      <c r="AE518">
        <v>2233.1799999999998</v>
      </c>
      <c r="AF518">
        <v>1585.82</v>
      </c>
      <c r="AG518">
        <v>647.36</v>
      </c>
      <c r="AH518" t="s">
        <v>199</v>
      </c>
      <c r="AI518" t="str">
        <f t="shared" si="188"/>
        <v>Exclude</v>
      </c>
      <c r="AJ518" t="str">
        <f t="shared" si="189"/>
        <v/>
      </c>
      <c r="AK518" t="s">
        <v>124</v>
      </c>
      <c r="AL518" t="str">
        <f t="shared" si="185"/>
        <v>Returned</v>
      </c>
      <c r="AM518" t="str">
        <f t="shared" si="190"/>
        <v>Include</v>
      </c>
      <c r="AN518">
        <f t="shared" si="191"/>
        <v>2233.1799999999998</v>
      </c>
      <c r="AO518">
        <f t="shared" si="192"/>
        <v>647.3599999999999</v>
      </c>
      <c r="AP518">
        <f>IF(AN518=0,0,AO518/AN518)</f>
        <v>0.28988258895386843</v>
      </c>
      <c r="AQ518" t="str">
        <f t="shared" si="193"/>
        <v>September</v>
      </c>
      <c r="AR518">
        <f t="shared" si="194"/>
        <v>2024</v>
      </c>
      <c r="AS518" t="str">
        <f t="shared" si="195"/>
        <v>Clean</v>
      </c>
      <c r="AT518" t="str">
        <f>IF(OR(AC518&lt;0,AC518&gt;0.5),"Invalid Discount","Valid")</f>
        <v>Valid</v>
      </c>
      <c r="AU518" t="str">
        <f>IF(G518&lt;E518,"Invalid Shipping Record","Valid")</f>
        <v>Valid</v>
      </c>
      <c r="AV518" t="str">
        <f>IF(OR(AL518="Cancelled",AH518="Failed"),"Exclude","Include")</f>
        <v>Exclude</v>
      </c>
      <c r="AW518" t="str">
        <f t="shared" si="196"/>
        <v>Match</v>
      </c>
      <c r="AX518" t="str">
        <f t="shared" si="197"/>
        <v>Match</v>
      </c>
    </row>
    <row r="519" spans="1:50">
      <c r="A519" t="s">
        <v>2505</v>
      </c>
      <c r="B519">
        <f t="shared" si="176"/>
        <v>1</v>
      </c>
      <c r="C519" t="str">
        <f t="shared" si="186"/>
        <v/>
      </c>
      <c r="D519" s="3" t="s">
        <v>2506</v>
      </c>
      <c r="E519" s="7">
        <v>45802</v>
      </c>
      <c r="F519" s="3" t="s">
        <v>1681</v>
      </c>
      <c r="G519" s="7">
        <v>45804</v>
      </c>
      <c r="H519" s="7" t="str">
        <f t="shared" si="177"/>
        <v>Valid</v>
      </c>
      <c r="I519" s="9">
        <f t="shared" si="178"/>
        <v>2</v>
      </c>
      <c r="J519" s="9" t="str">
        <f t="shared" si="179"/>
        <v>Valid</v>
      </c>
      <c r="K519" t="s">
        <v>2507</v>
      </c>
      <c r="L519" t="s">
        <v>147</v>
      </c>
      <c r="M519" t="s">
        <v>147</v>
      </c>
      <c r="N519" t="s">
        <v>25</v>
      </c>
      <c r="O519" s="3" t="str">
        <f t="shared" si="180"/>
        <v>Consumer</v>
      </c>
      <c r="P519" t="s">
        <v>41</v>
      </c>
      <c r="Q519" s="3" t="str">
        <f t="shared" si="181"/>
        <v>East</v>
      </c>
      <c r="R519" t="s">
        <v>42</v>
      </c>
      <c r="S519" t="s">
        <v>43</v>
      </c>
      <c r="T519" t="s">
        <v>44</v>
      </c>
      <c r="U519" s="3" t="str">
        <f t="shared" si="182"/>
        <v>Furniture</v>
      </c>
      <c r="V519" t="s">
        <v>64</v>
      </c>
      <c r="W519" t="s">
        <v>2508</v>
      </c>
      <c r="X519" t="s">
        <v>32</v>
      </c>
      <c r="Y519" s="3" t="str">
        <f t="shared" si="183"/>
        <v>Second Class</v>
      </c>
      <c r="Z519">
        <v>7</v>
      </c>
      <c r="AA519">
        <v>2123.2800000000002</v>
      </c>
      <c r="AB519">
        <v>0.2</v>
      </c>
      <c r="AC519">
        <f t="shared" si="184"/>
        <v>0.2</v>
      </c>
      <c r="AD519" t="str">
        <f t="shared" si="187"/>
        <v>Valid</v>
      </c>
      <c r="AE519">
        <v>11890.37</v>
      </c>
      <c r="AF519">
        <v>9234.5300000000007</v>
      </c>
      <c r="AG519">
        <v>2655.84</v>
      </c>
      <c r="AH519" t="s">
        <v>123</v>
      </c>
      <c r="AI519" t="str">
        <f t="shared" si="188"/>
        <v>Include</v>
      </c>
      <c r="AJ519" t="str">
        <f t="shared" si="189"/>
        <v>Refunded Order</v>
      </c>
      <c r="AK519" t="s">
        <v>124</v>
      </c>
      <c r="AL519" t="str">
        <f t="shared" si="185"/>
        <v>Returned</v>
      </c>
      <c r="AM519" t="str">
        <f t="shared" si="190"/>
        <v>Include</v>
      </c>
      <c r="AN519">
        <f t="shared" si="191"/>
        <v>11890.368000000002</v>
      </c>
      <c r="AO519">
        <f t="shared" si="192"/>
        <v>2655.8380000000016</v>
      </c>
      <c r="AP519">
        <f>IF(AN519=0,0,AO519/AN519)</f>
        <v>0.22336045444514427</v>
      </c>
      <c r="AQ519" t="str">
        <f t="shared" si="193"/>
        <v>May</v>
      </c>
      <c r="AR519">
        <f t="shared" si="194"/>
        <v>2025</v>
      </c>
      <c r="AS519" t="str">
        <f t="shared" si="195"/>
        <v>Clean</v>
      </c>
      <c r="AT519" t="str">
        <f>IF(OR(AC519&lt;0,AC519&gt;0.5),"Invalid Discount","Valid")</f>
        <v>Valid</v>
      </c>
      <c r="AU519" t="str">
        <f>IF(G519&lt;E519,"Invalid Shipping Record","Valid")</f>
        <v>Valid</v>
      </c>
      <c r="AV519" t="str">
        <f>IF(OR(AL519="Cancelled",AH519="Failed"),"Exclude","Include")</f>
        <v>Include</v>
      </c>
      <c r="AW519" t="str">
        <f t="shared" si="196"/>
        <v>Match</v>
      </c>
      <c r="AX519" t="str">
        <f t="shared" si="197"/>
        <v>Match</v>
      </c>
    </row>
    <row r="520" spans="1:50">
      <c r="A520" t="s">
        <v>2509</v>
      </c>
      <c r="B520">
        <f t="shared" si="176"/>
        <v>1</v>
      </c>
      <c r="C520" t="str">
        <f t="shared" si="186"/>
        <v/>
      </c>
      <c r="D520" s="3" t="s">
        <v>2391</v>
      </c>
      <c r="E520" s="7">
        <v>45777</v>
      </c>
      <c r="F520" s="3" t="s">
        <v>2510</v>
      </c>
      <c r="G520" s="7">
        <v>45773</v>
      </c>
      <c r="H520" s="7" t="str">
        <f t="shared" si="177"/>
        <v>Invalid Shipping Record</v>
      </c>
      <c r="I520" s="9">
        <f t="shared" si="178"/>
        <v>-4</v>
      </c>
      <c r="J520" s="9" t="str">
        <f t="shared" si="179"/>
        <v>Invalid Shipping Record</v>
      </c>
      <c r="K520" t="s">
        <v>2511</v>
      </c>
      <c r="L520" t="s">
        <v>209</v>
      </c>
      <c r="M520" t="s">
        <v>209</v>
      </c>
      <c r="N520" t="s">
        <v>107</v>
      </c>
      <c r="O520" s="3" t="str">
        <f t="shared" si="180"/>
        <v>Corporate</v>
      </c>
      <c r="P520" t="s">
        <v>41</v>
      </c>
      <c r="Q520" s="3" t="str">
        <f t="shared" si="181"/>
        <v>East</v>
      </c>
      <c r="R520" t="s">
        <v>42</v>
      </c>
      <c r="S520" t="s">
        <v>43</v>
      </c>
      <c r="T520" t="s">
        <v>44</v>
      </c>
      <c r="U520" s="3" t="str">
        <f t="shared" si="182"/>
        <v>Furniture</v>
      </c>
      <c r="V520" t="s">
        <v>45</v>
      </c>
      <c r="W520" t="s">
        <v>2512</v>
      </c>
      <c r="X520" t="s">
        <v>55</v>
      </c>
      <c r="Y520" s="3" t="str">
        <f t="shared" si="183"/>
        <v>First Class</v>
      </c>
      <c r="Z520">
        <v>7</v>
      </c>
      <c r="AA520">
        <v>1604.13</v>
      </c>
      <c r="AB520">
        <v>0.25</v>
      </c>
      <c r="AC520">
        <f t="shared" si="184"/>
        <v>0.25</v>
      </c>
      <c r="AD520" t="str">
        <f t="shared" si="187"/>
        <v>Valid</v>
      </c>
      <c r="AE520">
        <v>8421.68</v>
      </c>
      <c r="AF520">
        <v>6534.47</v>
      </c>
      <c r="AG520">
        <v>1887.21</v>
      </c>
      <c r="AH520" t="s">
        <v>33</v>
      </c>
      <c r="AI520" t="str">
        <f t="shared" si="188"/>
        <v>Exclude</v>
      </c>
      <c r="AJ520" t="str">
        <f t="shared" si="189"/>
        <v/>
      </c>
      <c r="AK520" t="s">
        <v>77</v>
      </c>
      <c r="AL520" t="str">
        <f t="shared" si="185"/>
        <v>Cancelled</v>
      </c>
      <c r="AM520" t="str">
        <f t="shared" si="190"/>
        <v>Exclude</v>
      </c>
      <c r="AN520">
        <f t="shared" si="191"/>
        <v>8421.682499999999</v>
      </c>
      <c r="AO520">
        <f t="shared" si="192"/>
        <v>1887.2124999999987</v>
      </c>
      <c r="AP520">
        <f>IF(AN520=0,0,AO520/AN520)</f>
        <v>0.22408972316398759</v>
      </c>
      <c r="AQ520" t="str">
        <f t="shared" si="193"/>
        <v>April</v>
      </c>
      <c r="AR520">
        <f t="shared" si="194"/>
        <v>2025</v>
      </c>
      <c r="AS520" t="str">
        <f t="shared" si="195"/>
        <v>Invalid</v>
      </c>
      <c r="AT520" t="str">
        <f>IF(OR(AC520&lt;0,AC520&gt;0.5),"Invalid Discount","Valid")</f>
        <v>Valid</v>
      </c>
      <c r="AU520" t="str">
        <f>IF(G520&lt;E520,"Invalid Shipping Record","Valid")</f>
        <v>Invalid Shipping Record</v>
      </c>
      <c r="AV520" t="str">
        <f>IF(OR(AL520="Cancelled",AH520="Failed"),"Exclude","Include")</f>
        <v>Exclude</v>
      </c>
      <c r="AW520" t="str">
        <f t="shared" si="196"/>
        <v>Match</v>
      </c>
      <c r="AX520" t="str">
        <f t="shared" si="197"/>
        <v>Match</v>
      </c>
    </row>
    <row r="521" spans="1:50">
      <c r="A521" t="s">
        <v>2513</v>
      </c>
      <c r="B521">
        <f t="shared" si="176"/>
        <v>1</v>
      </c>
      <c r="C521" t="str">
        <f t="shared" si="186"/>
        <v/>
      </c>
      <c r="D521" s="3" t="s">
        <v>379</v>
      </c>
      <c r="E521" s="7">
        <v>45841</v>
      </c>
      <c r="F521" s="3" t="s">
        <v>2514</v>
      </c>
      <c r="G521" s="7">
        <v>45845</v>
      </c>
      <c r="H521" s="7" t="str">
        <f t="shared" si="177"/>
        <v>Valid</v>
      </c>
      <c r="I521" s="9">
        <f t="shared" si="178"/>
        <v>4</v>
      </c>
      <c r="J521" s="9" t="str">
        <f t="shared" si="179"/>
        <v>Valid</v>
      </c>
      <c r="K521" t="s">
        <v>2515</v>
      </c>
      <c r="L521" t="s">
        <v>141</v>
      </c>
      <c r="M521" t="s">
        <v>141</v>
      </c>
      <c r="N521" t="s">
        <v>25</v>
      </c>
      <c r="O521" s="3" t="str">
        <f t="shared" si="180"/>
        <v>Consumer</v>
      </c>
      <c r="P521" t="s">
        <v>26</v>
      </c>
      <c r="Q521" s="3" t="str">
        <f t="shared" si="181"/>
        <v>North</v>
      </c>
      <c r="R521" t="s">
        <v>173</v>
      </c>
      <c r="S521" t="s">
        <v>174</v>
      </c>
      <c r="T521" t="s">
        <v>44</v>
      </c>
      <c r="U521" s="3" t="str">
        <f t="shared" si="182"/>
        <v>Furniture</v>
      </c>
      <c r="V521" t="s">
        <v>45</v>
      </c>
      <c r="W521" t="s">
        <v>2516</v>
      </c>
      <c r="X521" t="s">
        <v>66</v>
      </c>
      <c r="Y521" s="3" t="str">
        <f t="shared" si="183"/>
        <v>Standard Class</v>
      </c>
      <c r="Z521">
        <v>4</v>
      </c>
      <c r="AA521">
        <v>4365.21</v>
      </c>
      <c r="AB521">
        <v>0.2</v>
      </c>
      <c r="AC521">
        <f t="shared" si="184"/>
        <v>0.2</v>
      </c>
      <c r="AD521" t="str">
        <f t="shared" si="187"/>
        <v>Valid</v>
      </c>
      <c r="AE521">
        <v>13968.67</v>
      </c>
      <c r="AF521">
        <v>8857.58</v>
      </c>
      <c r="AG521">
        <v>5111.09</v>
      </c>
      <c r="AH521" t="s">
        <v>136</v>
      </c>
      <c r="AI521" t="str">
        <f t="shared" si="188"/>
        <v>Exclude</v>
      </c>
      <c r="AJ521" t="str">
        <f t="shared" si="189"/>
        <v/>
      </c>
      <c r="AK521" t="s">
        <v>77</v>
      </c>
      <c r="AL521" t="str">
        <f t="shared" si="185"/>
        <v>Cancelled</v>
      </c>
      <c r="AM521" t="str">
        <f t="shared" si="190"/>
        <v>Exclude</v>
      </c>
      <c r="AN521">
        <f t="shared" si="191"/>
        <v>13968.672</v>
      </c>
      <c r="AO521">
        <f t="shared" si="192"/>
        <v>5111.0920000000006</v>
      </c>
      <c r="AP521">
        <f>IF(AN521=0,0,AO521/AN521)</f>
        <v>0.36589677243477409</v>
      </c>
      <c r="AQ521" t="str">
        <f t="shared" si="193"/>
        <v>July</v>
      </c>
      <c r="AR521">
        <f t="shared" si="194"/>
        <v>2025</v>
      </c>
      <c r="AS521" t="str">
        <f t="shared" si="195"/>
        <v>Clean</v>
      </c>
      <c r="AT521" t="str">
        <f>IF(OR(AC521&lt;0,AC521&gt;0.5),"Invalid Discount","Valid")</f>
        <v>Valid</v>
      </c>
      <c r="AU521" t="str">
        <f>IF(G521&lt;E521,"Invalid Shipping Record","Valid")</f>
        <v>Valid</v>
      </c>
      <c r="AV521" t="str">
        <f>IF(OR(AL521="Cancelled",AH521="Failed"),"Exclude","Include")</f>
        <v>Exclude</v>
      </c>
      <c r="AW521" t="str">
        <f t="shared" si="196"/>
        <v>Match</v>
      </c>
      <c r="AX521" t="str">
        <f t="shared" si="197"/>
        <v>Match</v>
      </c>
    </row>
    <row r="522" spans="1:50">
      <c r="A522" t="s">
        <v>2517</v>
      </c>
      <c r="B522">
        <f t="shared" si="176"/>
        <v>1</v>
      </c>
      <c r="C522" t="str">
        <f t="shared" si="186"/>
        <v/>
      </c>
      <c r="D522" s="3" t="s">
        <v>1108</v>
      </c>
      <c r="E522" s="7">
        <v>45489</v>
      </c>
      <c r="F522" s="3" t="s">
        <v>2518</v>
      </c>
      <c r="G522" s="7">
        <v>45496</v>
      </c>
      <c r="H522" s="7" t="str">
        <f t="shared" si="177"/>
        <v>Valid</v>
      </c>
      <c r="I522" s="9">
        <f t="shared" si="178"/>
        <v>7</v>
      </c>
      <c r="J522" s="9" t="str">
        <f t="shared" si="179"/>
        <v>Valid</v>
      </c>
      <c r="K522" t="s">
        <v>2519</v>
      </c>
      <c r="L522" t="s">
        <v>161</v>
      </c>
      <c r="M522" t="s">
        <v>161</v>
      </c>
      <c r="N522" t="s">
        <v>114</v>
      </c>
      <c r="O522" s="3" t="str">
        <f t="shared" si="180"/>
        <v>Home Office</v>
      </c>
      <c r="P522" t="s">
        <v>61</v>
      </c>
      <c r="Q522" s="3" t="str">
        <f t="shared" si="181"/>
        <v>South</v>
      </c>
      <c r="R522" t="s">
        <v>228</v>
      </c>
      <c r="S522" t="s">
        <v>229</v>
      </c>
      <c r="T522" t="s">
        <v>85</v>
      </c>
      <c r="U522" s="3" t="str">
        <f t="shared" si="182"/>
        <v>Technology</v>
      </c>
      <c r="V522" t="s">
        <v>381</v>
      </c>
      <c r="W522" t="s">
        <v>2520</v>
      </c>
      <c r="X522" t="s">
        <v>47</v>
      </c>
      <c r="Y522" s="3" t="str">
        <f t="shared" si="183"/>
        <v>Same Day</v>
      </c>
      <c r="Z522">
        <v>1</v>
      </c>
      <c r="AA522">
        <v>1695.91</v>
      </c>
      <c r="AB522">
        <v>0.05</v>
      </c>
      <c r="AC522">
        <f t="shared" si="184"/>
        <v>0.05</v>
      </c>
      <c r="AD522" t="str">
        <f t="shared" si="187"/>
        <v>Valid</v>
      </c>
      <c r="AE522">
        <v>1611.11</v>
      </c>
      <c r="AF522">
        <v>895.15</v>
      </c>
      <c r="AG522">
        <v>715.96</v>
      </c>
      <c r="AH522" t="s">
        <v>33</v>
      </c>
      <c r="AI522" t="str">
        <f t="shared" si="188"/>
        <v>Include</v>
      </c>
      <c r="AJ522" t="str">
        <f t="shared" si="189"/>
        <v/>
      </c>
      <c r="AK522" t="s">
        <v>34</v>
      </c>
      <c r="AL522" t="str">
        <f t="shared" si="185"/>
        <v>Completed</v>
      </c>
      <c r="AM522" t="str">
        <f t="shared" si="190"/>
        <v>Include</v>
      </c>
      <c r="AN522">
        <f t="shared" si="191"/>
        <v>1611.1144999999999</v>
      </c>
      <c r="AO522">
        <f t="shared" si="192"/>
        <v>715.96449999999993</v>
      </c>
      <c r="AP522">
        <f>IF(AN522=0,0,AO522/AN522)</f>
        <v>0.44439082386757739</v>
      </c>
      <c r="AQ522" t="str">
        <f t="shared" si="193"/>
        <v>July</v>
      </c>
      <c r="AR522">
        <f t="shared" si="194"/>
        <v>2024</v>
      </c>
      <c r="AS522" t="str">
        <f t="shared" si="195"/>
        <v>Clean</v>
      </c>
      <c r="AT522" t="str">
        <f>IF(OR(AC522&lt;0,AC522&gt;0.5),"Invalid Discount","Valid")</f>
        <v>Valid</v>
      </c>
      <c r="AU522" t="str">
        <f>IF(G522&lt;E522,"Invalid Shipping Record","Valid")</f>
        <v>Valid</v>
      </c>
      <c r="AV522" t="str">
        <f>IF(OR(AL522="Cancelled",AH522="Failed"),"Exclude","Include")</f>
        <v>Include</v>
      </c>
      <c r="AW522" t="str">
        <f t="shared" si="196"/>
        <v>Match</v>
      </c>
      <c r="AX522" t="str">
        <f t="shared" si="197"/>
        <v>Match</v>
      </c>
    </row>
    <row r="523" spans="1:50">
      <c r="A523" t="s">
        <v>2521</v>
      </c>
      <c r="B523">
        <f t="shared" si="176"/>
        <v>1</v>
      </c>
      <c r="C523" t="str">
        <f t="shared" si="186"/>
        <v/>
      </c>
      <c r="D523" s="3" t="s">
        <v>2522</v>
      </c>
      <c r="E523" s="7">
        <v>45741</v>
      </c>
      <c r="F523" s="3" t="s">
        <v>2523</v>
      </c>
      <c r="G523" s="7">
        <v>45748</v>
      </c>
      <c r="H523" s="7" t="str">
        <f t="shared" si="177"/>
        <v>Valid</v>
      </c>
      <c r="I523" s="9">
        <f t="shared" si="178"/>
        <v>7</v>
      </c>
      <c r="J523" s="9" t="str">
        <f t="shared" si="179"/>
        <v>Valid</v>
      </c>
      <c r="K523" t="s">
        <v>2524</v>
      </c>
      <c r="L523" t="s">
        <v>209</v>
      </c>
      <c r="M523" t="s">
        <v>209</v>
      </c>
      <c r="N523" t="s">
        <v>25</v>
      </c>
      <c r="O523" s="3" t="str">
        <f t="shared" si="180"/>
        <v>Consumer</v>
      </c>
      <c r="P523" t="s">
        <v>26</v>
      </c>
      <c r="Q523" s="3" t="str">
        <f t="shared" si="181"/>
        <v>North</v>
      </c>
      <c r="R523" t="s">
        <v>153</v>
      </c>
      <c r="S523" t="s">
        <v>154</v>
      </c>
      <c r="T523" t="s">
        <v>29</v>
      </c>
      <c r="U523" s="3" t="str">
        <f t="shared" si="182"/>
        <v>Office Supplies</v>
      </c>
      <c r="V523" t="s">
        <v>108</v>
      </c>
      <c r="W523" t="s">
        <v>2525</v>
      </c>
      <c r="X523" t="s">
        <v>32</v>
      </c>
      <c r="Y523" s="3" t="str">
        <f t="shared" si="183"/>
        <v>Second Class</v>
      </c>
      <c r="Z523">
        <v>6</v>
      </c>
      <c r="AA523">
        <v>2192.11</v>
      </c>
      <c r="AB523">
        <v>0.05</v>
      </c>
      <c r="AC523">
        <f t="shared" si="184"/>
        <v>0.05</v>
      </c>
      <c r="AD523" t="str">
        <f t="shared" si="187"/>
        <v>Valid</v>
      </c>
      <c r="AE523">
        <v>12495.03</v>
      </c>
      <c r="AF523">
        <v>9184.52</v>
      </c>
      <c r="AG523">
        <v>3310.51</v>
      </c>
      <c r="AH523" t="s">
        <v>33</v>
      </c>
      <c r="AI523" t="str">
        <f t="shared" si="188"/>
        <v>Include</v>
      </c>
      <c r="AJ523" t="str">
        <f t="shared" si="189"/>
        <v/>
      </c>
      <c r="AK523" t="s">
        <v>34</v>
      </c>
      <c r="AL523" t="str">
        <f t="shared" si="185"/>
        <v>Completed</v>
      </c>
      <c r="AM523" t="str">
        <f t="shared" si="190"/>
        <v>Include</v>
      </c>
      <c r="AN523">
        <f t="shared" si="191"/>
        <v>12495.027</v>
      </c>
      <c r="AO523">
        <f t="shared" si="192"/>
        <v>3310.5069999999996</v>
      </c>
      <c r="AP523">
        <f>IF(AN523=0,0,AO523/AN523)</f>
        <v>0.26494596610315446</v>
      </c>
      <c r="AQ523" t="str">
        <f t="shared" si="193"/>
        <v>March</v>
      </c>
      <c r="AR523">
        <f t="shared" si="194"/>
        <v>2025</v>
      </c>
      <c r="AS523" t="str">
        <f t="shared" si="195"/>
        <v>Clean</v>
      </c>
      <c r="AT523" t="str">
        <f>IF(OR(AC523&lt;0,AC523&gt;0.5),"Invalid Discount","Valid")</f>
        <v>Valid</v>
      </c>
      <c r="AU523" t="str">
        <f>IF(G523&lt;E523,"Invalid Shipping Record","Valid")</f>
        <v>Valid</v>
      </c>
      <c r="AV523" t="str">
        <f>IF(OR(AL523="Cancelled",AH523="Failed"),"Exclude","Include")</f>
        <v>Include</v>
      </c>
      <c r="AW523" t="str">
        <f t="shared" si="196"/>
        <v>Match</v>
      </c>
      <c r="AX523" t="str">
        <f t="shared" si="197"/>
        <v>Match</v>
      </c>
    </row>
    <row r="524" spans="1:50">
      <c r="A524" t="s">
        <v>2526</v>
      </c>
      <c r="B524">
        <f t="shared" si="176"/>
        <v>1</v>
      </c>
      <c r="C524" t="str">
        <f t="shared" si="186"/>
        <v/>
      </c>
      <c r="D524" s="3" t="s">
        <v>2527</v>
      </c>
      <c r="E524" s="7">
        <v>45716</v>
      </c>
      <c r="F524" s="3" t="s">
        <v>2323</v>
      </c>
      <c r="G524" s="7">
        <v>45724</v>
      </c>
      <c r="H524" s="7" t="str">
        <f t="shared" si="177"/>
        <v>Valid</v>
      </c>
      <c r="I524" s="9">
        <f t="shared" si="178"/>
        <v>8</v>
      </c>
      <c r="J524" s="9" t="str">
        <f t="shared" si="179"/>
        <v>Valid</v>
      </c>
      <c r="K524" t="s">
        <v>2528</v>
      </c>
      <c r="L524" t="s">
        <v>92</v>
      </c>
      <c r="M524" t="s">
        <v>92</v>
      </c>
      <c r="N524" t="s">
        <v>40</v>
      </c>
      <c r="O524" s="3" t="str">
        <f t="shared" si="180"/>
        <v>Small Business</v>
      </c>
      <c r="P524" t="s">
        <v>41</v>
      </c>
      <c r="Q524" s="3" t="str">
        <f t="shared" si="181"/>
        <v>East</v>
      </c>
      <c r="R524" t="s">
        <v>310</v>
      </c>
      <c r="S524" t="s">
        <v>311</v>
      </c>
      <c r="T524" t="s">
        <v>85</v>
      </c>
      <c r="U524" s="3" t="str">
        <f t="shared" si="182"/>
        <v>Technology</v>
      </c>
      <c r="V524" t="s">
        <v>222</v>
      </c>
      <c r="W524" t="s">
        <v>2529</v>
      </c>
      <c r="X524" t="s">
        <v>55</v>
      </c>
      <c r="Y524" s="3" t="str">
        <f t="shared" si="183"/>
        <v>First Class</v>
      </c>
      <c r="Z524">
        <v>9</v>
      </c>
      <c r="AA524">
        <v>3670.54</v>
      </c>
      <c r="AB524">
        <v>0</v>
      </c>
      <c r="AC524">
        <f t="shared" si="184"/>
        <v>0</v>
      </c>
      <c r="AD524" t="str">
        <f t="shared" si="187"/>
        <v>Valid</v>
      </c>
      <c r="AE524">
        <v>33034.86</v>
      </c>
      <c r="AF524">
        <v>24539.83</v>
      </c>
      <c r="AG524">
        <v>8495.0300000000007</v>
      </c>
      <c r="AH524" t="s">
        <v>33</v>
      </c>
      <c r="AI524" t="str">
        <f t="shared" si="188"/>
        <v>Include</v>
      </c>
      <c r="AJ524" t="str">
        <f t="shared" si="189"/>
        <v/>
      </c>
      <c r="AK524" t="s">
        <v>34</v>
      </c>
      <c r="AL524" t="str">
        <f t="shared" si="185"/>
        <v>Completed</v>
      </c>
      <c r="AM524" t="str">
        <f t="shared" si="190"/>
        <v>Include</v>
      </c>
      <c r="AN524">
        <f t="shared" si="191"/>
        <v>33034.86</v>
      </c>
      <c r="AO524">
        <f t="shared" si="192"/>
        <v>8495.0299999999988</v>
      </c>
      <c r="AP524">
        <f>IF(AN524=0,0,AO524/AN524)</f>
        <v>0.25715350390466307</v>
      </c>
      <c r="AQ524" t="str">
        <f t="shared" si="193"/>
        <v>February</v>
      </c>
      <c r="AR524">
        <f t="shared" si="194"/>
        <v>2025</v>
      </c>
      <c r="AS524" t="str">
        <f t="shared" si="195"/>
        <v>Clean</v>
      </c>
      <c r="AT524" t="str">
        <f>IF(OR(AC524&lt;0,AC524&gt;0.5),"Invalid Discount","Valid")</f>
        <v>Valid</v>
      </c>
      <c r="AU524" t="str">
        <f>IF(G524&lt;E524,"Invalid Shipping Record","Valid")</f>
        <v>Valid</v>
      </c>
      <c r="AV524" t="str">
        <f>IF(OR(AL524="Cancelled",AH524="Failed"),"Exclude","Include")</f>
        <v>Include</v>
      </c>
      <c r="AW524" t="str">
        <f t="shared" si="196"/>
        <v>Match</v>
      </c>
      <c r="AX524" t="str">
        <f t="shared" si="197"/>
        <v>Match</v>
      </c>
    </row>
    <row r="525" spans="1:50">
      <c r="A525" t="s">
        <v>2530</v>
      </c>
      <c r="B525">
        <f t="shared" si="176"/>
        <v>1</v>
      </c>
      <c r="C525" t="str">
        <f t="shared" si="186"/>
        <v/>
      </c>
      <c r="D525" s="3" t="s">
        <v>2531</v>
      </c>
      <c r="E525" s="7">
        <v>45384</v>
      </c>
      <c r="F525" s="3" t="s">
        <v>2532</v>
      </c>
      <c r="G525" s="7">
        <v>45385</v>
      </c>
      <c r="H525" s="7" t="str">
        <f t="shared" si="177"/>
        <v>Valid</v>
      </c>
      <c r="I525" s="9">
        <f t="shared" si="178"/>
        <v>1</v>
      </c>
      <c r="J525" s="9" t="str">
        <f t="shared" si="179"/>
        <v>Valid</v>
      </c>
      <c r="K525" t="s">
        <v>2533</v>
      </c>
      <c r="L525" t="s">
        <v>365</v>
      </c>
      <c r="M525" t="s">
        <v>365</v>
      </c>
      <c r="N525" t="s">
        <v>114</v>
      </c>
      <c r="O525" s="3" t="str">
        <f t="shared" si="180"/>
        <v>Home Office</v>
      </c>
      <c r="P525" t="s">
        <v>72</v>
      </c>
      <c r="Q525" s="3" t="str">
        <f t="shared" si="181"/>
        <v>West</v>
      </c>
      <c r="R525" t="s">
        <v>248</v>
      </c>
      <c r="S525" t="s">
        <v>249</v>
      </c>
      <c r="T525" t="s">
        <v>29</v>
      </c>
      <c r="U525" s="3" t="str">
        <f t="shared" si="182"/>
        <v>Office Supplies</v>
      </c>
      <c r="V525" t="s">
        <v>30</v>
      </c>
      <c r="W525" t="s">
        <v>2534</v>
      </c>
      <c r="X525" t="s">
        <v>32</v>
      </c>
      <c r="Y525" s="3" t="str">
        <f t="shared" si="183"/>
        <v>Second Class</v>
      </c>
      <c r="Z525">
        <v>2</v>
      </c>
      <c r="AA525">
        <v>2902.63</v>
      </c>
      <c r="AB525">
        <v>0</v>
      </c>
      <c r="AC525">
        <f t="shared" si="184"/>
        <v>0</v>
      </c>
      <c r="AD525" t="str">
        <f t="shared" si="187"/>
        <v>Valid</v>
      </c>
      <c r="AE525">
        <v>5805.26</v>
      </c>
      <c r="AF525">
        <v>4654.3599999999997</v>
      </c>
      <c r="AG525">
        <v>1150.9000000000001</v>
      </c>
      <c r="AH525" t="s">
        <v>33</v>
      </c>
      <c r="AI525" t="str">
        <f t="shared" si="188"/>
        <v>Include</v>
      </c>
      <c r="AJ525" t="str">
        <f t="shared" si="189"/>
        <v/>
      </c>
      <c r="AK525" t="s">
        <v>124</v>
      </c>
      <c r="AL525" t="str">
        <f t="shared" si="185"/>
        <v>Returned</v>
      </c>
      <c r="AM525" t="str">
        <f t="shared" si="190"/>
        <v>Include</v>
      </c>
      <c r="AN525">
        <f t="shared" si="191"/>
        <v>5805.26</v>
      </c>
      <c r="AO525">
        <f t="shared" si="192"/>
        <v>1150.9000000000005</v>
      </c>
      <c r="AP525">
        <f>IF(AN525=0,0,AO525/AN525)</f>
        <v>0.19825124111581574</v>
      </c>
      <c r="AQ525" t="str">
        <f t="shared" si="193"/>
        <v>April</v>
      </c>
      <c r="AR525">
        <f t="shared" si="194"/>
        <v>2024</v>
      </c>
      <c r="AS525" t="str">
        <f t="shared" si="195"/>
        <v>Clean</v>
      </c>
      <c r="AT525" t="str">
        <f>IF(OR(AC525&lt;0,AC525&gt;0.5),"Invalid Discount","Valid")</f>
        <v>Valid</v>
      </c>
      <c r="AU525" t="str">
        <f>IF(G525&lt;E525,"Invalid Shipping Record","Valid")</f>
        <v>Valid</v>
      </c>
      <c r="AV525" t="str">
        <f>IF(OR(AL525="Cancelled",AH525="Failed"),"Exclude","Include")</f>
        <v>Include</v>
      </c>
      <c r="AW525" t="str">
        <f t="shared" si="196"/>
        <v>Match</v>
      </c>
      <c r="AX525" t="str">
        <f t="shared" si="197"/>
        <v>Match</v>
      </c>
    </row>
    <row r="526" spans="1:50">
      <c r="A526" t="s">
        <v>2535</v>
      </c>
      <c r="B526">
        <f t="shared" si="176"/>
        <v>1</v>
      </c>
      <c r="C526" t="str">
        <f t="shared" si="186"/>
        <v/>
      </c>
      <c r="D526" s="3" t="s">
        <v>2536</v>
      </c>
      <c r="E526" s="7">
        <v>45626</v>
      </c>
      <c r="F526" s="3" t="s">
        <v>2537</v>
      </c>
      <c r="G526" s="7">
        <v>45627</v>
      </c>
      <c r="H526" s="7" t="str">
        <f t="shared" si="177"/>
        <v>Valid</v>
      </c>
      <c r="I526" s="9">
        <f t="shared" si="178"/>
        <v>1</v>
      </c>
      <c r="J526" s="9" t="str">
        <f t="shared" si="179"/>
        <v>Valid</v>
      </c>
      <c r="K526" t="s">
        <v>2538</v>
      </c>
      <c r="L526" t="s">
        <v>71</v>
      </c>
      <c r="M526" t="s">
        <v>71</v>
      </c>
      <c r="N526" t="s">
        <v>107</v>
      </c>
      <c r="O526" s="3" t="str">
        <f t="shared" si="180"/>
        <v>Corporate</v>
      </c>
      <c r="P526" t="s">
        <v>72</v>
      </c>
      <c r="Q526" s="3" t="str">
        <f t="shared" si="181"/>
        <v>West</v>
      </c>
      <c r="R526" t="s">
        <v>234</v>
      </c>
      <c r="S526" t="s">
        <v>235</v>
      </c>
      <c r="T526" t="s">
        <v>44</v>
      </c>
      <c r="U526" s="3" t="str">
        <f t="shared" si="182"/>
        <v>Furniture</v>
      </c>
      <c r="V526" t="s">
        <v>75</v>
      </c>
      <c r="W526" t="s">
        <v>2539</v>
      </c>
      <c r="X526" t="s">
        <v>55</v>
      </c>
      <c r="Y526" s="3" t="str">
        <f t="shared" si="183"/>
        <v>First Class</v>
      </c>
      <c r="Z526">
        <v>9</v>
      </c>
      <c r="AA526">
        <v>4207.3599999999997</v>
      </c>
      <c r="AB526">
        <v>0.1</v>
      </c>
      <c r="AC526">
        <f t="shared" si="184"/>
        <v>0.1</v>
      </c>
      <c r="AD526" t="str">
        <f t="shared" si="187"/>
        <v>Valid</v>
      </c>
      <c r="AE526">
        <v>34079.620000000003</v>
      </c>
      <c r="AF526">
        <v>21871.39</v>
      </c>
      <c r="AG526">
        <v>12208.23</v>
      </c>
      <c r="AH526" t="s">
        <v>33</v>
      </c>
      <c r="AI526" t="str">
        <f t="shared" si="188"/>
        <v>Include</v>
      </c>
      <c r="AJ526" t="str">
        <f t="shared" si="189"/>
        <v/>
      </c>
      <c r="AK526" t="s">
        <v>34</v>
      </c>
      <c r="AL526" t="str">
        <f t="shared" si="185"/>
        <v>Completed</v>
      </c>
      <c r="AM526" t="str">
        <f t="shared" si="190"/>
        <v>Include</v>
      </c>
      <c r="AN526">
        <f t="shared" si="191"/>
        <v>34079.616000000002</v>
      </c>
      <c r="AO526">
        <f t="shared" si="192"/>
        <v>12208.226000000002</v>
      </c>
      <c r="AP526">
        <f>IF(AN526=0,0,AO526/AN526)</f>
        <v>0.35822663025311091</v>
      </c>
      <c r="AQ526" t="str">
        <f t="shared" si="193"/>
        <v>November</v>
      </c>
      <c r="AR526">
        <f t="shared" si="194"/>
        <v>2024</v>
      </c>
      <c r="AS526" t="str">
        <f t="shared" si="195"/>
        <v>Clean</v>
      </c>
      <c r="AT526" t="str">
        <f>IF(OR(AC526&lt;0,AC526&gt;0.5),"Invalid Discount","Valid")</f>
        <v>Valid</v>
      </c>
      <c r="AU526" t="str">
        <f>IF(G526&lt;E526,"Invalid Shipping Record","Valid")</f>
        <v>Valid</v>
      </c>
      <c r="AV526" t="str">
        <f>IF(OR(AL526="Cancelled",AH526="Failed"),"Exclude","Include")</f>
        <v>Include</v>
      </c>
      <c r="AW526" t="str">
        <f t="shared" si="196"/>
        <v>Match</v>
      </c>
      <c r="AX526" t="str">
        <f t="shared" si="197"/>
        <v>Match</v>
      </c>
    </row>
    <row r="527" spans="1:50">
      <c r="A527" t="s">
        <v>2540</v>
      </c>
      <c r="B527">
        <f t="shared" si="176"/>
        <v>1</v>
      </c>
      <c r="C527" t="str">
        <f t="shared" si="186"/>
        <v/>
      </c>
      <c r="D527" s="3" t="s">
        <v>2541</v>
      </c>
      <c r="E527" s="7">
        <v>45582</v>
      </c>
      <c r="F527" s="3" t="s">
        <v>2542</v>
      </c>
      <c r="G527" s="7">
        <v>45582</v>
      </c>
      <c r="H527" s="7" t="str">
        <f t="shared" si="177"/>
        <v>Valid</v>
      </c>
      <c r="I527" s="9">
        <f t="shared" si="178"/>
        <v>0</v>
      </c>
      <c r="J527" s="9" t="str">
        <f t="shared" si="179"/>
        <v>Valid</v>
      </c>
      <c r="K527" t="s">
        <v>2543</v>
      </c>
      <c r="L527" t="s">
        <v>141</v>
      </c>
      <c r="M527" t="s">
        <v>141</v>
      </c>
      <c r="N527" t="s">
        <v>114</v>
      </c>
      <c r="O527" s="3" t="str">
        <f t="shared" si="180"/>
        <v>Home Office</v>
      </c>
      <c r="P527" t="s">
        <v>41</v>
      </c>
      <c r="Q527" s="3" t="str">
        <f t="shared" si="181"/>
        <v>East</v>
      </c>
      <c r="R527" t="s">
        <v>120</v>
      </c>
      <c r="S527" t="s">
        <v>121</v>
      </c>
      <c r="T527" t="s">
        <v>44</v>
      </c>
      <c r="U527" s="3" t="str">
        <f t="shared" si="182"/>
        <v>Furniture</v>
      </c>
      <c r="V527" t="s">
        <v>75</v>
      </c>
      <c r="W527" t="s">
        <v>2544</v>
      </c>
      <c r="X527" t="s">
        <v>66</v>
      </c>
      <c r="Y527" s="3" t="str">
        <f t="shared" si="183"/>
        <v>Standard Class</v>
      </c>
      <c r="Z527">
        <v>5</v>
      </c>
      <c r="AA527">
        <v>2524.4</v>
      </c>
      <c r="AB527">
        <v>0.1</v>
      </c>
      <c r="AC527">
        <f t="shared" si="184"/>
        <v>0.1</v>
      </c>
      <c r="AD527" t="str">
        <f t="shared" si="187"/>
        <v>Valid</v>
      </c>
      <c r="AE527">
        <v>11359.8</v>
      </c>
      <c r="AF527">
        <v>7062.44</v>
      </c>
      <c r="AG527">
        <v>4297.3599999999997</v>
      </c>
      <c r="AH527" t="s">
        <v>33</v>
      </c>
      <c r="AI527" t="str">
        <f t="shared" si="188"/>
        <v>Include</v>
      </c>
      <c r="AJ527" t="str">
        <f t="shared" si="189"/>
        <v/>
      </c>
      <c r="AK527" t="s">
        <v>34</v>
      </c>
      <c r="AL527" t="str">
        <f t="shared" si="185"/>
        <v>Completed</v>
      </c>
      <c r="AM527" t="str">
        <f t="shared" si="190"/>
        <v>Include</v>
      </c>
      <c r="AN527">
        <f t="shared" si="191"/>
        <v>11359.800000000001</v>
      </c>
      <c r="AO527">
        <f t="shared" si="192"/>
        <v>4297.3600000000015</v>
      </c>
      <c r="AP527">
        <f>IF(AN527=0,0,AO527/AN527)</f>
        <v>0.37829539252451638</v>
      </c>
      <c r="AQ527" t="str">
        <f t="shared" si="193"/>
        <v>October</v>
      </c>
      <c r="AR527">
        <f t="shared" si="194"/>
        <v>2024</v>
      </c>
      <c r="AS527" t="str">
        <f t="shared" si="195"/>
        <v>Clean</v>
      </c>
      <c r="AT527" t="str">
        <f>IF(OR(AC527&lt;0,AC527&gt;0.5),"Invalid Discount","Valid")</f>
        <v>Valid</v>
      </c>
      <c r="AU527" t="str">
        <f>IF(G527&lt;E527,"Invalid Shipping Record","Valid")</f>
        <v>Valid</v>
      </c>
      <c r="AV527" t="str">
        <f>IF(OR(AL527="Cancelled",AH527="Failed"),"Exclude","Include")</f>
        <v>Include</v>
      </c>
      <c r="AW527" t="str">
        <f t="shared" si="196"/>
        <v>Match</v>
      </c>
      <c r="AX527" t="str">
        <f t="shared" si="197"/>
        <v>Match</v>
      </c>
    </row>
    <row r="528" spans="1:50">
      <c r="A528" t="s">
        <v>2545</v>
      </c>
      <c r="B528">
        <f t="shared" si="176"/>
        <v>1</v>
      </c>
      <c r="C528" t="str">
        <f t="shared" si="186"/>
        <v/>
      </c>
      <c r="D528" s="3" t="s">
        <v>2546</v>
      </c>
      <c r="E528" s="7">
        <v>45856</v>
      </c>
      <c r="F528" s="3" t="s">
        <v>2547</v>
      </c>
      <c r="G528" s="7">
        <v>45859</v>
      </c>
      <c r="H528" s="7" t="str">
        <f t="shared" si="177"/>
        <v>Valid</v>
      </c>
      <c r="I528" s="9">
        <f t="shared" si="178"/>
        <v>3</v>
      </c>
      <c r="J528" s="9" t="str">
        <f t="shared" si="179"/>
        <v>Valid</v>
      </c>
      <c r="K528" t="s">
        <v>2548</v>
      </c>
      <c r="L528" t="s">
        <v>141</v>
      </c>
      <c r="M528" t="s">
        <v>141</v>
      </c>
      <c r="N528" t="s">
        <v>25</v>
      </c>
      <c r="O528" s="3" t="str">
        <f t="shared" si="180"/>
        <v>Consumer</v>
      </c>
      <c r="P528" t="s">
        <v>41</v>
      </c>
      <c r="Q528" s="3" t="str">
        <f t="shared" si="181"/>
        <v>East</v>
      </c>
      <c r="R528" t="s">
        <v>42</v>
      </c>
      <c r="S528" t="s">
        <v>43</v>
      </c>
      <c r="T528" t="s">
        <v>44</v>
      </c>
      <c r="U528" s="3" t="str">
        <f t="shared" si="182"/>
        <v>Furniture</v>
      </c>
      <c r="V528" t="s">
        <v>45</v>
      </c>
      <c r="W528" t="s">
        <v>2549</v>
      </c>
      <c r="X528" t="s">
        <v>32</v>
      </c>
      <c r="Y528" s="3" t="str">
        <f t="shared" si="183"/>
        <v>Second Class</v>
      </c>
      <c r="Z528">
        <v>4</v>
      </c>
      <c r="AA528">
        <v>284.04000000000002</v>
      </c>
      <c r="AC528">
        <f t="shared" si="184"/>
        <v>0</v>
      </c>
      <c r="AD528" t="str">
        <f t="shared" si="187"/>
        <v>Valid</v>
      </c>
      <c r="AE528">
        <v>908.93</v>
      </c>
      <c r="AF528">
        <v>572.08000000000004</v>
      </c>
      <c r="AG528">
        <v>336.85</v>
      </c>
      <c r="AH528" t="s">
        <v>33</v>
      </c>
      <c r="AI528" t="str">
        <f t="shared" si="188"/>
        <v>Include</v>
      </c>
      <c r="AJ528" t="str">
        <f t="shared" si="189"/>
        <v/>
      </c>
      <c r="AK528" t="s">
        <v>34</v>
      </c>
      <c r="AL528" t="str">
        <f t="shared" si="185"/>
        <v>Completed</v>
      </c>
      <c r="AM528" t="str">
        <f t="shared" si="190"/>
        <v>Include</v>
      </c>
      <c r="AN528">
        <f t="shared" si="191"/>
        <v>1136.1600000000001</v>
      </c>
      <c r="AO528">
        <f t="shared" si="192"/>
        <v>564.08000000000004</v>
      </c>
      <c r="AP528">
        <f>IF(AN528=0,0,AO528/AN528)</f>
        <v>0.49647936910294327</v>
      </c>
      <c r="AQ528" t="str">
        <f t="shared" si="193"/>
        <v>July</v>
      </c>
      <c r="AR528">
        <f t="shared" si="194"/>
        <v>2025</v>
      </c>
      <c r="AS528" t="str">
        <f t="shared" si="195"/>
        <v>Clean</v>
      </c>
      <c r="AT528" t="str">
        <f>IF(OR(AC528&lt;0,AC528&gt;0.5),"Invalid Discount","Valid")</f>
        <v>Valid</v>
      </c>
      <c r="AU528" t="str">
        <f>IF(G528&lt;E528,"Invalid Shipping Record","Valid")</f>
        <v>Valid</v>
      </c>
      <c r="AV528" t="str">
        <f>IF(OR(AL528="Cancelled",AH528="Failed"),"Exclude","Include")</f>
        <v>Include</v>
      </c>
      <c r="AW528" t="str">
        <f t="shared" si="196"/>
        <v>Mismatch</v>
      </c>
      <c r="AX528" t="str">
        <f t="shared" si="197"/>
        <v>Mismatch</v>
      </c>
    </row>
    <row r="529" spans="1:50">
      <c r="A529" t="s">
        <v>2550</v>
      </c>
      <c r="B529">
        <f t="shared" si="176"/>
        <v>1</v>
      </c>
      <c r="C529" t="str">
        <f t="shared" si="186"/>
        <v/>
      </c>
      <c r="D529" s="3" t="s">
        <v>2551</v>
      </c>
      <c r="E529" s="7">
        <v>45931</v>
      </c>
      <c r="F529" s="3" t="s">
        <v>2552</v>
      </c>
      <c r="G529" s="7">
        <v>45935</v>
      </c>
      <c r="H529" s="7" t="str">
        <f t="shared" si="177"/>
        <v>Valid</v>
      </c>
      <c r="I529" s="9">
        <f t="shared" si="178"/>
        <v>4</v>
      </c>
      <c r="J529" s="9" t="str">
        <f t="shared" si="179"/>
        <v>Valid</v>
      </c>
      <c r="K529" t="s">
        <v>2553</v>
      </c>
      <c r="L529" t="s">
        <v>106</v>
      </c>
      <c r="M529" t="s">
        <v>106</v>
      </c>
      <c r="N529" t="s">
        <v>114</v>
      </c>
      <c r="O529" s="3" t="str">
        <f t="shared" si="180"/>
        <v>Home Office</v>
      </c>
      <c r="P529" t="s">
        <v>26</v>
      </c>
      <c r="Q529" s="3" t="str">
        <f t="shared" si="181"/>
        <v>North</v>
      </c>
      <c r="R529" t="s">
        <v>322</v>
      </c>
      <c r="S529" t="s">
        <v>323</v>
      </c>
      <c r="T529" t="s">
        <v>29</v>
      </c>
      <c r="U529" s="3" t="str">
        <f t="shared" si="182"/>
        <v>Office Supplies</v>
      </c>
      <c r="V529" t="s">
        <v>30</v>
      </c>
      <c r="W529" t="s">
        <v>2554</v>
      </c>
      <c r="X529" t="s">
        <v>55</v>
      </c>
      <c r="Y529" s="3" t="str">
        <f t="shared" si="183"/>
        <v>First Class</v>
      </c>
      <c r="Z529">
        <v>5</v>
      </c>
      <c r="AA529">
        <v>3247.56</v>
      </c>
      <c r="AB529">
        <v>0.15</v>
      </c>
      <c r="AC529">
        <f t="shared" si="184"/>
        <v>0.15</v>
      </c>
      <c r="AD529" t="str">
        <f t="shared" si="187"/>
        <v>Valid</v>
      </c>
      <c r="AE529">
        <v>13802.13</v>
      </c>
      <c r="AF529">
        <v>10075.93</v>
      </c>
      <c r="AG529">
        <v>3726.2</v>
      </c>
      <c r="AH529" t="s">
        <v>33</v>
      </c>
      <c r="AI529" t="str">
        <f t="shared" si="188"/>
        <v>Include</v>
      </c>
      <c r="AJ529" t="str">
        <f t="shared" si="189"/>
        <v/>
      </c>
      <c r="AK529" t="s">
        <v>34</v>
      </c>
      <c r="AL529" t="str">
        <f t="shared" si="185"/>
        <v>Completed</v>
      </c>
      <c r="AM529" t="str">
        <f t="shared" si="190"/>
        <v>Include</v>
      </c>
      <c r="AN529">
        <f t="shared" si="191"/>
        <v>13802.13</v>
      </c>
      <c r="AO529">
        <f t="shared" si="192"/>
        <v>3726.1999999999989</v>
      </c>
      <c r="AP529">
        <f>IF(AN529=0,0,AO529/AN529)</f>
        <v>0.26997282303528508</v>
      </c>
      <c r="AQ529" t="str">
        <f t="shared" si="193"/>
        <v>October</v>
      </c>
      <c r="AR529">
        <f t="shared" si="194"/>
        <v>2025</v>
      </c>
      <c r="AS529" t="str">
        <f t="shared" si="195"/>
        <v>Clean</v>
      </c>
      <c r="AT529" t="str">
        <f>IF(OR(AC529&lt;0,AC529&gt;0.5),"Invalid Discount","Valid")</f>
        <v>Valid</v>
      </c>
      <c r="AU529" t="str">
        <f>IF(G529&lt;E529,"Invalid Shipping Record","Valid")</f>
        <v>Valid</v>
      </c>
      <c r="AV529" t="str">
        <f>IF(OR(AL529="Cancelled",AH529="Failed"),"Exclude","Include")</f>
        <v>Include</v>
      </c>
      <c r="AW529" t="str">
        <f t="shared" si="196"/>
        <v>Match</v>
      </c>
      <c r="AX529" t="str">
        <f t="shared" si="197"/>
        <v>Match</v>
      </c>
    </row>
    <row r="530" spans="1:50">
      <c r="A530" t="s">
        <v>2555</v>
      </c>
      <c r="B530">
        <f t="shared" si="176"/>
        <v>1</v>
      </c>
      <c r="C530" t="str">
        <f t="shared" si="186"/>
        <v/>
      </c>
      <c r="D530" s="3" t="s">
        <v>2556</v>
      </c>
      <c r="E530" s="7">
        <v>45572</v>
      </c>
      <c r="F530" s="3" t="s">
        <v>2557</v>
      </c>
      <c r="G530" s="7">
        <v>45574</v>
      </c>
      <c r="H530" s="7" t="str">
        <f t="shared" si="177"/>
        <v>Valid</v>
      </c>
      <c r="I530" s="9">
        <f t="shared" si="178"/>
        <v>2</v>
      </c>
      <c r="J530" s="9" t="str">
        <f t="shared" si="179"/>
        <v>Valid</v>
      </c>
      <c r="K530" t="s">
        <v>2558</v>
      </c>
      <c r="L530" t="s">
        <v>209</v>
      </c>
      <c r="M530" t="s">
        <v>209</v>
      </c>
      <c r="N530" t="s">
        <v>25</v>
      </c>
      <c r="O530" s="3" t="str">
        <f t="shared" si="180"/>
        <v>Consumer</v>
      </c>
      <c r="P530" t="s">
        <v>61</v>
      </c>
      <c r="Q530" s="3" t="str">
        <f t="shared" si="181"/>
        <v>South</v>
      </c>
      <c r="R530" t="s">
        <v>338</v>
      </c>
      <c r="S530" t="s">
        <v>339</v>
      </c>
      <c r="T530" t="s">
        <v>29</v>
      </c>
      <c r="U530" s="3" t="str">
        <f t="shared" si="182"/>
        <v>Office Supplies</v>
      </c>
      <c r="V530" t="s">
        <v>197</v>
      </c>
      <c r="W530" t="s">
        <v>2559</v>
      </c>
      <c r="X530" t="s">
        <v>66</v>
      </c>
      <c r="Y530" s="3" t="str">
        <f t="shared" si="183"/>
        <v>Standard Class</v>
      </c>
      <c r="Z530">
        <v>9</v>
      </c>
      <c r="AA530">
        <v>3457.09</v>
      </c>
      <c r="AB530">
        <v>0.05</v>
      </c>
      <c r="AC530">
        <f t="shared" si="184"/>
        <v>0.05</v>
      </c>
      <c r="AD530" t="str">
        <f t="shared" si="187"/>
        <v>Valid</v>
      </c>
      <c r="AE530">
        <v>29558.12</v>
      </c>
      <c r="AF530">
        <v>21302.13</v>
      </c>
      <c r="AG530">
        <v>8255.99</v>
      </c>
      <c r="AH530" t="s">
        <v>136</v>
      </c>
      <c r="AI530" t="str">
        <f t="shared" si="188"/>
        <v>Include</v>
      </c>
      <c r="AJ530" t="str">
        <f t="shared" si="189"/>
        <v/>
      </c>
      <c r="AK530" t="s">
        <v>124</v>
      </c>
      <c r="AL530" t="str">
        <f t="shared" si="185"/>
        <v>Returned</v>
      </c>
      <c r="AM530" t="str">
        <f t="shared" si="190"/>
        <v>Include</v>
      </c>
      <c r="AN530">
        <f t="shared" si="191"/>
        <v>29558.119500000001</v>
      </c>
      <c r="AO530">
        <f t="shared" si="192"/>
        <v>8255.9894999999997</v>
      </c>
      <c r="AP530">
        <f>IF(AN530=0,0,AO530/AN530)</f>
        <v>0.27931376013281223</v>
      </c>
      <c r="AQ530" t="str">
        <f t="shared" si="193"/>
        <v>October</v>
      </c>
      <c r="AR530">
        <f t="shared" si="194"/>
        <v>2024</v>
      </c>
      <c r="AS530" t="str">
        <f t="shared" si="195"/>
        <v>Clean</v>
      </c>
      <c r="AT530" t="str">
        <f>IF(OR(AC530&lt;0,AC530&gt;0.5),"Invalid Discount","Valid")</f>
        <v>Valid</v>
      </c>
      <c r="AU530" t="str">
        <f>IF(G530&lt;E530,"Invalid Shipping Record","Valid")</f>
        <v>Valid</v>
      </c>
      <c r="AV530" t="str">
        <f>IF(OR(AL530="Cancelled",AH530="Failed"),"Exclude","Include")</f>
        <v>Include</v>
      </c>
      <c r="AW530" t="str">
        <f t="shared" si="196"/>
        <v>Match</v>
      </c>
      <c r="AX530" t="str">
        <f t="shared" si="197"/>
        <v>Match</v>
      </c>
    </row>
    <row r="531" spans="1:50">
      <c r="A531" t="s">
        <v>2560</v>
      </c>
      <c r="B531">
        <f t="shared" si="176"/>
        <v>1</v>
      </c>
      <c r="C531" t="str">
        <f t="shared" si="186"/>
        <v/>
      </c>
      <c r="D531" s="3" t="s">
        <v>2279</v>
      </c>
      <c r="E531" s="7">
        <v>45328</v>
      </c>
      <c r="F531" s="3" t="s">
        <v>2561</v>
      </c>
      <c r="G531" s="7">
        <v>45330</v>
      </c>
      <c r="H531" s="7" t="str">
        <f t="shared" si="177"/>
        <v>Valid</v>
      </c>
      <c r="I531" s="9">
        <f t="shared" si="178"/>
        <v>2</v>
      </c>
      <c r="J531" s="9" t="str">
        <f t="shared" si="179"/>
        <v>Valid</v>
      </c>
      <c r="K531" t="s">
        <v>1109</v>
      </c>
      <c r="L531" t="s">
        <v>24</v>
      </c>
      <c r="M531" t="s">
        <v>24</v>
      </c>
      <c r="N531" t="s">
        <v>25</v>
      </c>
      <c r="O531" s="3" t="str">
        <f t="shared" si="180"/>
        <v>Consumer</v>
      </c>
      <c r="P531" t="s">
        <v>41</v>
      </c>
      <c r="Q531" s="3" t="str">
        <f t="shared" si="181"/>
        <v>East</v>
      </c>
      <c r="R531" t="s">
        <v>310</v>
      </c>
      <c r="S531" t="s">
        <v>311</v>
      </c>
      <c r="T531" t="s">
        <v>44</v>
      </c>
      <c r="U531" s="3" t="str">
        <f t="shared" si="182"/>
        <v>Furniture</v>
      </c>
      <c r="V531" t="s">
        <v>203</v>
      </c>
      <c r="W531" t="s">
        <v>2562</v>
      </c>
      <c r="X531" t="s">
        <v>32</v>
      </c>
      <c r="Y531" s="3" t="str">
        <f t="shared" si="183"/>
        <v>Second Class</v>
      </c>
      <c r="Z531">
        <v>9</v>
      </c>
      <c r="AA531">
        <v>1822.25</v>
      </c>
      <c r="AB531">
        <v>0</v>
      </c>
      <c r="AC531">
        <f t="shared" si="184"/>
        <v>0</v>
      </c>
      <c r="AD531" t="str">
        <f t="shared" si="187"/>
        <v>Valid</v>
      </c>
      <c r="AE531">
        <v>16400.25</v>
      </c>
      <c r="AF531">
        <v>12146.96</v>
      </c>
      <c r="AG531">
        <v>4253.29</v>
      </c>
      <c r="AH531" t="s">
        <v>33</v>
      </c>
      <c r="AI531" t="str">
        <f t="shared" si="188"/>
        <v>Include</v>
      </c>
      <c r="AJ531" t="str">
        <f t="shared" si="189"/>
        <v/>
      </c>
      <c r="AK531" t="s">
        <v>34</v>
      </c>
      <c r="AL531" t="str">
        <f t="shared" si="185"/>
        <v>Completed</v>
      </c>
      <c r="AM531" t="str">
        <f t="shared" si="190"/>
        <v>Include</v>
      </c>
      <c r="AN531">
        <f t="shared" si="191"/>
        <v>16400.25</v>
      </c>
      <c r="AO531">
        <f t="shared" si="192"/>
        <v>4253.2900000000009</v>
      </c>
      <c r="AP531">
        <f>IF(AN531=0,0,AO531/AN531)</f>
        <v>0.25934299782015524</v>
      </c>
      <c r="AQ531" t="str">
        <f t="shared" si="193"/>
        <v>February</v>
      </c>
      <c r="AR531">
        <f t="shared" si="194"/>
        <v>2024</v>
      </c>
      <c r="AS531" t="str">
        <f t="shared" si="195"/>
        <v>Clean</v>
      </c>
      <c r="AT531" t="str">
        <f>IF(OR(AC531&lt;0,AC531&gt;0.5),"Invalid Discount","Valid")</f>
        <v>Valid</v>
      </c>
      <c r="AU531" t="str">
        <f>IF(G531&lt;E531,"Invalid Shipping Record","Valid")</f>
        <v>Valid</v>
      </c>
      <c r="AV531" t="str">
        <f>IF(OR(AL531="Cancelled",AH531="Failed"),"Exclude","Include")</f>
        <v>Include</v>
      </c>
      <c r="AW531" t="str">
        <f t="shared" si="196"/>
        <v>Match</v>
      </c>
      <c r="AX531" t="str">
        <f t="shared" si="197"/>
        <v>Match</v>
      </c>
    </row>
    <row r="532" spans="1:50">
      <c r="A532" t="s">
        <v>2563</v>
      </c>
      <c r="B532">
        <f t="shared" si="176"/>
        <v>1</v>
      </c>
      <c r="C532" t="str">
        <f t="shared" si="186"/>
        <v/>
      </c>
      <c r="D532" s="3" t="s">
        <v>2564</v>
      </c>
      <c r="E532" s="7">
        <v>45807</v>
      </c>
      <c r="F532" s="3" t="s">
        <v>2565</v>
      </c>
      <c r="G532" s="7">
        <v>45809</v>
      </c>
      <c r="H532" s="7" t="str">
        <f t="shared" si="177"/>
        <v>Valid</v>
      </c>
      <c r="I532" s="9">
        <f t="shared" si="178"/>
        <v>2</v>
      </c>
      <c r="J532" s="9" t="str">
        <f t="shared" si="179"/>
        <v>Valid</v>
      </c>
      <c r="K532" t="s">
        <v>2566</v>
      </c>
      <c r="L532" t="s">
        <v>147</v>
      </c>
      <c r="M532" t="s">
        <v>147</v>
      </c>
      <c r="N532" t="s">
        <v>114</v>
      </c>
      <c r="O532" s="3" t="str">
        <f t="shared" si="180"/>
        <v>Home Office</v>
      </c>
      <c r="P532" t="s">
        <v>61</v>
      </c>
      <c r="Q532" s="3" t="str">
        <f t="shared" si="181"/>
        <v>South</v>
      </c>
      <c r="R532" t="s">
        <v>338</v>
      </c>
      <c r="S532" t="s">
        <v>339</v>
      </c>
      <c r="T532" t="s">
        <v>29</v>
      </c>
      <c r="U532" s="3" t="str">
        <f t="shared" si="182"/>
        <v>Office Supplies</v>
      </c>
      <c r="V532" t="s">
        <v>197</v>
      </c>
      <c r="W532" t="s">
        <v>2567</v>
      </c>
      <c r="X532" t="s">
        <v>66</v>
      </c>
      <c r="Y532" s="3" t="str">
        <f t="shared" si="183"/>
        <v>Standard Class</v>
      </c>
      <c r="Z532">
        <v>9</v>
      </c>
      <c r="AA532">
        <v>1994.51</v>
      </c>
      <c r="AB532">
        <v>0.05</v>
      </c>
      <c r="AC532">
        <f t="shared" si="184"/>
        <v>0.05</v>
      </c>
      <c r="AD532" t="str">
        <f t="shared" si="187"/>
        <v>Valid</v>
      </c>
      <c r="AE532">
        <v>17053.060000000001</v>
      </c>
      <c r="AF532">
        <v>10742.38</v>
      </c>
      <c r="AG532">
        <v>6310.68</v>
      </c>
      <c r="AH532" t="s">
        <v>33</v>
      </c>
      <c r="AI532" t="str">
        <f t="shared" si="188"/>
        <v>Include</v>
      </c>
      <c r="AJ532" t="str">
        <f t="shared" si="189"/>
        <v/>
      </c>
      <c r="AK532" t="s">
        <v>34</v>
      </c>
      <c r="AL532" t="str">
        <f t="shared" si="185"/>
        <v>Completed</v>
      </c>
      <c r="AM532" t="str">
        <f t="shared" si="190"/>
        <v>Include</v>
      </c>
      <c r="AN532">
        <f t="shared" si="191"/>
        <v>17053.0605</v>
      </c>
      <c r="AO532">
        <f t="shared" si="192"/>
        <v>6310.6805000000004</v>
      </c>
      <c r="AP532">
        <f>IF(AN532=0,0,AO532/AN532)</f>
        <v>0.37006146198801093</v>
      </c>
      <c r="AQ532" t="str">
        <f t="shared" si="193"/>
        <v>May</v>
      </c>
      <c r="AR532">
        <f t="shared" si="194"/>
        <v>2025</v>
      </c>
      <c r="AS532" t="str">
        <f t="shared" si="195"/>
        <v>Clean</v>
      </c>
      <c r="AT532" t="str">
        <f>IF(OR(AC532&lt;0,AC532&gt;0.5),"Invalid Discount","Valid")</f>
        <v>Valid</v>
      </c>
      <c r="AU532" t="str">
        <f>IF(G532&lt;E532,"Invalid Shipping Record","Valid")</f>
        <v>Valid</v>
      </c>
      <c r="AV532" t="str">
        <f>IF(OR(AL532="Cancelled",AH532="Failed"),"Exclude","Include")</f>
        <v>Include</v>
      </c>
      <c r="AW532" t="str">
        <f t="shared" si="196"/>
        <v>Match</v>
      </c>
      <c r="AX532" t="str">
        <f t="shared" si="197"/>
        <v>Match</v>
      </c>
    </row>
    <row r="533" spans="1:50">
      <c r="A533" t="s">
        <v>2568</v>
      </c>
      <c r="B533">
        <f t="shared" si="176"/>
        <v>1</v>
      </c>
      <c r="C533" t="str">
        <f t="shared" si="186"/>
        <v/>
      </c>
      <c r="D533" s="3" t="s">
        <v>1298</v>
      </c>
      <c r="E533" s="7">
        <v>45505</v>
      </c>
      <c r="F533" s="3" t="s">
        <v>2569</v>
      </c>
      <c r="G533" s="7">
        <v>45512</v>
      </c>
      <c r="H533" s="7" t="str">
        <f t="shared" si="177"/>
        <v>Valid</v>
      </c>
      <c r="I533" s="9">
        <f t="shared" si="178"/>
        <v>7</v>
      </c>
      <c r="J533" s="9" t="str">
        <f t="shared" si="179"/>
        <v>Valid</v>
      </c>
      <c r="K533" t="s">
        <v>2570</v>
      </c>
      <c r="L533" t="s">
        <v>209</v>
      </c>
      <c r="M533" t="s">
        <v>209</v>
      </c>
      <c r="N533" t="s">
        <v>40</v>
      </c>
      <c r="O533" s="3" t="str">
        <f t="shared" si="180"/>
        <v>Small Business</v>
      </c>
      <c r="P533" t="s">
        <v>72</v>
      </c>
      <c r="Q533" s="3" t="str">
        <f t="shared" si="181"/>
        <v>West</v>
      </c>
      <c r="R533" t="s">
        <v>73</v>
      </c>
      <c r="S533" t="s">
        <v>74</v>
      </c>
      <c r="T533" t="s">
        <v>29</v>
      </c>
      <c r="U533" s="3" t="str">
        <f t="shared" si="182"/>
        <v>Office Supplies</v>
      </c>
      <c r="V533" t="s">
        <v>155</v>
      </c>
      <c r="W533" t="s">
        <v>2571</v>
      </c>
      <c r="Y533" s="3" t="str">
        <f t="shared" si="183"/>
        <v>Unknown</v>
      </c>
      <c r="Z533">
        <v>1</v>
      </c>
      <c r="AA533">
        <v>442.97</v>
      </c>
      <c r="AB533">
        <v>0.1</v>
      </c>
      <c r="AC533">
        <f t="shared" si="184"/>
        <v>0.1</v>
      </c>
      <c r="AD533" t="str">
        <f t="shared" si="187"/>
        <v>Valid</v>
      </c>
      <c r="AE533">
        <v>398.67</v>
      </c>
      <c r="AF533">
        <v>311.66000000000003</v>
      </c>
      <c r="AG533">
        <v>87.01</v>
      </c>
      <c r="AH533" t="s">
        <v>33</v>
      </c>
      <c r="AI533" t="str">
        <f t="shared" si="188"/>
        <v>Include</v>
      </c>
      <c r="AJ533" t="str">
        <f t="shared" si="189"/>
        <v/>
      </c>
      <c r="AK533" t="s">
        <v>34</v>
      </c>
      <c r="AL533" t="str">
        <f t="shared" si="185"/>
        <v>Completed</v>
      </c>
      <c r="AM533" t="str">
        <f t="shared" si="190"/>
        <v>Include</v>
      </c>
      <c r="AN533">
        <f t="shared" si="191"/>
        <v>398.67300000000006</v>
      </c>
      <c r="AO533">
        <f t="shared" si="192"/>
        <v>87.013000000000034</v>
      </c>
      <c r="AP533">
        <f>IF(AN533=0,0,AO533/AN533)</f>
        <v>0.21825656615822997</v>
      </c>
      <c r="AQ533" t="str">
        <f t="shared" si="193"/>
        <v>August</v>
      </c>
      <c r="AR533">
        <f t="shared" si="194"/>
        <v>2024</v>
      </c>
      <c r="AS533" t="str">
        <f t="shared" si="195"/>
        <v>Warning</v>
      </c>
      <c r="AT533" t="str">
        <f>IF(OR(AC533&lt;0,AC533&gt;0.5),"Invalid Discount","Valid")</f>
        <v>Valid</v>
      </c>
      <c r="AU533" t="str">
        <f>IF(G533&lt;E533,"Invalid Shipping Record","Valid")</f>
        <v>Valid</v>
      </c>
      <c r="AV533" t="str">
        <f>IF(OR(AL533="Cancelled",AH533="Failed"),"Exclude","Include")</f>
        <v>Include</v>
      </c>
      <c r="AW533" t="str">
        <f t="shared" si="196"/>
        <v>Match</v>
      </c>
      <c r="AX533" t="str">
        <f t="shared" si="197"/>
        <v>Match</v>
      </c>
    </row>
    <row r="534" spans="1:50">
      <c r="A534" t="s">
        <v>2572</v>
      </c>
      <c r="B534">
        <f t="shared" si="176"/>
        <v>1</v>
      </c>
      <c r="C534" t="str">
        <f t="shared" si="186"/>
        <v/>
      </c>
      <c r="D534" s="3" t="s">
        <v>2552</v>
      </c>
      <c r="E534" s="7">
        <v>45935</v>
      </c>
      <c r="F534" s="3" t="s">
        <v>307</v>
      </c>
      <c r="G534" s="7">
        <v>45940</v>
      </c>
      <c r="H534" s="7" t="str">
        <f t="shared" si="177"/>
        <v>Valid</v>
      </c>
      <c r="I534" s="9">
        <f t="shared" si="178"/>
        <v>5</v>
      </c>
      <c r="J534" s="9" t="str">
        <f t="shared" si="179"/>
        <v>Valid</v>
      </c>
      <c r="K534" t="s">
        <v>2573</v>
      </c>
      <c r="L534" t="s">
        <v>141</v>
      </c>
      <c r="M534" t="s">
        <v>141</v>
      </c>
      <c r="N534" t="s">
        <v>107</v>
      </c>
      <c r="O534" s="3" t="str">
        <f t="shared" si="180"/>
        <v>Corporate</v>
      </c>
      <c r="P534" t="s">
        <v>41</v>
      </c>
      <c r="Q534" s="3" t="str">
        <f t="shared" si="181"/>
        <v>East</v>
      </c>
      <c r="R534" t="s">
        <v>215</v>
      </c>
      <c r="S534" t="s">
        <v>216</v>
      </c>
      <c r="T534" t="s">
        <v>44</v>
      </c>
      <c r="U534" s="3" t="str">
        <f t="shared" si="182"/>
        <v>Furniture</v>
      </c>
      <c r="V534" t="s">
        <v>45</v>
      </c>
      <c r="W534" t="s">
        <v>2574</v>
      </c>
      <c r="X534" t="s">
        <v>32</v>
      </c>
      <c r="Y534" s="3" t="str">
        <f t="shared" si="183"/>
        <v>Second Class</v>
      </c>
      <c r="Z534">
        <v>9</v>
      </c>
      <c r="AA534">
        <v>2089.14</v>
      </c>
      <c r="AB534">
        <v>0.05</v>
      </c>
      <c r="AC534">
        <f t="shared" si="184"/>
        <v>0.05</v>
      </c>
      <c r="AD534" t="str">
        <f t="shared" si="187"/>
        <v>Valid</v>
      </c>
      <c r="AE534">
        <v>17862.150000000001</v>
      </c>
      <c r="AF534">
        <v>9892.2099999999991</v>
      </c>
      <c r="AG534">
        <v>7969.94</v>
      </c>
      <c r="AH534" t="s">
        <v>199</v>
      </c>
      <c r="AI534" t="str">
        <f t="shared" si="188"/>
        <v>Exclude</v>
      </c>
      <c r="AJ534" t="str">
        <f t="shared" si="189"/>
        <v/>
      </c>
      <c r="AK534" t="s">
        <v>77</v>
      </c>
      <c r="AL534" t="str">
        <f t="shared" si="185"/>
        <v>Cancelled</v>
      </c>
      <c r="AM534" t="str">
        <f t="shared" si="190"/>
        <v>Exclude</v>
      </c>
      <c r="AN534">
        <f t="shared" si="191"/>
        <v>17862.146999999997</v>
      </c>
      <c r="AO534">
        <f t="shared" si="192"/>
        <v>7969.9369999999981</v>
      </c>
      <c r="AP534">
        <f>IF(AN534=0,0,AO534/AN534)</f>
        <v>0.44619143488182017</v>
      </c>
      <c r="AQ534" t="str">
        <f t="shared" si="193"/>
        <v>October</v>
      </c>
      <c r="AR534">
        <f t="shared" si="194"/>
        <v>2025</v>
      </c>
      <c r="AS534" t="str">
        <f t="shared" si="195"/>
        <v>Clean</v>
      </c>
      <c r="AT534" t="str">
        <f>IF(OR(AC534&lt;0,AC534&gt;0.5),"Invalid Discount","Valid")</f>
        <v>Valid</v>
      </c>
      <c r="AU534" t="str">
        <f>IF(G534&lt;E534,"Invalid Shipping Record","Valid")</f>
        <v>Valid</v>
      </c>
      <c r="AV534" t="str">
        <f>IF(OR(AL534="Cancelled",AH534="Failed"),"Exclude","Include")</f>
        <v>Exclude</v>
      </c>
      <c r="AW534" t="str">
        <f t="shared" si="196"/>
        <v>Match</v>
      </c>
      <c r="AX534" t="str">
        <f t="shared" si="197"/>
        <v>Match</v>
      </c>
    </row>
    <row r="535" spans="1:50">
      <c r="A535" t="s">
        <v>2575</v>
      </c>
      <c r="B535">
        <f t="shared" si="176"/>
        <v>1</v>
      </c>
      <c r="C535" t="str">
        <f t="shared" si="186"/>
        <v/>
      </c>
      <c r="D535" s="3" t="s">
        <v>2576</v>
      </c>
      <c r="E535" s="7">
        <v>45529</v>
      </c>
      <c r="F535" s="3" t="s">
        <v>394</v>
      </c>
      <c r="G535" s="7">
        <v>45536</v>
      </c>
      <c r="H535" s="7" t="str">
        <f t="shared" si="177"/>
        <v>Valid</v>
      </c>
      <c r="I535" s="9">
        <f t="shared" si="178"/>
        <v>7</v>
      </c>
      <c r="J535" s="9" t="str">
        <f t="shared" si="179"/>
        <v>Valid</v>
      </c>
      <c r="K535" t="s">
        <v>2577</v>
      </c>
      <c r="L535" t="s">
        <v>52</v>
      </c>
      <c r="M535" t="s">
        <v>52</v>
      </c>
      <c r="N535" t="s">
        <v>114</v>
      </c>
      <c r="O535" s="3" t="str">
        <f t="shared" si="180"/>
        <v>Home Office</v>
      </c>
      <c r="P535" t="s">
        <v>26</v>
      </c>
      <c r="Q535" s="3" t="str">
        <f t="shared" si="181"/>
        <v>North</v>
      </c>
      <c r="R535" t="s">
        <v>27</v>
      </c>
      <c r="S535" t="s">
        <v>28</v>
      </c>
      <c r="T535" t="s">
        <v>44</v>
      </c>
      <c r="U535" s="3" t="str">
        <f t="shared" si="182"/>
        <v>Furniture</v>
      </c>
      <c r="V535" t="s">
        <v>45</v>
      </c>
      <c r="W535" t="s">
        <v>2578</v>
      </c>
      <c r="X535" t="s">
        <v>47</v>
      </c>
      <c r="Y535" s="3" t="str">
        <f t="shared" si="183"/>
        <v>Same Day</v>
      </c>
      <c r="Z535">
        <v>6</v>
      </c>
      <c r="AA535">
        <v>481.3</v>
      </c>
      <c r="AB535">
        <v>0.25</v>
      </c>
      <c r="AC535">
        <f t="shared" si="184"/>
        <v>0.25</v>
      </c>
      <c r="AD535" t="str">
        <f t="shared" si="187"/>
        <v>Valid</v>
      </c>
      <c r="AE535">
        <v>2165.85</v>
      </c>
      <c r="AF535">
        <v>2124.48</v>
      </c>
      <c r="AG535">
        <v>430.45</v>
      </c>
      <c r="AH535" t="s">
        <v>33</v>
      </c>
      <c r="AI535" t="str">
        <f t="shared" si="188"/>
        <v>Include</v>
      </c>
      <c r="AJ535" t="str">
        <f t="shared" si="189"/>
        <v/>
      </c>
      <c r="AK535" t="s">
        <v>34</v>
      </c>
      <c r="AL535" t="str">
        <f t="shared" si="185"/>
        <v>Completed</v>
      </c>
      <c r="AM535" t="str">
        <f t="shared" si="190"/>
        <v>Include</v>
      </c>
      <c r="AN535">
        <f t="shared" si="191"/>
        <v>2165.8500000000004</v>
      </c>
      <c r="AO535">
        <f t="shared" si="192"/>
        <v>41.370000000000346</v>
      </c>
      <c r="AP535">
        <f>IF(AN535=0,0,AO535/AN535)</f>
        <v>1.91010457787937E-2</v>
      </c>
      <c r="AQ535" t="str">
        <f t="shared" si="193"/>
        <v>August</v>
      </c>
      <c r="AR535">
        <f t="shared" si="194"/>
        <v>2024</v>
      </c>
      <c r="AS535" t="str">
        <f t="shared" si="195"/>
        <v>Clean</v>
      </c>
      <c r="AT535" t="str">
        <f>IF(OR(AC535&lt;0,AC535&gt;0.5),"Invalid Discount","Valid")</f>
        <v>Valid</v>
      </c>
      <c r="AU535" t="str">
        <f>IF(G535&lt;E535,"Invalid Shipping Record","Valid")</f>
        <v>Valid</v>
      </c>
      <c r="AV535" t="str">
        <f>IF(OR(AL535="Cancelled",AH535="Failed"),"Exclude","Include")</f>
        <v>Include</v>
      </c>
      <c r="AW535" t="str">
        <f t="shared" si="196"/>
        <v>Match</v>
      </c>
      <c r="AX535" t="str">
        <f t="shared" si="197"/>
        <v>Mismatch</v>
      </c>
    </row>
    <row r="536" spans="1:50">
      <c r="A536" t="s">
        <v>2579</v>
      </c>
      <c r="B536">
        <f t="shared" si="176"/>
        <v>1</v>
      </c>
      <c r="C536" t="str">
        <f t="shared" si="186"/>
        <v/>
      </c>
      <c r="D536" s="3" t="s">
        <v>2580</v>
      </c>
      <c r="E536" s="7">
        <v>45774</v>
      </c>
      <c r="F536" s="3" t="s">
        <v>2581</v>
      </c>
      <c r="G536" s="7">
        <v>45782</v>
      </c>
      <c r="H536" s="7" t="str">
        <f t="shared" si="177"/>
        <v>Valid</v>
      </c>
      <c r="I536" s="9">
        <f t="shared" si="178"/>
        <v>8</v>
      </c>
      <c r="J536" s="9" t="str">
        <f t="shared" si="179"/>
        <v>Valid</v>
      </c>
      <c r="K536" t="s">
        <v>2582</v>
      </c>
      <c r="L536" t="s">
        <v>179</v>
      </c>
      <c r="M536" t="s">
        <v>179</v>
      </c>
      <c r="N536" t="s">
        <v>114</v>
      </c>
      <c r="O536" s="3" t="str">
        <f t="shared" si="180"/>
        <v>Home Office</v>
      </c>
      <c r="P536" t="s">
        <v>41</v>
      </c>
      <c r="Q536" s="3" t="str">
        <f t="shared" si="181"/>
        <v>East</v>
      </c>
      <c r="R536" t="s">
        <v>185</v>
      </c>
      <c r="S536" t="s">
        <v>186</v>
      </c>
      <c r="T536" t="s">
        <v>85</v>
      </c>
      <c r="U536" s="3" t="str">
        <f t="shared" si="182"/>
        <v>Technology</v>
      </c>
      <c r="V536" t="s">
        <v>86</v>
      </c>
      <c r="W536" t="s">
        <v>2583</v>
      </c>
      <c r="X536" t="s">
        <v>32</v>
      </c>
      <c r="Y536" s="3" t="str">
        <f t="shared" si="183"/>
        <v>Second Class</v>
      </c>
      <c r="Z536">
        <v>4</v>
      </c>
      <c r="AA536">
        <v>3963.39</v>
      </c>
      <c r="AB536">
        <v>0.1</v>
      </c>
      <c r="AC536">
        <f t="shared" si="184"/>
        <v>0.1</v>
      </c>
      <c r="AD536" t="str">
        <f t="shared" si="187"/>
        <v>Valid</v>
      </c>
      <c r="AE536">
        <v>14268.2</v>
      </c>
      <c r="AF536">
        <v>11705.3</v>
      </c>
      <c r="AG536">
        <v>2562.9</v>
      </c>
      <c r="AH536" t="s">
        <v>136</v>
      </c>
      <c r="AI536" t="str">
        <f t="shared" si="188"/>
        <v>Include</v>
      </c>
      <c r="AJ536" t="str">
        <f t="shared" si="189"/>
        <v/>
      </c>
      <c r="AK536" t="s">
        <v>124</v>
      </c>
      <c r="AL536" t="str">
        <f t="shared" si="185"/>
        <v>Returned</v>
      </c>
      <c r="AM536" t="str">
        <f t="shared" si="190"/>
        <v>Include</v>
      </c>
      <c r="AN536">
        <f t="shared" si="191"/>
        <v>14268.204</v>
      </c>
      <c r="AO536">
        <f t="shared" si="192"/>
        <v>2562.9040000000005</v>
      </c>
      <c r="AP536">
        <f>IF(AN536=0,0,AO536/AN536)</f>
        <v>0.17962344805274724</v>
      </c>
      <c r="AQ536" t="str">
        <f t="shared" si="193"/>
        <v>April</v>
      </c>
      <c r="AR536">
        <f t="shared" si="194"/>
        <v>2025</v>
      </c>
      <c r="AS536" t="str">
        <f t="shared" si="195"/>
        <v>Clean</v>
      </c>
      <c r="AT536" t="str">
        <f>IF(OR(AC536&lt;0,AC536&gt;0.5),"Invalid Discount","Valid")</f>
        <v>Valid</v>
      </c>
      <c r="AU536" t="str">
        <f>IF(G536&lt;E536,"Invalid Shipping Record","Valid")</f>
        <v>Valid</v>
      </c>
      <c r="AV536" t="str">
        <f>IF(OR(AL536="Cancelled",AH536="Failed"),"Exclude","Include")</f>
        <v>Include</v>
      </c>
      <c r="AW536" t="str">
        <f t="shared" si="196"/>
        <v>Match</v>
      </c>
      <c r="AX536" t="str">
        <f t="shared" si="197"/>
        <v>Match</v>
      </c>
    </row>
    <row r="537" spans="1:50">
      <c r="A537" t="s">
        <v>2584</v>
      </c>
      <c r="B537">
        <f t="shared" si="176"/>
        <v>1</v>
      </c>
      <c r="C537" t="str">
        <f t="shared" si="186"/>
        <v/>
      </c>
      <c r="D537" s="3" t="s">
        <v>2585</v>
      </c>
      <c r="E537" s="7">
        <v>45431</v>
      </c>
      <c r="F537" s="3" t="s">
        <v>2586</v>
      </c>
      <c r="G537" s="7">
        <v>45433</v>
      </c>
      <c r="H537" s="7" t="str">
        <f t="shared" si="177"/>
        <v>Valid</v>
      </c>
      <c r="I537" s="9">
        <f t="shared" si="178"/>
        <v>2</v>
      </c>
      <c r="J537" s="9" t="str">
        <f t="shared" si="179"/>
        <v>Valid</v>
      </c>
      <c r="K537" t="s">
        <v>2587</v>
      </c>
      <c r="L537" t="s">
        <v>209</v>
      </c>
      <c r="M537" t="s">
        <v>209</v>
      </c>
      <c r="N537" t="s">
        <v>40</v>
      </c>
      <c r="O537" s="3" t="str">
        <f t="shared" si="180"/>
        <v>Small Business</v>
      </c>
      <c r="P537" t="s">
        <v>72</v>
      </c>
      <c r="Q537" s="3" t="str">
        <f t="shared" si="181"/>
        <v>West</v>
      </c>
      <c r="R537" t="s">
        <v>73</v>
      </c>
      <c r="S537" t="s">
        <v>74</v>
      </c>
      <c r="T537" t="s">
        <v>85</v>
      </c>
      <c r="U537" s="3" t="str">
        <f t="shared" si="182"/>
        <v>Technology</v>
      </c>
      <c r="V537" t="s">
        <v>93</v>
      </c>
      <c r="W537" t="s">
        <v>2588</v>
      </c>
      <c r="X537" t="s">
        <v>55</v>
      </c>
      <c r="Y537" s="3" t="str">
        <f t="shared" si="183"/>
        <v>First Class</v>
      </c>
      <c r="Z537">
        <v>3</v>
      </c>
      <c r="AA537">
        <v>4000.98</v>
      </c>
      <c r="AB537">
        <v>0.2</v>
      </c>
      <c r="AC537">
        <f t="shared" si="184"/>
        <v>0.2</v>
      </c>
      <c r="AD537" t="str">
        <f t="shared" si="187"/>
        <v>Valid</v>
      </c>
      <c r="AE537">
        <v>9602.35</v>
      </c>
      <c r="AF537">
        <v>7387.57</v>
      </c>
      <c r="AG537">
        <v>2214.7800000000002</v>
      </c>
      <c r="AH537" t="s">
        <v>33</v>
      </c>
      <c r="AI537" t="str">
        <f t="shared" si="188"/>
        <v>Include</v>
      </c>
      <c r="AJ537" t="str">
        <f t="shared" si="189"/>
        <v/>
      </c>
      <c r="AK537" t="s">
        <v>34</v>
      </c>
      <c r="AL537" t="str">
        <f t="shared" si="185"/>
        <v>Completed</v>
      </c>
      <c r="AM537" t="str">
        <f t="shared" si="190"/>
        <v>Include</v>
      </c>
      <c r="AN537">
        <f t="shared" si="191"/>
        <v>9602.3520000000008</v>
      </c>
      <c r="AO537">
        <f t="shared" si="192"/>
        <v>2214.7820000000011</v>
      </c>
      <c r="AP537">
        <f>IF(AN537=0,0,AO537/AN537)</f>
        <v>0.23064994909580494</v>
      </c>
      <c r="AQ537" t="str">
        <f t="shared" si="193"/>
        <v>May</v>
      </c>
      <c r="AR537">
        <f t="shared" si="194"/>
        <v>2024</v>
      </c>
      <c r="AS537" t="str">
        <f t="shared" si="195"/>
        <v>Clean</v>
      </c>
      <c r="AT537" t="str">
        <f>IF(OR(AC537&lt;0,AC537&gt;0.5),"Invalid Discount","Valid")</f>
        <v>Valid</v>
      </c>
      <c r="AU537" t="str">
        <f>IF(G537&lt;E537,"Invalid Shipping Record","Valid")</f>
        <v>Valid</v>
      </c>
      <c r="AV537" t="str">
        <f>IF(OR(AL537="Cancelled",AH537="Failed"),"Exclude","Include")</f>
        <v>Include</v>
      </c>
      <c r="AW537" t="str">
        <f t="shared" si="196"/>
        <v>Match</v>
      </c>
      <c r="AX537" t="str">
        <f t="shared" si="197"/>
        <v>Match</v>
      </c>
    </row>
    <row r="538" spans="1:50">
      <c r="A538" t="s">
        <v>2589</v>
      </c>
      <c r="B538">
        <f t="shared" si="176"/>
        <v>1</v>
      </c>
      <c r="C538" t="str">
        <f t="shared" si="186"/>
        <v/>
      </c>
      <c r="D538" s="3" t="s">
        <v>2590</v>
      </c>
      <c r="E538" s="7">
        <v>45757</v>
      </c>
      <c r="F538" s="3" t="s">
        <v>2591</v>
      </c>
      <c r="G538" s="7">
        <v>45764</v>
      </c>
      <c r="H538" s="7" t="str">
        <f t="shared" si="177"/>
        <v>Valid</v>
      </c>
      <c r="I538" s="9">
        <f t="shared" si="178"/>
        <v>7</v>
      </c>
      <c r="J538" s="9" t="str">
        <f t="shared" si="179"/>
        <v>Valid</v>
      </c>
      <c r="K538" t="s">
        <v>2592</v>
      </c>
      <c r="L538" t="s">
        <v>71</v>
      </c>
      <c r="M538" t="s">
        <v>71</v>
      </c>
      <c r="N538" t="s">
        <v>40</v>
      </c>
      <c r="O538" s="3" t="str">
        <f t="shared" si="180"/>
        <v>Small Business</v>
      </c>
      <c r="P538" t="s">
        <v>72</v>
      </c>
      <c r="Q538" s="3" t="str">
        <f t="shared" si="181"/>
        <v>West</v>
      </c>
      <c r="R538" t="s">
        <v>27</v>
      </c>
      <c r="S538" t="s">
        <v>134</v>
      </c>
      <c r="T538" t="s">
        <v>44</v>
      </c>
      <c r="U538" s="3" t="str">
        <f t="shared" si="182"/>
        <v>Furniture</v>
      </c>
      <c r="V538" t="s">
        <v>75</v>
      </c>
      <c r="W538" t="s">
        <v>2593</v>
      </c>
      <c r="X538" t="s">
        <v>55</v>
      </c>
      <c r="Y538" s="3" t="str">
        <f t="shared" si="183"/>
        <v>First Class</v>
      </c>
      <c r="Z538">
        <v>7</v>
      </c>
      <c r="AA538">
        <v>3788.9</v>
      </c>
      <c r="AB538">
        <v>0.25</v>
      </c>
      <c r="AC538">
        <f t="shared" si="184"/>
        <v>0.25</v>
      </c>
      <c r="AD538" t="str">
        <f t="shared" si="187"/>
        <v>Valid</v>
      </c>
      <c r="AE538">
        <v>19891.72</v>
      </c>
      <c r="AF538">
        <v>12295.76</v>
      </c>
      <c r="AG538">
        <v>7595.96</v>
      </c>
      <c r="AH538" t="s">
        <v>199</v>
      </c>
      <c r="AI538" t="str">
        <f t="shared" si="188"/>
        <v>Exclude</v>
      </c>
      <c r="AJ538" t="str">
        <f t="shared" si="189"/>
        <v/>
      </c>
      <c r="AK538" t="s">
        <v>77</v>
      </c>
      <c r="AL538" t="str">
        <f t="shared" si="185"/>
        <v>Cancelled</v>
      </c>
      <c r="AM538" t="str">
        <f t="shared" si="190"/>
        <v>Exclude</v>
      </c>
      <c r="AN538">
        <f t="shared" si="191"/>
        <v>19891.724999999999</v>
      </c>
      <c r="AO538">
        <f t="shared" si="192"/>
        <v>7595.9649999999983</v>
      </c>
      <c r="AP538">
        <f>IF(AN538=0,0,AO538/AN538)</f>
        <v>0.38186557475533162</v>
      </c>
      <c r="AQ538" t="str">
        <f t="shared" si="193"/>
        <v>April</v>
      </c>
      <c r="AR538">
        <f t="shared" si="194"/>
        <v>2025</v>
      </c>
      <c r="AS538" t="str">
        <f t="shared" si="195"/>
        <v>Clean</v>
      </c>
      <c r="AT538" t="str">
        <f>IF(OR(AC538&lt;0,AC538&gt;0.5),"Invalid Discount","Valid")</f>
        <v>Valid</v>
      </c>
      <c r="AU538" t="str">
        <f>IF(G538&lt;E538,"Invalid Shipping Record","Valid")</f>
        <v>Valid</v>
      </c>
      <c r="AV538" t="str">
        <f>IF(OR(AL538="Cancelled",AH538="Failed"),"Exclude","Include")</f>
        <v>Exclude</v>
      </c>
      <c r="AW538" t="str">
        <f t="shared" si="196"/>
        <v>Mismatch</v>
      </c>
      <c r="AX538" t="str">
        <f t="shared" si="197"/>
        <v>Mismatch</v>
      </c>
    </row>
    <row r="539" spans="1:50">
      <c r="A539" t="s">
        <v>2594</v>
      </c>
      <c r="B539">
        <f t="shared" si="176"/>
        <v>1</v>
      </c>
      <c r="C539" t="str">
        <f t="shared" si="186"/>
        <v/>
      </c>
      <c r="D539" s="3" t="s">
        <v>2037</v>
      </c>
      <c r="E539" s="7">
        <v>45313</v>
      </c>
      <c r="F539" s="3" t="s">
        <v>2595</v>
      </c>
      <c r="G539" s="7">
        <v>45321</v>
      </c>
      <c r="H539" s="7" t="str">
        <f t="shared" si="177"/>
        <v>Valid</v>
      </c>
      <c r="I539" s="9">
        <f t="shared" si="178"/>
        <v>8</v>
      </c>
      <c r="J539" s="9" t="str">
        <f t="shared" si="179"/>
        <v>Valid</v>
      </c>
      <c r="K539" t="s">
        <v>2596</v>
      </c>
      <c r="L539" t="s">
        <v>71</v>
      </c>
      <c r="M539" t="s">
        <v>71</v>
      </c>
      <c r="N539" t="s">
        <v>40</v>
      </c>
      <c r="O539" s="3" t="str">
        <f t="shared" si="180"/>
        <v>Small Business</v>
      </c>
      <c r="P539" t="s">
        <v>26</v>
      </c>
      <c r="Q539" s="3" t="str">
        <f t="shared" si="181"/>
        <v>North</v>
      </c>
      <c r="R539" t="s">
        <v>322</v>
      </c>
      <c r="S539" t="s">
        <v>323</v>
      </c>
      <c r="T539" t="s">
        <v>29</v>
      </c>
      <c r="U539" s="3" t="str">
        <f t="shared" si="182"/>
        <v>Office Supplies</v>
      </c>
      <c r="V539" t="s">
        <v>53</v>
      </c>
      <c r="W539" t="s">
        <v>2597</v>
      </c>
      <c r="X539" t="s">
        <v>47</v>
      </c>
      <c r="Y539" s="3" t="str">
        <f t="shared" si="183"/>
        <v>Same Day</v>
      </c>
      <c r="Z539">
        <v>3</v>
      </c>
      <c r="AA539">
        <v>676.37</v>
      </c>
      <c r="AB539">
        <v>0.05</v>
      </c>
      <c r="AC539">
        <f t="shared" si="184"/>
        <v>0.05</v>
      </c>
      <c r="AD539" t="str">
        <f t="shared" si="187"/>
        <v>Valid</v>
      </c>
      <c r="AE539">
        <v>1927.65</v>
      </c>
      <c r="AF539">
        <v>1460.6</v>
      </c>
      <c r="AG539">
        <v>467.05</v>
      </c>
      <c r="AH539" t="s">
        <v>199</v>
      </c>
      <c r="AI539" t="str">
        <f t="shared" si="188"/>
        <v>Exclude</v>
      </c>
      <c r="AJ539" t="str">
        <f t="shared" si="189"/>
        <v/>
      </c>
      <c r="AK539" t="s">
        <v>77</v>
      </c>
      <c r="AL539" t="str">
        <f t="shared" si="185"/>
        <v>Cancelled</v>
      </c>
      <c r="AM539" t="str">
        <f t="shared" si="190"/>
        <v>Exclude</v>
      </c>
      <c r="AN539">
        <f t="shared" si="191"/>
        <v>1927.6545000000001</v>
      </c>
      <c r="AO539">
        <f t="shared" si="192"/>
        <v>467.05450000000019</v>
      </c>
      <c r="AP539">
        <f>IF(AN539=0,0,AO539/AN539)</f>
        <v>0.24229160360427668</v>
      </c>
      <c r="AQ539" t="str">
        <f t="shared" si="193"/>
        <v>January</v>
      </c>
      <c r="AR539">
        <f t="shared" si="194"/>
        <v>2024</v>
      </c>
      <c r="AS539" t="str">
        <f t="shared" si="195"/>
        <v>Clean</v>
      </c>
      <c r="AT539" t="str">
        <f>IF(OR(AC539&lt;0,AC539&gt;0.5),"Invalid Discount","Valid")</f>
        <v>Valid</v>
      </c>
      <c r="AU539" t="str">
        <f>IF(G539&lt;E539,"Invalid Shipping Record","Valid")</f>
        <v>Valid</v>
      </c>
      <c r="AV539" t="str">
        <f>IF(OR(AL539="Cancelled",AH539="Failed"),"Exclude","Include")</f>
        <v>Exclude</v>
      </c>
      <c r="AW539" t="str">
        <f t="shared" si="196"/>
        <v>Match</v>
      </c>
      <c r="AX539" t="str">
        <f t="shared" si="197"/>
        <v>Match</v>
      </c>
    </row>
    <row r="540" spans="1:50">
      <c r="A540" t="s">
        <v>2598</v>
      </c>
      <c r="B540">
        <f t="shared" ref="B540:B603" si="198">COUNTIF($A:$A,A540)</f>
        <v>1</v>
      </c>
      <c r="C540" t="str">
        <f t="shared" si="186"/>
        <v/>
      </c>
      <c r="D540" s="3" t="s">
        <v>2265</v>
      </c>
      <c r="E540" s="7">
        <v>45560</v>
      </c>
      <c r="F540" s="3" t="s">
        <v>2599</v>
      </c>
      <c r="G540" s="7">
        <v>45566</v>
      </c>
      <c r="H540" s="7" t="str">
        <f t="shared" si="177"/>
        <v>Valid</v>
      </c>
      <c r="I540" s="9">
        <f t="shared" si="178"/>
        <v>6</v>
      </c>
      <c r="J540" s="9" t="str">
        <f t="shared" si="179"/>
        <v>Valid</v>
      </c>
      <c r="K540" t="s">
        <v>2600</v>
      </c>
      <c r="L540" t="s">
        <v>209</v>
      </c>
      <c r="M540" t="s">
        <v>209</v>
      </c>
      <c r="N540" t="s">
        <v>40</v>
      </c>
      <c r="O540" s="3" t="str">
        <f t="shared" si="180"/>
        <v>Small Business</v>
      </c>
      <c r="P540" t="s">
        <v>41</v>
      </c>
      <c r="Q540" s="3" t="str">
        <f t="shared" si="181"/>
        <v>East</v>
      </c>
      <c r="R540" t="s">
        <v>310</v>
      </c>
      <c r="S540" t="s">
        <v>311</v>
      </c>
      <c r="T540" t="s">
        <v>44</v>
      </c>
      <c r="U540" s="3" t="str">
        <f t="shared" si="182"/>
        <v>Furniture</v>
      </c>
      <c r="V540" t="s">
        <v>45</v>
      </c>
      <c r="W540" t="s">
        <v>2601</v>
      </c>
      <c r="X540" t="s">
        <v>32</v>
      </c>
      <c r="Y540" s="3" t="str">
        <f t="shared" si="183"/>
        <v>Second Class</v>
      </c>
      <c r="Z540">
        <v>9</v>
      </c>
      <c r="AA540">
        <v>3908.6</v>
      </c>
      <c r="AB540">
        <v>0.15</v>
      </c>
      <c r="AC540">
        <f t="shared" si="184"/>
        <v>0.15</v>
      </c>
      <c r="AD540" t="str">
        <f t="shared" si="187"/>
        <v>Valid</v>
      </c>
      <c r="AE540">
        <v>29900.79</v>
      </c>
      <c r="AF540">
        <v>24650.67</v>
      </c>
      <c r="AG540">
        <v>5250.12</v>
      </c>
      <c r="AH540" t="s">
        <v>33</v>
      </c>
      <c r="AI540" t="str">
        <f t="shared" si="188"/>
        <v>Include</v>
      </c>
      <c r="AJ540" t="str">
        <f t="shared" si="189"/>
        <v/>
      </c>
      <c r="AK540" t="s">
        <v>34</v>
      </c>
      <c r="AL540" t="str">
        <f t="shared" si="185"/>
        <v>Completed</v>
      </c>
      <c r="AM540" t="str">
        <f t="shared" si="190"/>
        <v>Include</v>
      </c>
      <c r="AN540">
        <f t="shared" si="191"/>
        <v>29900.79</v>
      </c>
      <c r="AO540">
        <f t="shared" si="192"/>
        <v>5250.1200000000026</v>
      </c>
      <c r="AP540">
        <f>IF(AN540=0,0,AO540/AN540)</f>
        <v>0.17558465846554563</v>
      </c>
      <c r="AQ540" t="str">
        <f t="shared" si="193"/>
        <v>September</v>
      </c>
      <c r="AR540">
        <f t="shared" si="194"/>
        <v>2024</v>
      </c>
      <c r="AS540" t="str">
        <f t="shared" si="195"/>
        <v>Clean</v>
      </c>
      <c r="AT540" t="str">
        <f>IF(OR(AC540&lt;0,AC540&gt;0.5),"Invalid Discount","Valid")</f>
        <v>Valid</v>
      </c>
      <c r="AU540" t="str">
        <f>IF(G540&lt;E540,"Invalid Shipping Record","Valid")</f>
        <v>Valid</v>
      </c>
      <c r="AV540" t="str">
        <f>IF(OR(AL540="Cancelled",AH540="Failed"),"Exclude","Include")</f>
        <v>Include</v>
      </c>
      <c r="AW540" t="str">
        <f t="shared" si="196"/>
        <v>Match</v>
      </c>
      <c r="AX540" t="str">
        <f t="shared" si="197"/>
        <v>Match</v>
      </c>
    </row>
    <row r="541" spans="1:50">
      <c r="A541" t="s">
        <v>2602</v>
      </c>
      <c r="B541">
        <f t="shared" si="198"/>
        <v>1</v>
      </c>
      <c r="C541" t="str">
        <f t="shared" si="186"/>
        <v/>
      </c>
      <c r="D541" s="3" t="s">
        <v>1215</v>
      </c>
      <c r="E541" s="7">
        <v>45842</v>
      </c>
      <c r="F541" s="3" t="s">
        <v>2414</v>
      </c>
      <c r="G541" s="7">
        <v>45842</v>
      </c>
      <c r="H541" s="7" t="str">
        <f t="shared" si="177"/>
        <v>Valid</v>
      </c>
      <c r="I541" s="9">
        <f t="shared" si="178"/>
        <v>0</v>
      </c>
      <c r="J541" s="9" t="str">
        <f t="shared" si="179"/>
        <v>Valid</v>
      </c>
      <c r="K541" t="s">
        <v>2603</v>
      </c>
      <c r="L541" t="s">
        <v>2604</v>
      </c>
      <c r="M541" t="s">
        <v>2604</v>
      </c>
      <c r="N541" t="s">
        <v>40</v>
      </c>
      <c r="O541" s="3" t="str">
        <f t="shared" si="180"/>
        <v>Small Business</v>
      </c>
      <c r="P541" t="s">
        <v>61</v>
      </c>
      <c r="Q541" s="3" t="str">
        <f t="shared" si="181"/>
        <v>South</v>
      </c>
      <c r="R541" t="s">
        <v>338</v>
      </c>
      <c r="S541" t="s">
        <v>339</v>
      </c>
      <c r="T541" t="s">
        <v>44</v>
      </c>
      <c r="U541" s="3" t="str">
        <f t="shared" si="182"/>
        <v>Furniture</v>
      </c>
      <c r="V541" t="s">
        <v>75</v>
      </c>
      <c r="W541" t="s">
        <v>2605</v>
      </c>
      <c r="X541" t="s">
        <v>66</v>
      </c>
      <c r="Y541" s="3" t="str">
        <f t="shared" si="183"/>
        <v>Standard Class</v>
      </c>
      <c r="Z541">
        <v>3</v>
      </c>
      <c r="AA541">
        <v>705.35</v>
      </c>
      <c r="AB541">
        <v>0.1</v>
      </c>
      <c r="AC541">
        <f t="shared" si="184"/>
        <v>0.1</v>
      </c>
      <c r="AD541" t="str">
        <f t="shared" si="187"/>
        <v>Valid</v>
      </c>
      <c r="AE541">
        <v>1904.45</v>
      </c>
      <c r="AF541">
        <v>1316.54</v>
      </c>
      <c r="AG541">
        <v>587.91</v>
      </c>
      <c r="AH541" t="s">
        <v>33</v>
      </c>
      <c r="AI541" t="str">
        <f t="shared" si="188"/>
        <v>Exclude</v>
      </c>
      <c r="AJ541" t="str">
        <f t="shared" si="189"/>
        <v/>
      </c>
      <c r="AK541" t="s">
        <v>77</v>
      </c>
      <c r="AL541" t="str">
        <f t="shared" si="185"/>
        <v>Cancelled</v>
      </c>
      <c r="AM541" t="str">
        <f t="shared" si="190"/>
        <v>Exclude</v>
      </c>
      <c r="AN541">
        <f t="shared" si="191"/>
        <v>1904.4450000000002</v>
      </c>
      <c r="AO541">
        <f t="shared" si="192"/>
        <v>587.9050000000002</v>
      </c>
      <c r="AP541">
        <f>IF(AN541=0,0,AO541/AN541)</f>
        <v>0.30870148520960183</v>
      </c>
      <c r="AQ541" t="str">
        <f t="shared" si="193"/>
        <v>July</v>
      </c>
      <c r="AR541">
        <f t="shared" si="194"/>
        <v>2025</v>
      </c>
      <c r="AS541" t="str">
        <f t="shared" si="195"/>
        <v>Clean</v>
      </c>
      <c r="AT541" t="str">
        <f>IF(OR(AC541&lt;0,AC541&gt;0.5),"Invalid Discount","Valid")</f>
        <v>Valid</v>
      </c>
      <c r="AU541" t="str">
        <f>IF(G541&lt;E541,"Invalid Shipping Record","Valid")</f>
        <v>Valid</v>
      </c>
      <c r="AV541" t="str">
        <f>IF(OR(AL541="Cancelled",AH541="Failed"),"Exclude","Include")</f>
        <v>Exclude</v>
      </c>
      <c r="AW541" t="str">
        <f t="shared" si="196"/>
        <v>Match</v>
      </c>
      <c r="AX541" t="str">
        <f t="shared" si="197"/>
        <v>Match</v>
      </c>
    </row>
    <row r="542" spans="1:50">
      <c r="A542" t="s">
        <v>2606</v>
      </c>
      <c r="B542">
        <f t="shared" si="198"/>
        <v>1</v>
      </c>
      <c r="C542" t="str">
        <f t="shared" si="186"/>
        <v/>
      </c>
      <c r="D542" s="3" t="s">
        <v>2607</v>
      </c>
      <c r="E542" s="7">
        <v>45348</v>
      </c>
      <c r="F542" s="3" t="s">
        <v>2342</v>
      </c>
      <c r="G542" s="7">
        <v>45345</v>
      </c>
      <c r="H542" s="7" t="str">
        <f t="shared" si="177"/>
        <v>Invalid Shipping Record</v>
      </c>
      <c r="I542" s="9">
        <f t="shared" si="178"/>
        <v>-3</v>
      </c>
      <c r="J542" s="9" t="str">
        <f t="shared" si="179"/>
        <v>Invalid Shipping Record</v>
      </c>
      <c r="K542" t="s">
        <v>2608</v>
      </c>
      <c r="L542" t="s">
        <v>365</v>
      </c>
      <c r="M542" t="s">
        <v>365</v>
      </c>
      <c r="N542" t="s">
        <v>25</v>
      </c>
      <c r="O542" s="3" t="str">
        <f t="shared" si="180"/>
        <v>Consumer</v>
      </c>
      <c r="P542" t="s">
        <v>72</v>
      </c>
      <c r="Q542" s="3" t="str">
        <f t="shared" si="181"/>
        <v>West</v>
      </c>
      <c r="R542" t="s">
        <v>234</v>
      </c>
      <c r="S542" t="s">
        <v>235</v>
      </c>
      <c r="T542" t="s">
        <v>44</v>
      </c>
      <c r="U542" s="3" t="str">
        <f t="shared" si="182"/>
        <v>Furniture</v>
      </c>
      <c r="V542" t="s">
        <v>64</v>
      </c>
      <c r="W542" t="s">
        <v>2609</v>
      </c>
      <c r="X542" t="s">
        <v>66</v>
      </c>
      <c r="Y542" s="3" t="str">
        <f t="shared" si="183"/>
        <v>Standard Class</v>
      </c>
      <c r="Z542">
        <v>7</v>
      </c>
      <c r="AA542">
        <v>3852.07</v>
      </c>
      <c r="AB542">
        <v>0.2</v>
      </c>
      <c r="AC542">
        <f t="shared" si="184"/>
        <v>0.2</v>
      </c>
      <c r="AD542" t="str">
        <f t="shared" si="187"/>
        <v>Valid</v>
      </c>
      <c r="AE542">
        <v>21571.59</v>
      </c>
      <c r="AF542">
        <v>17118.07</v>
      </c>
      <c r="AG542">
        <v>4453.5200000000004</v>
      </c>
      <c r="AH542" t="s">
        <v>33</v>
      </c>
      <c r="AI542" t="str">
        <f t="shared" si="188"/>
        <v>Include</v>
      </c>
      <c r="AJ542" t="str">
        <f t="shared" si="189"/>
        <v/>
      </c>
      <c r="AK542" t="s">
        <v>34</v>
      </c>
      <c r="AL542" t="str">
        <f t="shared" si="185"/>
        <v>Completed</v>
      </c>
      <c r="AM542" t="str">
        <f t="shared" si="190"/>
        <v>Include</v>
      </c>
      <c r="AN542">
        <f t="shared" si="191"/>
        <v>21571.592000000004</v>
      </c>
      <c r="AO542">
        <f t="shared" si="192"/>
        <v>4453.5220000000045</v>
      </c>
      <c r="AP542">
        <f>IF(AN542=0,0,AO542/AN542)</f>
        <v>0.20645309813017063</v>
      </c>
      <c r="AQ542" t="str">
        <f t="shared" si="193"/>
        <v>February</v>
      </c>
      <c r="AR542">
        <f t="shared" si="194"/>
        <v>2024</v>
      </c>
      <c r="AS542" t="str">
        <f t="shared" si="195"/>
        <v>Invalid</v>
      </c>
      <c r="AT542" t="str">
        <f>IF(OR(AC542&lt;0,AC542&gt;0.5),"Invalid Discount","Valid")</f>
        <v>Valid</v>
      </c>
      <c r="AU542" t="str">
        <f>IF(G542&lt;E542,"Invalid Shipping Record","Valid")</f>
        <v>Invalid Shipping Record</v>
      </c>
      <c r="AV542" t="str">
        <f>IF(OR(AL542="Cancelled",AH542="Failed"),"Exclude","Include")</f>
        <v>Include</v>
      </c>
      <c r="AW542" t="str">
        <f t="shared" si="196"/>
        <v>Match</v>
      </c>
      <c r="AX542" t="str">
        <f t="shared" si="197"/>
        <v>Match</v>
      </c>
    </row>
    <row r="543" spans="1:50">
      <c r="A543" t="s">
        <v>2610</v>
      </c>
      <c r="B543">
        <f t="shared" si="198"/>
        <v>1</v>
      </c>
      <c r="C543" t="str">
        <f t="shared" si="186"/>
        <v/>
      </c>
      <c r="D543" s="3" t="s">
        <v>2611</v>
      </c>
      <c r="E543" s="7">
        <v>45846</v>
      </c>
      <c r="F543" s="3" t="s">
        <v>2612</v>
      </c>
      <c r="G543" s="7">
        <v>45847</v>
      </c>
      <c r="H543" s="7" t="str">
        <f t="shared" si="177"/>
        <v>Valid</v>
      </c>
      <c r="I543" s="9">
        <f t="shared" si="178"/>
        <v>1</v>
      </c>
      <c r="J543" s="9" t="str">
        <f t="shared" si="179"/>
        <v>Valid</v>
      </c>
      <c r="K543" t="s">
        <v>2613</v>
      </c>
      <c r="L543" t="s">
        <v>167</v>
      </c>
      <c r="M543" t="s">
        <v>167</v>
      </c>
      <c r="N543" t="s">
        <v>25</v>
      </c>
      <c r="O543" s="3" t="str">
        <f t="shared" si="180"/>
        <v>Consumer</v>
      </c>
      <c r="P543" t="s">
        <v>72</v>
      </c>
      <c r="Q543" s="3" t="str">
        <f t="shared" si="181"/>
        <v>West</v>
      </c>
      <c r="R543" t="s">
        <v>73</v>
      </c>
      <c r="S543" t="s">
        <v>74</v>
      </c>
      <c r="T543" t="s">
        <v>85</v>
      </c>
      <c r="U543" s="3" t="str">
        <f t="shared" si="182"/>
        <v>Technology</v>
      </c>
      <c r="V543" t="s">
        <v>93</v>
      </c>
      <c r="W543" t="s">
        <v>2614</v>
      </c>
      <c r="X543" t="s">
        <v>47</v>
      </c>
      <c r="Y543" s="3" t="str">
        <f t="shared" si="183"/>
        <v>Same Day</v>
      </c>
      <c r="Z543">
        <v>3</v>
      </c>
      <c r="AA543">
        <v>2880.56</v>
      </c>
      <c r="AB543">
        <v>0</v>
      </c>
      <c r="AC543">
        <f t="shared" si="184"/>
        <v>0</v>
      </c>
      <c r="AD543" t="str">
        <f t="shared" si="187"/>
        <v>Valid</v>
      </c>
      <c r="AE543">
        <v>8641.68</v>
      </c>
      <c r="AF543">
        <v>5747.09</v>
      </c>
      <c r="AG543">
        <v>2894.59</v>
      </c>
      <c r="AH543" t="s">
        <v>33</v>
      </c>
      <c r="AI543" t="str">
        <f t="shared" si="188"/>
        <v>Include</v>
      </c>
      <c r="AJ543" t="str">
        <f t="shared" si="189"/>
        <v/>
      </c>
      <c r="AK543" t="s">
        <v>124</v>
      </c>
      <c r="AL543" t="str">
        <f t="shared" si="185"/>
        <v>Returned</v>
      </c>
      <c r="AM543" t="str">
        <f t="shared" si="190"/>
        <v>Include</v>
      </c>
      <c r="AN543">
        <f t="shared" si="191"/>
        <v>8641.68</v>
      </c>
      <c r="AO543">
        <f t="shared" si="192"/>
        <v>2894.59</v>
      </c>
      <c r="AP543">
        <f>IF(AN543=0,0,AO543/AN543)</f>
        <v>0.33495686024013849</v>
      </c>
      <c r="AQ543" t="str">
        <f t="shared" si="193"/>
        <v>July</v>
      </c>
      <c r="AR543">
        <f t="shared" si="194"/>
        <v>2025</v>
      </c>
      <c r="AS543" t="str">
        <f t="shared" si="195"/>
        <v>Clean</v>
      </c>
      <c r="AT543" t="str">
        <f>IF(OR(AC543&lt;0,AC543&gt;0.5),"Invalid Discount","Valid")</f>
        <v>Valid</v>
      </c>
      <c r="AU543" t="str">
        <f>IF(G543&lt;E543,"Invalid Shipping Record","Valid")</f>
        <v>Valid</v>
      </c>
      <c r="AV543" t="str">
        <f>IF(OR(AL543="Cancelled",AH543="Failed"),"Exclude","Include")</f>
        <v>Include</v>
      </c>
      <c r="AW543" t="str">
        <f t="shared" si="196"/>
        <v>Match</v>
      </c>
      <c r="AX543" t="str">
        <f t="shared" si="197"/>
        <v>Match</v>
      </c>
    </row>
    <row r="544" spans="1:50">
      <c r="A544" t="s">
        <v>2615</v>
      </c>
      <c r="B544">
        <f t="shared" si="198"/>
        <v>1</v>
      </c>
      <c r="C544" t="str">
        <f t="shared" si="186"/>
        <v/>
      </c>
      <c r="D544" s="3" t="s">
        <v>2616</v>
      </c>
      <c r="E544" s="7">
        <v>45552</v>
      </c>
      <c r="F544" s="3" t="s">
        <v>2617</v>
      </c>
      <c r="G544" s="7">
        <v>45558</v>
      </c>
      <c r="H544" s="7" t="str">
        <f t="shared" si="177"/>
        <v>Valid</v>
      </c>
      <c r="I544" s="9">
        <f t="shared" si="178"/>
        <v>6</v>
      </c>
      <c r="J544" s="9" t="str">
        <f t="shared" si="179"/>
        <v>Valid</v>
      </c>
      <c r="K544" t="s">
        <v>2618</v>
      </c>
      <c r="L544" t="s">
        <v>147</v>
      </c>
      <c r="M544" t="s">
        <v>147</v>
      </c>
      <c r="N544" t="s">
        <v>114</v>
      </c>
      <c r="O544" s="3" t="str">
        <f t="shared" si="180"/>
        <v>Home Office</v>
      </c>
      <c r="P544" t="s">
        <v>61</v>
      </c>
      <c r="Q544" s="3" t="str">
        <f t="shared" si="181"/>
        <v>South</v>
      </c>
      <c r="R544" t="s">
        <v>241</v>
      </c>
      <c r="S544" t="s">
        <v>242</v>
      </c>
      <c r="T544" t="s">
        <v>44</v>
      </c>
      <c r="U544" s="3" t="str">
        <f t="shared" si="182"/>
        <v>Furniture</v>
      </c>
      <c r="V544" t="s">
        <v>203</v>
      </c>
      <c r="W544" t="s">
        <v>2619</v>
      </c>
      <c r="X544" t="s">
        <v>32</v>
      </c>
      <c r="Y544" s="3" t="str">
        <f t="shared" si="183"/>
        <v>Second Class</v>
      </c>
      <c r="Z544">
        <v>3</v>
      </c>
      <c r="AA544">
        <v>4067.62</v>
      </c>
      <c r="AB544">
        <v>0.2</v>
      </c>
      <c r="AC544">
        <f t="shared" si="184"/>
        <v>0.2</v>
      </c>
      <c r="AD544" t="str">
        <f t="shared" si="187"/>
        <v>Valid</v>
      </c>
      <c r="AE544">
        <v>9988.5300000000007</v>
      </c>
      <c r="AF544">
        <v>8368.24</v>
      </c>
      <c r="AG544">
        <v>1394.05</v>
      </c>
      <c r="AH544" t="s">
        <v>33</v>
      </c>
      <c r="AI544" t="str">
        <f t="shared" si="188"/>
        <v>Exclude</v>
      </c>
      <c r="AJ544" t="str">
        <f t="shared" si="189"/>
        <v/>
      </c>
      <c r="AK544" t="s">
        <v>2620</v>
      </c>
      <c r="AL544" t="str">
        <f t="shared" si="185"/>
        <v>Cancelled</v>
      </c>
      <c r="AM544" t="str">
        <f t="shared" si="190"/>
        <v>Exclude</v>
      </c>
      <c r="AN544">
        <f t="shared" si="191"/>
        <v>9762.2880000000005</v>
      </c>
      <c r="AO544">
        <f t="shared" si="192"/>
        <v>1394.0480000000007</v>
      </c>
      <c r="AP544">
        <f>IF(AN544=0,0,AO544/AN544)</f>
        <v>0.14279931098119628</v>
      </c>
      <c r="AQ544" t="str">
        <f t="shared" si="193"/>
        <v>September</v>
      </c>
      <c r="AR544">
        <f t="shared" si="194"/>
        <v>2024</v>
      </c>
      <c r="AS544" t="str">
        <f t="shared" si="195"/>
        <v>Clean</v>
      </c>
      <c r="AT544" t="str">
        <f>IF(OR(AC544&lt;0,AC544&gt;0.5),"Invalid Discount","Valid")</f>
        <v>Valid</v>
      </c>
      <c r="AU544" t="str">
        <f>IF(G544&lt;E544,"Invalid Shipping Record","Valid")</f>
        <v>Valid</v>
      </c>
      <c r="AV544" t="str">
        <f>IF(OR(AL544="Cancelled",AH544="Failed"),"Exclude","Include")</f>
        <v>Exclude</v>
      </c>
      <c r="AW544" t="str">
        <f t="shared" si="196"/>
        <v>Mismatch</v>
      </c>
      <c r="AX544" t="str">
        <f t="shared" si="197"/>
        <v>Match</v>
      </c>
    </row>
    <row r="545" spans="1:50">
      <c r="A545" t="s">
        <v>2621</v>
      </c>
      <c r="B545">
        <f t="shared" si="198"/>
        <v>1</v>
      </c>
      <c r="C545" t="str">
        <f t="shared" si="186"/>
        <v/>
      </c>
      <c r="D545" s="3" t="s">
        <v>2622</v>
      </c>
      <c r="E545" s="7">
        <v>45487</v>
      </c>
      <c r="F545" s="3" t="s">
        <v>399</v>
      </c>
      <c r="G545" s="7">
        <v>45493</v>
      </c>
      <c r="H545" s="7" t="str">
        <f t="shared" si="177"/>
        <v>Valid</v>
      </c>
      <c r="I545" s="9">
        <f t="shared" si="178"/>
        <v>6</v>
      </c>
      <c r="J545" s="9" t="str">
        <f t="shared" si="179"/>
        <v>Valid</v>
      </c>
      <c r="K545" t="s">
        <v>2623</v>
      </c>
      <c r="L545" t="s">
        <v>39</v>
      </c>
      <c r="M545" t="s">
        <v>39</v>
      </c>
      <c r="N545" t="s">
        <v>25</v>
      </c>
      <c r="O545" s="3" t="str">
        <f t="shared" si="180"/>
        <v>Consumer</v>
      </c>
      <c r="P545" t="s">
        <v>41</v>
      </c>
      <c r="Q545" s="3" t="str">
        <f t="shared" si="181"/>
        <v>East</v>
      </c>
      <c r="R545" t="s">
        <v>185</v>
      </c>
      <c r="S545" t="s">
        <v>186</v>
      </c>
      <c r="T545" t="s">
        <v>85</v>
      </c>
      <c r="U545" s="3" t="str">
        <f t="shared" si="182"/>
        <v>Technology</v>
      </c>
      <c r="V545" t="s">
        <v>93</v>
      </c>
      <c r="W545" t="s">
        <v>2624</v>
      </c>
      <c r="X545" t="s">
        <v>47</v>
      </c>
      <c r="Y545" s="3" t="str">
        <f t="shared" si="183"/>
        <v>Same Day</v>
      </c>
      <c r="Z545">
        <v>1</v>
      </c>
      <c r="AA545">
        <v>492.67</v>
      </c>
      <c r="AB545">
        <v>0.15</v>
      </c>
      <c r="AC545">
        <f t="shared" si="184"/>
        <v>0.15</v>
      </c>
      <c r="AD545" t="str">
        <f t="shared" si="187"/>
        <v>Valid</v>
      </c>
      <c r="AE545">
        <v>418.77</v>
      </c>
      <c r="AF545">
        <v>313.72000000000003</v>
      </c>
      <c r="AG545">
        <v>105.05</v>
      </c>
      <c r="AH545" t="s">
        <v>33</v>
      </c>
      <c r="AI545" t="str">
        <f t="shared" si="188"/>
        <v>Include</v>
      </c>
      <c r="AJ545" t="str">
        <f t="shared" si="189"/>
        <v/>
      </c>
      <c r="AK545" t="s">
        <v>34</v>
      </c>
      <c r="AL545" t="str">
        <f t="shared" si="185"/>
        <v>Completed</v>
      </c>
      <c r="AM545" t="str">
        <f t="shared" si="190"/>
        <v>Include</v>
      </c>
      <c r="AN545">
        <f t="shared" si="191"/>
        <v>418.76949999999999</v>
      </c>
      <c r="AO545">
        <f t="shared" si="192"/>
        <v>105.04949999999997</v>
      </c>
      <c r="AP545">
        <f>IF(AN545=0,0,AO545/AN545)</f>
        <v>0.25085279610859906</v>
      </c>
      <c r="AQ545" t="str">
        <f t="shared" si="193"/>
        <v>July</v>
      </c>
      <c r="AR545">
        <f t="shared" si="194"/>
        <v>2024</v>
      </c>
      <c r="AS545" t="str">
        <f t="shared" si="195"/>
        <v>Clean</v>
      </c>
      <c r="AT545" t="str">
        <f>IF(OR(AC545&lt;0,AC545&gt;0.5),"Invalid Discount","Valid")</f>
        <v>Valid</v>
      </c>
      <c r="AU545" t="str">
        <f>IF(G545&lt;E545,"Invalid Shipping Record","Valid")</f>
        <v>Valid</v>
      </c>
      <c r="AV545" t="str">
        <f>IF(OR(AL545="Cancelled",AH545="Failed"),"Exclude","Include")</f>
        <v>Include</v>
      </c>
      <c r="AW545" t="str">
        <f t="shared" si="196"/>
        <v>Match</v>
      </c>
      <c r="AX545" t="str">
        <f t="shared" si="197"/>
        <v>Match</v>
      </c>
    </row>
    <row r="546" spans="1:50">
      <c r="A546" t="s">
        <v>2625</v>
      </c>
      <c r="B546">
        <f t="shared" si="198"/>
        <v>1</v>
      </c>
      <c r="C546" t="str">
        <f t="shared" si="186"/>
        <v/>
      </c>
      <c r="D546" s="3" t="s">
        <v>2626</v>
      </c>
      <c r="E546" s="7">
        <v>45686</v>
      </c>
      <c r="F546" s="3" t="s">
        <v>2059</v>
      </c>
      <c r="G546" s="7">
        <v>45693</v>
      </c>
      <c r="H546" s="7" t="str">
        <f t="shared" si="177"/>
        <v>Valid</v>
      </c>
      <c r="I546" s="9">
        <f t="shared" si="178"/>
        <v>7</v>
      </c>
      <c r="J546" s="9" t="str">
        <f t="shared" si="179"/>
        <v>Valid</v>
      </c>
      <c r="K546" t="s">
        <v>2627</v>
      </c>
      <c r="L546" t="s">
        <v>71</v>
      </c>
      <c r="M546" t="s">
        <v>71</v>
      </c>
      <c r="N546" t="s">
        <v>25</v>
      </c>
      <c r="O546" s="3" t="str">
        <f t="shared" si="180"/>
        <v>Consumer</v>
      </c>
      <c r="P546" t="s">
        <v>61</v>
      </c>
      <c r="Q546" s="3" t="str">
        <f t="shared" si="181"/>
        <v>South</v>
      </c>
      <c r="R546" t="s">
        <v>241</v>
      </c>
      <c r="S546" t="s">
        <v>242</v>
      </c>
      <c r="T546" t="s">
        <v>29</v>
      </c>
      <c r="U546" s="3" t="str">
        <f t="shared" si="182"/>
        <v>Office Supplies</v>
      </c>
      <c r="V546" t="s">
        <v>53</v>
      </c>
      <c r="W546" t="s">
        <v>2628</v>
      </c>
      <c r="X546" t="s">
        <v>47</v>
      </c>
      <c r="Y546" s="3" t="str">
        <f t="shared" si="183"/>
        <v>Same Day</v>
      </c>
      <c r="Z546">
        <v>8</v>
      </c>
      <c r="AA546">
        <v>3643.62</v>
      </c>
      <c r="AB546">
        <v>0.25</v>
      </c>
      <c r="AC546">
        <f t="shared" si="184"/>
        <v>0.25</v>
      </c>
      <c r="AD546" t="str">
        <f t="shared" si="187"/>
        <v>Valid</v>
      </c>
      <c r="AE546">
        <v>21861.72</v>
      </c>
      <c r="AF546">
        <v>18464.34</v>
      </c>
      <c r="AG546">
        <v>3397.38</v>
      </c>
      <c r="AH546" t="s">
        <v>33</v>
      </c>
      <c r="AI546" t="str">
        <f t="shared" si="188"/>
        <v>Exclude</v>
      </c>
      <c r="AJ546" t="str">
        <f t="shared" si="189"/>
        <v/>
      </c>
      <c r="AK546" t="s">
        <v>77</v>
      </c>
      <c r="AL546" t="str">
        <f t="shared" si="185"/>
        <v>Cancelled</v>
      </c>
      <c r="AM546" t="str">
        <f t="shared" si="190"/>
        <v>Exclude</v>
      </c>
      <c r="AN546">
        <f t="shared" si="191"/>
        <v>21861.72</v>
      </c>
      <c r="AO546">
        <f t="shared" si="192"/>
        <v>3397.380000000001</v>
      </c>
      <c r="AP546">
        <f>IF(AN546=0,0,AO546/AN546)</f>
        <v>0.1554031430280875</v>
      </c>
      <c r="AQ546" t="str">
        <f t="shared" si="193"/>
        <v>January</v>
      </c>
      <c r="AR546">
        <f t="shared" si="194"/>
        <v>2025</v>
      </c>
      <c r="AS546" t="str">
        <f t="shared" si="195"/>
        <v>Clean</v>
      </c>
      <c r="AT546" t="str">
        <f>IF(OR(AC546&lt;0,AC546&gt;0.5),"Invalid Discount","Valid")</f>
        <v>Valid</v>
      </c>
      <c r="AU546" t="str">
        <f>IF(G546&lt;E546,"Invalid Shipping Record","Valid")</f>
        <v>Valid</v>
      </c>
      <c r="AV546" t="str">
        <f>IF(OR(AL546="Cancelled",AH546="Failed"),"Exclude","Include")</f>
        <v>Exclude</v>
      </c>
      <c r="AW546" t="str">
        <f t="shared" si="196"/>
        <v>Match</v>
      </c>
      <c r="AX546" t="str">
        <f t="shared" si="197"/>
        <v>Match</v>
      </c>
    </row>
    <row r="547" spans="1:50">
      <c r="A547" t="s">
        <v>2629</v>
      </c>
      <c r="B547">
        <f t="shared" si="198"/>
        <v>1</v>
      </c>
      <c r="C547" t="str">
        <f t="shared" si="186"/>
        <v/>
      </c>
      <c r="D547" s="3" t="s">
        <v>2630</v>
      </c>
      <c r="E547" s="7">
        <v>45439</v>
      </c>
      <c r="F547" s="3" t="s">
        <v>2631</v>
      </c>
      <c r="G547" s="7">
        <v>45442</v>
      </c>
      <c r="H547" s="7" t="str">
        <f t="shared" si="177"/>
        <v>Valid</v>
      </c>
      <c r="I547" s="9">
        <f t="shared" si="178"/>
        <v>3</v>
      </c>
      <c r="J547" s="9" t="str">
        <f t="shared" si="179"/>
        <v>Valid</v>
      </c>
      <c r="K547" t="s">
        <v>2632</v>
      </c>
      <c r="L547" t="s">
        <v>365</v>
      </c>
      <c r="M547" t="s">
        <v>365</v>
      </c>
      <c r="N547" t="s">
        <v>40</v>
      </c>
      <c r="O547" s="3" t="str">
        <f t="shared" si="180"/>
        <v>Small Business</v>
      </c>
      <c r="P547" t="s">
        <v>41</v>
      </c>
      <c r="Q547" s="3" t="str">
        <f t="shared" si="181"/>
        <v>East</v>
      </c>
      <c r="R547" t="s">
        <v>310</v>
      </c>
      <c r="S547" t="s">
        <v>311</v>
      </c>
      <c r="T547" t="s">
        <v>29</v>
      </c>
      <c r="U547" s="3" t="str">
        <f t="shared" si="182"/>
        <v>Office Supplies</v>
      </c>
      <c r="V547" t="s">
        <v>155</v>
      </c>
      <c r="W547" t="s">
        <v>2633</v>
      </c>
      <c r="X547" t="s">
        <v>47</v>
      </c>
      <c r="Y547" s="3" t="str">
        <f t="shared" si="183"/>
        <v>Same Day</v>
      </c>
      <c r="Z547">
        <v>7</v>
      </c>
      <c r="AA547">
        <v>2900.86</v>
      </c>
      <c r="AB547">
        <v>0.15</v>
      </c>
      <c r="AC547">
        <f t="shared" si="184"/>
        <v>0.15</v>
      </c>
      <c r="AD547" t="str">
        <f t="shared" si="187"/>
        <v>Valid</v>
      </c>
      <c r="AE547">
        <v>17260.12</v>
      </c>
      <c r="AF547">
        <v>13513.51</v>
      </c>
      <c r="AG547">
        <v>3746.61</v>
      </c>
      <c r="AH547" t="s">
        <v>33</v>
      </c>
      <c r="AI547" t="str">
        <f t="shared" si="188"/>
        <v>Include</v>
      </c>
      <c r="AJ547" t="str">
        <f t="shared" si="189"/>
        <v/>
      </c>
      <c r="AK547" t="s">
        <v>34</v>
      </c>
      <c r="AL547" t="str">
        <f t="shared" si="185"/>
        <v>Completed</v>
      </c>
      <c r="AM547" t="str">
        <f t="shared" si="190"/>
        <v>Include</v>
      </c>
      <c r="AN547">
        <f t="shared" si="191"/>
        <v>17260.116999999998</v>
      </c>
      <c r="AO547">
        <f t="shared" si="192"/>
        <v>3746.6069999999982</v>
      </c>
      <c r="AP547">
        <f>IF(AN547=0,0,AO547/AN547)</f>
        <v>0.21706730029697935</v>
      </c>
      <c r="AQ547" t="str">
        <f t="shared" si="193"/>
        <v>May</v>
      </c>
      <c r="AR547">
        <f t="shared" si="194"/>
        <v>2024</v>
      </c>
      <c r="AS547" t="str">
        <f t="shared" si="195"/>
        <v>Clean</v>
      </c>
      <c r="AT547" t="str">
        <f>IF(OR(AC547&lt;0,AC547&gt;0.5),"Invalid Discount","Valid")</f>
        <v>Valid</v>
      </c>
      <c r="AU547" t="str">
        <f>IF(G547&lt;E547,"Invalid Shipping Record","Valid")</f>
        <v>Valid</v>
      </c>
      <c r="AV547" t="str">
        <f>IF(OR(AL547="Cancelled",AH547="Failed"),"Exclude","Include")</f>
        <v>Include</v>
      </c>
      <c r="AW547" t="str">
        <f t="shared" si="196"/>
        <v>Match</v>
      </c>
      <c r="AX547" t="str">
        <f t="shared" si="197"/>
        <v>Match</v>
      </c>
    </row>
    <row r="548" spans="1:50">
      <c r="A548" t="s">
        <v>2634</v>
      </c>
      <c r="B548">
        <f t="shared" si="198"/>
        <v>1</v>
      </c>
      <c r="C548" t="str">
        <f t="shared" si="186"/>
        <v/>
      </c>
      <c r="D548" s="3" t="s">
        <v>2635</v>
      </c>
      <c r="E548" s="7">
        <v>45883</v>
      </c>
      <c r="F548" s="3" t="s">
        <v>1490</v>
      </c>
      <c r="G548" s="7">
        <v>45891</v>
      </c>
      <c r="H548" s="7" t="str">
        <f t="shared" si="177"/>
        <v>Valid</v>
      </c>
      <c r="I548" s="9">
        <f t="shared" si="178"/>
        <v>8</v>
      </c>
      <c r="J548" s="9" t="str">
        <f t="shared" si="179"/>
        <v>Valid</v>
      </c>
      <c r="K548" t="s">
        <v>2636</v>
      </c>
      <c r="L548" t="s">
        <v>60</v>
      </c>
      <c r="M548" t="s">
        <v>60</v>
      </c>
      <c r="N548" t="s">
        <v>107</v>
      </c>
      <c r="O548" s="3" t="str">
        <f t="shared" si="180"/>
        <v>Corporate</v>
      </c>
      <c r="P548" t="s">
        <v>72</v>
      </c>
      <c r="Q548" s="3" t="str">
        <f t="shared" si="181"/>
        <v>West</v>
      </c>
      <c r="R548" t="s">
        <v>234</v>
      </c>
      <c r="S548" t="s">
        <v>235</v>
      </c>
      <c r="T548" t="s">
        <v>2637</v>
      </c>
      <c r="U548" s="3" t="str">
        <f t="shared" si="182"/>
        <v>Office Supplies</v>
      </c>
      <c r="V548" t="s">
        <v>30</v>
      </c>
      <c r="W548" t="s">
        <v>2638</v>
      </c>
      <c r="X548" t="s">
        <v>55</v>
      </c>
      <c r="Y548" s="3" t="str">
        <f t="shared" si="183"/>
        <v>First Class</v>
      </c>
      <c r="Z548">
        <v>5</v>
      </c>
      <c r="AA548">
        <v>2567.37</v>
      </c>
      <c r="AB548">
        <v>0.15</v>
      </c>
      <c r="AC548">
        <f t="shared" si="184"/>
        <v>0.15</v>
      </c>
      <c r="AD548" t="str">
        <f t="shared" si="187"/>
        <v>Valid</v>
      </c>
      <c r="AE548">
        <v>10911.32</v>
      </c>
      <c r="AF548">
        <v>6966.44</v>
      </c>
      <c r="AG548">
        <v>4395.17</v>
      </c>
      <c r="AH548" t="s">
        <v>33</v>
      </c>
      <c r="AI548" t="str">
        <f t="shared" si="188"/>
        <v>Include</v>
      </c>
      <c r="AJ548" t="str">
        <f t="shared" si="189"/>
        <v/>
      </c>
      <c r="AK548" t="s">
        <v>34</v>
      </c>
      <c r="AL548" t="str">
        <f t="shared" si="185"/>
        <v>Completed</v>
      </c>
      <c r="AM548" t="str">
        <f t="shared" si="190"/>
        <v>Include</v>
      </c>
      <c r="AN548">
        <f t="shared" si="191"/>
        <v>10911.322499999998</v>
      </c>
      <c r="AO548">
        <f t="shared" si="192"/>
        <v>3944.8824999999988</v>
      </c>
      <c r="AP548">
        <f>IF(AN548=0,0,AO548/AN548)</f>
        <v>0.36154027158486052</v>
      </c>
      <c r="AQ548" t="str">
        <f t="shared" si="193"/>
        <v>August</v>
      </c>
      <c r="AR548">
        <f t="shared" si="194"/>
        <v>2025</v>
      </c>
      <c r="AS548" t="str">
        <f t="shared" si="195"/>
        <v>Clean</v>
      </c>
      <c r="AT548" t="str">
        <f>IF(OR(AC548&lt;0,AC548&gt;0.5),"Invalid Discount","Valid")</f>
        <v>Valid</v>
      </c>
      <c r="AU548" t="str">
        <f>IF(G548&lt;E548,"Invalid Shipping Record","Valid")</f>
        <v>Valid</v>
      </c>
      <c r="AV548" t="str">
        <f>IF(OR(AL548="Cancelled",AH548="Failed"),"Exclude","Include")</f>
        <v>Include</v>
      </c>
      <c r="AW548" t="str">
        <f t="shared" si="196"/>
        <v>Match</v>
      </c>
      <c r="AX548" t="str">
        <f t="shared" si="197"/>
        <v>Mismatch</v>
      </c>
    </row>
    <row r="549" spans="1:50">
      <c r="A549" t="s">
        <v>2639</v>
      </c>
      <c r="B549">
        <f t="shared" si="198"/>
        <v>1</v>
      </c>
      <c r="C549" t="str">
        <f t="shared" si="186"/>
        <v/>
      </c>
      <c r="D549" s="3" t="s">
        <v>2640</v>
      </c>
      <c r="E549" s="7">
        <v>45428</v>
      </c>
      <c r="F549" s="3" t="s">
        <v>2641</v>
      </c>
      <c r="G549" s="7">
        <v>45435</v>
      </c>
      <c r="H549" s="7" t="str">
        <f t="shared" si="177"/>
        <v>Valid</v>
      </c>
      <c r="I549" s="9">
        <f t="shared" si="178"/>
        <v>7</v>
      </c>
      <c r="J549" s="9" t="str">
        <f t="shared" si="179"/>
        <v>Valid</v>
      </c>
      <c r="K549" t="s">
        <v>2642</v>
      </c>
      <c r="L549" t="s">
        <v>92</v>
      </c>
      <c r="M549" t="s">
        <v>92</v>
      </c>
      <c r="N549" t="s">
        <v>40</v>
      </c>
      <c r="O549" s="3" t="str">
        <f t="shared" si="180"/>
        <v>Small Business</v>
      </c>
      <c r="P549" t="s">
        <v>26</v>
      </c>
      <c r="Q549" s="3" t="str">
        <f t="shared" si="181"/>
        <v>North</v>
      </c>
      <c r="R549" t="s">
        <v>173</v>
      </c>
      <c r="S549" t="s">
        <v>174</v>
      </c>
      <c r="T549" t="s">
        <v>85</v>
      </c>
      <c r="U549" s="3" t="str">
        <f t="shared" si="182"/>
        <v>Technology</v>
      </c>
      <c r="V549" t="s">
        <v>93</v>
      </c>
      <c r="W549" t="s">
        <v>2643</v>
      </c>
      <c r="X549" t="s">
        <v>66</v>
      </c>
      <c r="Y549" s="3" t="str">
        <f t="shared" si="183"/>
        <v>Standard Class</v>
      </c>
      <c r="Z549">
        <v>9</v>
      </c>
      <c r="AA549">
        <v>3722.09</v>
      </c>
      <c r="AB549">
        <v>0.1</v>
      </c>
      <c r="AC549">
        <f t="shared" si="184"/>
        <v>0.1</v>
      </c>
      <c r="AD549" t="str">
        <f t="shared" si="187"/>
        <v>Valid</v>
      </c>
      <c r="AE549">
        <v>30148.93</v>
      </c>
      <c r="AF549">
        <v>25155.07</v>
      </c>
      <c r="AG549">
        <v>4993.8599999999997</v>
      </c>
      <c r="AH549" t="s">
        <v>33</v>
      </c>
      <c r="AI549" t="str">
        <f t="shared" si="188"/>
        <v>Include</v>
      </c>
      <c r="AJ549" t="str">
        <f t="shared" si="189"/>
        <v/>
      </c>
      <c r="AK549" t="s">
        <v>34</v>
      </c>
      <c r="AL549" t="str">
        <f t="shared" si="185"/>
        <v>Completed</v>
      </c>
      <c r="AM549" t="str">
        <f t="shared" si="190"/>
        <v>Include</v>
      </c>
      <c r="AN549">
        <f t="shared" si="191"/>
        <v>30148.929</v>
      </c>
      <c r="AO549">
        <f t="shared" si="192"/>
        <v>4993.8590000000004</v>
      </c>
      <c r="AP549">
        <f>IF(AN549=0,0,AO549/AN549)</f>
        <v>0.16563968159532302</v>
      </c>
      <c r="AQ549" t="str">
        <f t="shared" si="193"/>
        <v>May</v>
      </c>
      <c r="AR549">
        <f t="shared" si="194"/>
        <v>2024</v>
      </c>
      <c r="AS549" t="str">
        <f t="shared" si="195"/>
        <v>Clean</v>
      </c>
      <c r="AT549" t="str">
        <f>IF(OR(AC549&lt;0,AC549&gt;0.5),"Invalid Discount","Valid")</f>
        <v>Valid</v>
      </c>
      <c r="AU549" t="str">
        <f>IF(G549&lt;E549,"Invalid Shipping Record","Valid")</f>
        <v>Valid</v>
      </c>
      <c r="AV549" t="str">
        <f>IF(OR(AL549="Cancelled",AH549="Failed"),"Exclude","Include")</f>
        <v>Include</v>
      </c>
      <c r="AW549" t="str">
        <f t="shared" si="196"/>
        <v>Match</v>
      </c>
      <c r="AX549" t="str">
        <f t="shared" si="197"/>
        <v>Match</v>
      </c>
    </row>
    <row r="550" spans="1:50">
      <c r="A550" t="s">
        <v>2644</v>
      </c>
      <c r="B550">
        <f t="shared" si="198"/>
        <v>1</v>
      </c>
      <c r="C550" t="str">
        <f t="shared" si="186"/>
        <v/>
      </c>
      <c r="D550" s="3" t="s">
        <v>273</v>
      </c>
      <c r="E550" s="7">
        <v>45441</v>
      </c>
      <c r="F550" s="3" t="s">
        <v>272</v>
      </c>
      <c r="G550" s="7">
        <v>45441</v>
      </c>
      <c r="H550" s="7" t="str">
        <f t="shared" si="177"/>
        <v>Valid</v>
      </c>
      <c r="I550" s="9">
        <f t="shared" si="178"/>
        <v>0</v>
      </c>
      <c r="J550" s="9" t="str">
        <f t="shared" si="179"/>
        <v>Valid</v>
      </c>
      <c r="K550" t="s">
        <v>2645</v>
      </c>
      <c r="L550" t="s">
        <v>179</v>
      </c>
      <c r="M550" t="s">
        <v>179</v>
      </c>
      <c r="N550" t="s">
        <v>107</v>
      </c>
      <c r="O550" s="3" t="str">
        <f t="shared" si="180"/>
        <v>Corporate</v>
      </c>
      <c r="P550" t="s">
        <v>41</v>
      </c>
      <c r="Q550" s="3" t="str">
        <f t="shared" si="181"/>
        <v>East</v>
      </c>
      <c r="R550" t="s">
        <v>185</v>
      </c>
      <c r="S550" t="s">
        <v>186</v>
      </c>
      <c r="T550" t="s">
        <v>44</v>
      </c>
      <c r="U550" s="3" t="str">
        <f t="shared" si="182"/>
        <v>Furniture</v>
      </c>
      <c r="V550" t="s">
        <v>203</v>
      </c>
      <c r="W550" t="s">
        <v>2646</v>
      </c>
      <c r="X550" t="s">
        <v>47</v>
      </c>
      <c r="Y550" s="3" t="str">
        <f t="shared" si="183"/>
        <v>Same Day</v>
      </c>
      <c r="Z550">
        <v>1</v>
      </c>
      <c r="AA550">
        <v>1072.01</v>
      </c>
      <c r="AB550">
        <v>0</v>
      </c>
      <c r="AC550">
        <f t="shared" si="184"/>
        <v>0</v>
      </c>
      <c r="AD550" t="str">
        <f t="shared" si="187"/>
        <v>Valid</v>
      </c>
      <c r="AE550">
        <v>1072.01</v>
      </c>
      <c r="AF550">
        <v>852.62</v>
      </c>
      <c r="AG550">
        <v>219.39</v>
      </c>
      <c r="AH550" t="s">
        <v>136</v>
      </c>
      <c r="AI550" t="str">
        <f t="shared" si="188"/>
        <v>Exclude</v>
      </c>
      <c r="AJ550" t="str">
        <f t="shared" si="189"/>
        <v/>
      </c>
      <c r="AK550" t="s">
        <v>77</v>
      </c>
      <c r="AL550" t="str">
        <f t="shared" si="185"/>
        <v>Cancelled</v>
      </c>
      <c r="AM550" t="str">
        <f t="shared" si="190"/>
        <v>Exclude</v>
      </c>
      <c r="AN550">
        <f t="shared" si="191"/>
        <v>1072.01</v>
      </c>
      <c r="AO550">
        <f t="shared" si="192"/>
        <v>219.39</v>
      </c>
      <c r="AP550">
        <f>IF(AN550=0,0,AO550/AN550)</f>
        <v>0.20465294167032022</v>
      </c>
      <c r="AQ550" t="str">
        <f t="shared" si="193"/>
        <v>May</v>
      </c>
      <c r="AR550">
        <f t="shared" si="194"/>
        <v>2024</v>
      </c>
      <c r="AS550" t="str">
        <f t="shared" si="195"/>
        <v>Clean</v>
      </c>
      <c r="AT550" t="str">
        <f>IF(OR(AC550&lt;0,AC550&gt;0.5),"Invalid Discount","Valid")</f>
        <v>Valid</v>
      </c>
      <c r="AU550" t="str">
        <f>IF(G550&lt;E550,"Invalid Shipping Record","Valid")</f>
        <v>Valid</v>
      </c>
      <c r="AV550" t="str">
        <f>IF(OR(AL550="Cancelled",AH550="Failed"),"Exclude","Include")</f>
        <v>Exclude</v>
      </c>
      <c r="AW550" t="str">
        <f t="shared" si="196"/>
        <v>Match</v>
      </c>
      <c r="AX550" t="str">
        <f t="shared" si="197"/>
        <v>Match</v>
      </c>
    </row>
    <row r="551" spans="1:50">
      <c r="A551" t="s">
        <v>2647</v>
      </c>
      <c r="B551">
        <f t="shared" si="198"/>
        <v>1</v>
      </c>
      <c r="C551" t="str">
        <f t="shared" si="186"/>
        <v/>
      </c>
      <c r="D551" s="3" t="s">
        <v>2648</v>
      </c>
      <c r="E551" s="7">
        <v>45941</v>
      </c>
      <c r="F551" s="3" t="s">
        <v>2649</v>
      </c>
      <c r="G551" s="7">
        <v>45943</v>
      </c>
      <c r="H551" s="7" t="str">
        <f t="shared" si="177"/>
        <v>Valid</v>
      </c>
      <c r="I551" s="9">
        <f t="shared" si="178"/>
        <v>2</v>
      </c>
      <c r="J551" s="9" t="str">
        <f t="shared" si="179"/>
        <v>Valid</v>
      </c>
      <c r="K551" t="s">
        <v>2650</v>
      </c>
      <c r="L551" t="s">
        <v>39</v>
      </c>
      <c r="M551" t="s">
        <v>39</v>
      </c>
      <c r="N551" t="s">
        <v>107</v>
      </c>
      <c r="O551" s="3" t="str">
        <f t="shared" si="180"/>
        <v>Corporate</v>
      </c>
      <c r="P551" t="s">
        <v>61</v>
      </c>
      <c r="Q551" s="3" t="str">
        <f t="shared" si="181"/>
        <v>South</v>
      </c>
      <c r="R551" t="s">
        <v>62</v>
      </c>
      <c r="S551" t="s">
        <v>63</v>
      </c>
      <c r="T551" t="s">
        <v>29</v>
      </c>
      <c r="U551" s="3" t="str">
        <f t="shared" si="182"/>
        <v>Office Supplies</v>
      </c>
      <c r="V551" t="s">
        <v>53</v>
      </c>
      <c r="W551" t="s">
        <v>2651</v>
      </c>
      <c r="X551" t="s">
        <v>32</v>
      </c>
      <c r="Y551" s="3" t="str">
        <f t="shared" si="183"/>
        <v>Second Class</v>
      </c>
      <c r="Z551">
        <v>3</v>
      </c>
      <c r="AA551">
        <v>3804.27</v>
      </c>
      <c r="AB551">
        <v>0.1</v>
      </c>
      <c r="AC551">
        <f t="shared" si="184"/>
        <v>0.1</v>
      </c>
      <c r="AD551" t="str">
        <f t="shared" si="187"/>
        <v>Valid</v>
      </c>
      <c r="AE551">
        <v>10271.530000000001</v>
      </c>
      <c r="AF551">
        <v>8272.24</v>
      </c>
      <c r="AG551">
        <v>1999.29</v>
      </c>
      <c r="AH551" t="s">
        <v>33</v>
      </c>
      <c r="AI551" t="str">
        <f t="shared" si="188"/>
        <v>Include</v>
      </c>
      <c r="AJ551" t="str">
        <f t="shared" si="189"/>
        <v/>
      </c>
      <c r="AK551" t="s">
        <v>34</v>
      </c>
      <c r="AL551" t="str">
        <f t="shared" si="185"/>
        <v>Completed</v>
      </c>
      <c r="AM551" t="str">
        <f t="shared" si="190"/>
        <v>Include</v>
      </c>
      <c r="AN551">
        <f t="shared" si="191"/>
        <v>10271.529</v>
      </c>
      <c r="AO551">
        <f t="shared" si="192"/>
        <v>1999.2890000000007</v>
      </c>
      <c r="AP551">
        <f>IF(AN551=0,0,AO551/AN551)</f>
        <v>0.19464375751652949</v>
      </c>
      <c r="AQ551" t="str">
        <f t="shared" si="193"/>
        <v>October</v>
      </c>
      <c r="AR551">
        <f t="shared" si="194"/>
        <v>2025</v>
      </c>
      <c r="AS551" t="str">
        <f t="shared" si="195"/>
        <v>Clean</v>
      </c>
      <c r="AT551" t="str">
        <f>IF(OR(AC551&lt;0,AC551&gt;0.5),"Invalid Discount","Valid")</f>
        <v>Valid</v>
      </c>
      <c r="AU551" t="str">
        <f>IF(G551&lt;E551,"Invalid Shipping Record","Valid")</f>
        <v>Valid</v>
      </c>
      <c r="AV551" t="str">
        <f>IF(OR(AL551="Cancelled",AH551="Failed"),"Exclude","Include")</f>
        <v>Include</v>
      </c>
      <c r="AW551" t="str">
        <f t="shared" si="196"/>
        <v>Match</v>
      </c>
      <c r="AX551" t="str">
        <f t="shared" si="197"/>
        <v>Match</v>
      </c>
    </row>
    <row r="552" spans="1:50">
      <c r="A552" t="s">
        <v>2652</v>
      </c>
      <c r="B552">
        <f t="shared" si="198"/>
        <v>1</v>
      </c>
      <c r="C552" t="str">
        <f t="shared" si="186"/>
        <v/>
      </c>
      <c r="D552" s="3" t="s">
        <v>537</v>
      </c>
      <c r="E552" s="7">
        <v>45506</v>
      </c>
      <c r="F552" s="3" t="s">
        <v>2653</v>
      </c>
      <c r="G552" s="7">
        <v>45514</v>
      </c>
      <c r="H552" s="7" t="str">
        <f t="shared" si="177"/>
        <v>Valid</v>
      </c>
      <c r="I552" s="9">
        <f t="shared" si="178"/>
        <v>8</v>
      </c>
      <c r="J552" s="9" t="str">
        <f t="shared" si="179"/>
        <v>Valid</v>
      </c>
      <c r="K552" t="s">
        <v>2654</v>
      </c>
      <c r="L552" t="s">
        <v>39</v>
      </c>
      <c r="M552" t="s">
        <v>39</v>
      </c>
      <c r="N552" t="s">
        <v>114</v>
      </c>
      <c r="O552" s="3" t="str">
        <f t="shared" si="180"/>
        <v>Home Office</v>
      </c>
      <c r="P552" t="s">
        <v>41</v>
      </c>
      <c r="Q552" s="3" t="str">
        <f t="shared" si="181"/>
        <v>East</v>
      </c>
      <c r="R552" t="s">
        <v>42</v>
      </c>
      <c r="S552" t="s">
        <v>43</v>
      </c>
      <c r="T552" t="s">
        <v>85</v>
      </c>
      <c r="U552" s="3" t="str">
        <f t="shared" si="182"/>
        <v>Technology</v>
      </c>
      <c r="V552" t="s">
        <v>86</v>
      </c>
      <c r="W552" t="s">
        <v>2655</v>
      </c>
      <c r="X552" t="s">
        <v>66</v>
      </c>
      <c r="Y552" s="3" t="str">
        <f t="shared" si="183"/>
        <v>Standard Class</v>
      </c>
      <c r="Z552">
        <v>6</v>
      </c>
      <c r="AA552">
        <v>2126.44</v>
      </c>
      <c r="AB552">
        <v>0.2</v>
      </c>
      <c r="AC552">
        <f t="shared" si="184"/>
        <v>0.2</v>
      </c>
      <c r="AD552" t="str">
        <f t="shared" si="187"/>
        <v>Valid</v>
      </c>
      <c r="AE552">
        <v>10206.91</v>
      </c>
      <c r="AF552">
        <v>6764.53</v>
      </c>
      <c r="AG552">
        <v>3442.38</v>
      </c>
      <c r="AH552" t="s">
        <v>33</v>
      </c>
      <c r="AI552" t="str">
        <f t="shared" si="188"/>
        <v>Include</v>
      </c>
      <c r="AJ552" t="str">
        <f t="shared" si="189"/>
        <v/>
      </c>
      <c r="AK552" t="s">
        <v>34</v>
      </c>
      <c r="AL552" t="str">
        <f t="shared" si="185"/>
        <v>Completed</v>
      </c>
      <c r="AM552" t="str">
        <f t="shared" si="190"/>
        <v>Include</v>
      </c>
      <c r="AN552">
        <f t="shared" si="191"/>
        <v>10206.912</v>
      </c>
      <c r="AO552">
        <f t="shared" si="192"/>
        <v>3442.3820000000005</v>
      </c>
      <c r="AP552">
        <f>IF(AN552=0,0,AO552/AN552)</f>
        <v>0.33725988820125036</v>
      </c>
      <c r="AQ552" t="str">
        <f t="shared" si="193"/>
        <v>August</v>
      </c>
      <c r="AR552">
        <f t="shared" si="194"/>
        <v>2024</v>
      </c>
      <c r="AS552" t="str">
        <f t="shared" si="195"/>
        <v>Clean</v>
      </c>
      <c r="AT552" t="str">
        <f>IF(OR(AC552&lt;0,AC552&gt;0.5),"Invalid Discount","Valid")</f>
        <v>Valid</v>
      </c>
      <c r="AU552" t="str">
        <f>IF(G552&lt;E552,"Invalid Shipping Record","Valid")</f>
        <v>Valid</v>
      </c>
      <c r="AV552" t="str">
        <f>IF(OR(AL552="Cancelled",AH552="Failed"),"Exclude","Include")</f>
        <v>Include</v>
      </c>
      <c r="AW552" t="str">
        <f t="shared" si="196"/>
        <v>Match</v>
      </c>
      <c r="AX552" t="str">
        <f t="shared" si="197"/>
        <v>Match</v>
      </c>
    </row>
    <row r="553" spans="1:50">
      <c r="A553" t="s">
        <v>2656</v>
      </c>
      <c r="B553">
        <f t="shared" si="198"/>
        <v>1</v>
      </c>
      <c r="C553" t="str">
        <f t="shared" si="186"/>
        <v/>
      </c>
      <c r="D553" s="3" t="s">
        <v>2088</v>
      </c>
      <c r="E553" s="7">
        <v>45349</v>
      </c>
      <c r="F553" s="3" t="s">
        <v>2657</v>
      </c>
      <c r="G553" s="7">
        <v>45349</v>
      </c>
      <c r="H553" s="7" t="str">
        <f t="shared" si="177"/>
        <v>Valid</v>
      </c>
      <c r="I553" s="9">
        <f t="shared" si="178"/>
        <v>0</v>
      </c>
      <c r="J553" s="9" t="str">
        <f t="shared" si="179"/>
        <v>Valid</v>
      </c>
      <c r="K553" t="s">
        <v>2658</v>
      </c>
      <c r="L553" t="s">
        <v>167</v>
      </c>
      <c r="M553" t="s">
        <v>167</v>
      </c>
      <c r="N553" t="s">
        <v>25</v>
      </c>
      <c r="O553" s="3" t="str">
        <f t="shared" si="180"/>
        <v>Consumer</v>
      </c>
      <c r="P553" t="s">
        <v>41</v>
      </c>
      <c r="Q553" s="3" t="str">
        <f t="shared" si="181"/>
        <v>East</v>
      </c>
      <c r="R553" t="s">
        <v>310</v>
      </c>
      <c r="S553" t="s">
        <v>311</v>
      </c>
      <c r="T553" t="s">
        <v>44</v>
      </c>
      <c r="U553" s="3" t="str">
        <f t="shared" si="182"/>
        <v>Furniture</v>
      </c>
      <c r="V553" t="s">
        <v>75</v>
      </c>
      <c r="W553" t="s">
        <v>2659</v>
      </c>
      <c r="X553" t="s">
        <v>32</v>
      </c>
      <c r="Y553" s="3" t="str">
        <f t="shared" si="183"/>
        <v>Second Class</v>
      </c>
      <c r="Z553">
        <v>3</v>
      </c>
      <c r="AA553">
        <v>3148.09</v>
      </c>
      <c r="AB553">
        <v>0.15</v>
      </c>
      <c r="AC553">
        <f t="shared" si="184"/>
        <v>0.15</v>
      </c>
      <c r="AD553" t="str">
        <f t="shared" si="187"/>
        <v>Valid</v>
      </c>
      <c r="AE553">
        <v>8027.63</v>
      </c>
      <c r="AF553">
        <v>5496.09</v>
      </c>
      <c r="AG553">
        <v>2531.54</v>
      </c>
      <c r="AH553" t="s">
        <v>33</v>
      </c>
      <c r="AI553" t="str">
        <f t="shared" si="188"/>
        <v>Include</v>
      </c>
      <c r="AJ553" t="str">
        <f t="shared" si="189"/>
        <v/>
      </c>
      <c r="AK553" t="s">
        <v>34</v>
      </c>
      <c r="AL553" t="str">
        <f t="shared" si="185"/>
        <v>Completed</v>
      </c>
      <c r="AM553" t="str">
        <f t="shared" si="190"/>
        <v>Include</v>
      </c>
      <c r="AN553">
        <f t="shared" si="191"/>
        <v>8027.6295</v>
      </c>
      <c r="AO553">
        <f t="shared" si="192"/>
        <v>2531.5394999999999</v>
      </c>
      <c r="AP553">
        <f>IF(AN553=0,0,AO553/AN553)</f>
        <v>0.31535330572991688</v>
      </c>
      <c r="AQ553" t="str">
        <f t="shared" si="193"/>
        <v>February</v>
      </c>
      <c r="AR553">
        <f t="shared" si="194"/>
        <v>2024</v>
      </c>
      <c r="AS553" t="str">
        <f t="shared" si="195"/>
        <v>Clean</v>
      </c>
      <c r="AT553" t="str">
        <f>IF(OR(AC553&lt;0,AC553&gt;0.5),"Invalid Discount","Valid")</f>
        <v>Valid</v>
      </c>
      <c r="AU553" t="str">
        <f>IF(G553&lt;E553,"Invalid Shipping Record","Valid")</f>
        <v>Valid</v>
      </c>
      <c r="AV553" t="str">
        <f>IF(OR(AL553="Cancelled",AH553="Failed"),"Exclude","Include")</f>
        <v>Include</v>
      </c>
      <c r="AW553" t="str">
        <f t="shared" si="196"/>
        <v>Match</v>
      </c>
      <c r="AX553" t="str">
        <f t="shared" si="197"/>
        <v>Match</v>
      </c>
    </row>
    <row r="554" spans="1:50">
      <c r="A554" t="s">
        <v>2660</v>
      </c>
      <c r="B554">
        <f t="shared" si="198"/>
        <v>1</v>
      </c>
      <c r="C554" t="str">
        <f t="shared" si="186"/>
        <v/>
      </c>
      <c r="D554" s="3" t="s">
        <v>189</v>
      </c>
      <c r="E554" s="7">
        <v>45681</v>
      </c>
      <c r="F554" s="3" t="s">
        <v>342</v>
      </c>
      <c r="G554" s="7">
        <v>45687</v>
      </c>
      <c r="H554" s="7" t="str">
        <f t="shared" si="177"/>
        <v>Valid</v>
      </c>
      <c r="I554" s="9">
        <f t="shared" si="178"/>
        <v>6</v>
      </c>
      <c r="J554" s="9" t="str">
        <f t="shared" si="179"/>
        <v>Valid</v>
      </c>
      <c r="K554" t="s">
        <v>2661</v>
      </c>
      <c r="L554" t="s">
        <v>71</v>
      </c>
      <c r="M554" t="s">
        <v>71</v>
      </c>
      <c r="N554" t="s">
        <v>107</v>
      </c>
      <c r="O554" s="3" t="str">
        <f t="shared" si="180"/>
        <v>Corporate</v>
      </c>
      <c r="P554" t="s">
        <v>41</v>
      </c>
      <c r="Q554" s="3" t="str">
        <f t="shared" si="181"/>
        <v>East</v>
      </c>
      <c r="R554" t="s">
        <v>120</v>
      </c>
      <c r="S554" t="s">
        <v>121</v>
      </c>
      <c r="T554" t="s">
        <v>85</v>
      </c>
      <c r="U554" s="3" t="str">
        <f t="shared" si="182"/>
        <v>Technology</v>
      </c>
      <c r="V554" t="s">
        <v>93</v>
      </c>
      <c r="W554" t="s">
        <v>2662</v>
      </c>
      <c r="X554" t="s">
        <v>66</v>
      </c>
      <c r="Y554" s="3" t="str">
        <f t="shared" si="183"/>
        <v>Standard Class</v>
      </c>
      <c r="Z554">
        <v>8</v>
      </c>
      <c r="AA554">
        <v>312.52999999999997</v>
      </c>
      <c r="AB554" t="s">
        <v>680</v>
      </c>
      <c r="AC554" t="str">
        <f t="shared" si="184"/>
        <v>70%</v>
      </c>
      <c r="AD554" t="str">
        <f t="shared" si="187"/>
        <v>Valid</v>
      </c>
      <c r="AE554">
        <v>1875.18</v>
      </c>
      <c r="AF554">
        <v>1579.17</v>
      </c>
      <c r="AG554">
        <v>296.01</v>
      </c>
      <c r="AH554" t="s">
        <v>33</v>
      </c>
      <c r="AI554" t="str">
        <f t="shared" si="188"/>
        <v>Include</v>
      </c>
      <c r="AJ554" t="str">
        <f t="shared" si="189"/>
        <v/>
      </c>
      <c r="AK554" t="s">
        <v>34</v>
      </c>
      <c r="AL554" t="str">
        <f t="shared" si="185"/>
        <v>Completed</v>
      </c>
      <c r="AM554" t="str">
        <f t="shared" si="190"/>
        <v>Include</v>
      </c>
      <c r="AN554">
        <f t="shared" si="191"/>
        <v>750.072</v>
      </c>
      <c r="AO554">
        <f t="shared" si="192"/>
        <v>-829.09800000000007</v>
      </c>
      <c r="AP554">
        <f>IF(AN554=0,0,AO554/AN554)</f>
        <v>-1.1053578856429784</v>
      </c>
      <c r="AQ554" t="str">
        <f t="shared" si="193"/>
        <v>January</v>
      </c>
      <c r="AR554">
        <f t="shared" si="194"/>
        <v>2025</v>
      </c>
      <c r="AS554" t="str">
        <f t="shared" si="195"/>
        <v>Invalid</v>
      </c>
      <c r="AT554" t="str">
        <f>IF(OR(AC554&lt;0,AC554&gt;0.5),"Invalid Discount","Valid")</f>
        <v>Invalid Discount</v>
      </c>
      <c r="AU554" t="str">
        <f>IF(G554&lt;E554,"Invalid Shipping Record","Valid")</f>
        <v>Valid</v>
      </c>
      <c r="AV554" t="str">
        <f>IF(OR(AL554="Cancelled",AH554="Failed"),"Exclude","Include")</f>
        <v>Include</v>
      </c>
      <c r="AW554" t="str">
        <f t="shared" si="196"/>
        <v>Mismatch</v>
      </c>
      <c r="AX554" t="str">
        <f t="shared" si="197"/>
        <v>Mismatch</v>
      </c>
    </row>
    <row r="555" spans="1:50">
      <c r="A555" t="s">
        <v>2663</v>
      </c>
      <c r="B555">
        <f t="shared" si="198"/>
        <v>1</v>
      </c>
      <c r="C555" t="str">
        <f t="shared" si="186"/>
        <v/>
      </c>
      <c r="D555" s="3" t="s">
        <v>2664</v>
      </c>
      <c r="E555" s="7">
        <v>45772</v>
      </c>
      <c r="F555" s="3" t="s">
        <v>2665</v>
      </c>
      <c r="G555" s="7">
        <v>45775</v>
      </c>
      <c r="H555" s="7" t="str">
        <f t="shared" si="177"/>
        <v>Valid</v>
      </c>
      <c r="I555" s="9">
        <f t="shared" si="178"/>
        <v>3</v>
      </c>
      <c r="J555" s="9" t="str">
        <f t="shared" si="179"/>
        <v>Valid</v>
      </c>
      <c r="K555" t="s">
        <v>2666</v>
      </c>
      <c r="L555" t="s">
        <v>161</v>
      </c>
      <c r="M555" t="s">
        <v>161</v>
      </c>
      <c r="N555" t="s">
        <v>40</v>
      </c>
      <c r="O555" s="3" t="str">
        <f t="shared" si="180"/>
        <v>Small Business</v>
      </c>
      <c r="P555" t="s">
        <v>72</v>
      </c>
      <c r="Q555" s="3" t="str">
        <f t="shared" si="181"/>
        <v>West</v>
      </c>
      <c r="R555" t="s">
        <v>234</v>
      </c>
      <c r="S555" t="s">
        <v>235</v>
      </c>
      <c r="T555" t="s">
        <v>29</v>
      </c>
      <c r="U555" s="3" t="str">
        <f t="shared" si="182"/>
        <v>Office Supplies</v>
      </c>
      <c r="V555" t="s">
        <v>155</v>
      </c>
      <c r="W555" t="s">
        <v>2667</v>
      </c>
      <c r="X555" t="s">
        <v>55</v>
      </c>
      <c r="Y555" s="3" t="str">
        <f t="shared" si="183"/>
        <v>First Class</v>
      </c>
      <c r="Z555">
        <v>9</v>
      </c>
      <c r="AA555">
        <v>1294.1099999999999</v>
      </c>
      <c r="AB555">
        <v>0.25</v>
      </c>
      <c r="AC555">
        <f t="shared" si="184"/>
        <v>0.25</v>
      </c>
      <c r="AD555" t="str">
        <f t="shared" si="187"/>
        <v>Valid</v>
      </c>
      <c r="AE555">
        <v>8735.24</v>
      </c>
      <c r="AF555">
        <v>6620.07</v>
      </c>
      <c r="AG555">
        <v>2115.17</v>
      </c>
      <c r="AH555" t="s">
        <v>33</v>
      </c>
      <c r="AI555" t="str">
        <f t="shared" si="188"/>
        <v>Include</v>
      </c>
      <c r="AJ555" t="str">
        <f t="shared" si="189"/>
        <v/>
      </c>
      <c r="AK555" t="s">
        <v>34</v>
      </c>
      <c r="AL555" t="str">
        <f t="shared" si="185"/>
        <v>Completed</v>
      </c>
      <c r="AM555" t="str">
        <f t="shared" si="190"/>
        <v>Include</v>
      </c>
      <c r="AN555">
        <f t="shared" si="191"/>
        <v>8735.2425000000003</v>
      </c>
      <c r="AO555">
        <f t="shared" si="192"/>
        <v>2115.1725000000006</v>
      </c>
      <c r="AP555">
        <f>IF(AN555=0,0,AO555/AN555)</f>
        <v>0.24214239043735769</v>
      </c>
      <c r="AQ555" t="str">
        <f t="shared" si="193"/>
        <v>April</v>
      </c>
      <c r="AR555">
        <f t="shared" si="194"/>
        <v>2025</v>
      </c>
      <c r="AS555" t="str">
        <f t="shared" si="195"/>
        <v>Clean</v>
      </c>
      <c r="AT555" t="str">
        <f>IF(OR(AC555&lt;0,AC555&gt;0.5),"Invalid Discount","Valid")</f>
        <v>Valid</v>
      </c>
      <c r="AU555" t="str">
        <f>IF(G555&lt;E555,"Invalid Shipping Record","Valid")</f>
        <v>Valid</v>
      </c>
      <c r="AV555" t="str">
        <f>IF(OR(AL555="Cancelled",AH555="Failed"),"Exclude","Include")</f>
        <v>Include</v>
      </c>
      <c r="AW555" t="str">
        <f t="shared" si="196"/>
        <v>Match</v>
      </c>
      <c r="AX555" t="str">
        <f t="shared" si="197"/>
        <v>Match</v>
      </c>
    </row>
    <row r="556" spans="1:50">
      <c r="A556" t="s">
        <v>2668</v>
      </c>
      <c r="B556">
        <f t="shared" si="198"/>
        <v>1</v>
      </c>
      <c r="C556" t="str">
        <f t="shared" si="186"/>
        <v/>
      </c>
      <c r="D556" s="3" t="s">
        <v>2669</v>
      </c>
      <c r="E556" s="7">
        <v>45577</v>
      </c>
      <c r="F556" s="3" t="s">
        <v>2670</v>
      </c>
      <c r="G556" s="7">
        <v>45582</v>
      </c>
      <c r="H556" s="7" t="str">
        <f t="shared" si="177"/>
        <v>Valid</v>
      </c>
      <c r="I556" s="9">
        <f t="shared" si="178"/>
        <v>5</v>
      </c>
      <c r="J556" s="9" t="str">
        <f t="shared" si="179"/>
        <v>Valid</v>
      </c>
      <c r="K556" t="s">
        <v>2671</v>
      </c>
      <c r="L556" t="s">
        <v>60</v>
      </c>
      <c r="M556" t="s">
        <v>60</v>
      </c>
      <c r="N556" t="s">
        <v>25</v>
      </c>
      <c r="O556" s="3" t="str">
        <f t="shared" si="180"/>
        <v>Consumer</v>
      </c>
      <c r="Q556" s="3" t="str">
        <f t="shared" si="181"/>
        <v>Unknown</v>
      </c>
      <c r="R556" t="s">
        <v>310</v>
      </c>
      <c r="S556" t="s">
        <v>311</v>
      </c>
      <c r="T556" t="s">
        <v>44</v>
      </c>
      <c r="U556" s="3" t="str">
        <f t="shared" si="182"/>
        <v>Furniture</v>
      </c>
      <c r="V556" t="s">
        <v>64</v>
      </c>
      <c r="W556" t="s">
        <v>2672</v>
      </c>
      <c r="X556" t="s">
        <v>66</v>
      </c>
      <c r="Y556" s="3" t="str">
        <f t="shared" si="183"/>
        <v>Standard Class</v>
      </c>
      <c r="Z556">
        <v>4</v>
      </c>
      <c r="AA556">
        <v>1071.22</v>
      </c>
      <c r="AB556">
        <v>0.05</v>
      </c>
      <c r="AC556">
        <f t="shared" si="184"/>
        <v>0.05</v>
      </c>
      <c r="AD556" t="str">
        <f t="shared" si="187"/>
        <v>Valid</v>
      </c>
      <c r="AE556">
        <v>4070.64</v>
      </c>
      <c r="AF556">
        <v>2831.62</v>
      </c>
      <c r="AG556">
        <v>1239.02</v>
      </c>
      <c r="AH556" t="s">
        <v>33</v>
      </c>
      <c r="AI556" t="str">
        <f t="shared" si="188"/>
        <v>Include</v>
      </c>
      <c r="AJ556" t="str">
        <f t="shared" si="189"/>
        <v/>
      </c>
      <c r="AK556" t="s">
        <v>34</v>
      </c>
      <c r="AL556" t="str">
        <f t="shared" si="185"/>
        <v>Completed</v>
      </c>
      <c r="AM556" t="str">
        <f t="shared" si="190"/>
        <v>Include</v>
      </c>
      <c r="AN556">
        <f t="shared" si="191"/>
        <v>4070.636</v>
      </c>
      <c r="AO556">
        <f t="shared" si="192"/>
        <v>1239.0160000000001</v>
      </c>
      <c r="AP556">
        <f>IF(AN556=0,0,AO556/AN556)</f>
        <v>0.30437897173807732</v>
      </c>
      <c r="AQ556" t="str">
        <f t="shared" si="193"/>
        <v>October</v>
      </c>
      <c r="AR556">
        <f t="shared" si="194"/>
        <v>2024</v>
      </c>
      <c r="AS556" t="str">
        <f t="shared" si="195"/>
        <v>Warning</v>
      </c>
      <c r="AT556" t="str">
        <f>IF(OR(AC556&lt;0,AC556&gt;0.5),"Invalid Discount","Valid")</f>
        <v>Valid</v>
      </c>
      <c r="AU556" t="str">
        <f>IF(G556&lt;E556,"Invalid Shipping Record","Valid")</f>
        <v>Valid</v>
      </c>
      <c r="AV556" t="str">
        <f>IF(OR(AL556="Cancelled",AH556="Failed"),"Exclude","Include")</f>
        <v>Include</v>
      </c>
      <c r="AW556" t="str">
        <f t="shared" si="196"/>
        <v>Match</v>
      </c>
      <c r="AX556" t="str">
        <f t="shared" si="197"/>
        <v>Match</v>
      </c>
    </row>
    <row r="557" spans="1:50">
      <c r="A557" t="s">
        <v>2673</v>
      </c>
      <c r="B557">
        <f t="shared" si="198"/>
        <v>1</v>
      </c>
      <c r="C557" t="str">
        <f t="shared" si="186"/>
        <v/>
      </c>
      <c r="D557" s="3" t="s">
        <v>881</v>
      </c>
      <c r="E557" s="7">
        <v>45692</v>
      </c>
      <c r="F557" s="3" t="s">
        <v>2674</v>
      </c>
      <c r="G557" s="7">
        <v>45698</v>
      </c>
      <c r="H557" s="7" t="str">
        <f t="shared" si="177"/>
        <v>Valid</v>
      </c>
      <c r="I557" s="9">
        <f t="shared" si="178"/>
        <v>6</v>
      </c>
      <c r="J557" s="9" t="str">
        <f t="shared" si="179"/>
        <v>Valid</v>
      </c>
      <c r="K557" t="s">
        <v>2675</v>
      </c>
      <c r="L557" t="s">
        <v>71</v>
      </c>
      <c r="M557" t="s">
        <v>71</v>
      </c>
      <c r="N557" t="s">
        <v>40</v>
      </c>
      <c r="O557" s="3" t="str">
        <f t="shared" si="180"/>
        <v>Small Business</v>
      </c>
      <c r="P557" t="s">
        <v>61</v>
      </c>
      <c r="Q557" s="3" t="str">
        <f t="shared" si="181"/>
        <v>South</v>
      </c>
      <c r="R557" t="s">
        <v>62</v>
      </c>
      <c r="S557" t="s">
        <v>63</v>
      </c>
      <c r="T557" t="s">
        <v>29</v>
      </c>
      <c r="U557" s="3" t="str">
        <f t="shared" si="182"/>
        <v>Office Supplies</v>
      </c>
      <c r="V557" t="s">
        <v>155</v>
      </c>
      <c r="W557" t="s">
        <v>2676</v>
      </c>
      <c r="X557" t="s">
        <v>66</v>
      </c>
      <c r="Y557" s="3" t="str">
        <f t="shared" si="183"/>
        <v>Standard Class</v>
      </c>
      <c r="Z557">
        <v>6</v>
      </c>
      <c r="AA557">
        <v>1042.8</v>
      </c>
      <c r="AB557">
        <v>0.05</v>
      </c>
      <c r="AC557">
        <f t="shared" si="184"/>
        <v>0.05</v>
      </c>
      <c r="AD557" t="str">
        <f t="shared" si="187"/>
        <v>Valid</v>
      </c>
      <c r="AE557">
        <v>5943.96</v>
      </c>
      <c r="AF557">
        <v>3604.14</v>
      </c>
      <c r="AG557">
        <v>2339.8200000000002</v>
      </c>
      <c r="AH557" t="s">
        <v>33</v>
      </c>
      <c r="AI557" t="str">
        <f t="shared" si="188"/>
        <v>Include</v>
      </c>
      <c r="AJ557" t="str">
        <f t="shared" si="189"/>
        <v/>
      </c>
      <c r="AK557" t="s">
        <v>34</v>
      </c>
      <c r="AL557" t="str">
        <f t="shared" si="185"/>
        <v>Completed</v>
      </c>
      <c r="AM557" t="str">
        <f t="shared" si="190"/>
        <v>Include</v>
      </c>
      <c r="AN557">
        <f t="shared" si="191"/>
        <v>5943.9599999999991</v>
      </c>
      <c r="AO557">
        <f t="shared" si="192"/>
        <v>2339.8199999999993</v>
      </c>
      <c r="AP557">
        <f>IF(AN557=0,0,AO557/AN557)</f>
        <v>0.39364665980255581</v>
      </c>
      <c r="AQ557" t="str">
        <f t="shared" si="193"/>
        <v>February</v>
      </c>
      <c r="AR557">
        <f t="shared" si="194"/>
        <v>2025</v>
      </c>
      <c r="AS557" t="str">
        <f t="shared" si="195"/>
        <v>Clean</v>
      </c>
      <c r="AT557" t="str">
        <f>IF(OR(AC557&lt;0,AC557&gt;0.5),"Invalid Discount","Valid")</f>
        <v>Valid</v>
      </c>
      <c r="AU557" t="str">
        <f>IF(G557&lt;E557,"Invalid Shipping Record","Valid")</f>
        <v>Valid</v>
      </c>
      <c r="AV557" t="str">
        <f>IF(OR(AL557="Cancelled",AH557="Failed"),"Exclude","Include")</f>
        <v>Include</v>
      </c>
      <c r="AW557" t="str">
        <f t="shared" si="196"/>
        <v>Match</v>
      </c>
      <c r="AX557" t="str">
        <f t="shared" si="197"/>
        <v>Match</v>
      </c>
    </row>
    <row r="558" spans="1:50">
      <c r="A558" t="s">
        <v>2677</v>
      </c>
      <c r="B558">
        <f t="shared" si="198"/>
        <v>1</v>
      </c>
      <c r="C558" t="str">
        <f t="shared" si="186"/>
        <v/>
      </c>
      <c r="D558" s="3" t="s">
        <v>1552</v>
      </c>
      <c r="E558" s="7">
        <v>45466</v>
      </c>
      <c r="F558" s="3" t="s">
        <v>2094</v>
      </c>
      <c r="G558" s="7">
        <v>45472</v>
      </c>
      <c r="H558" s="7" t="str">
        <f t="shared" si="177"/>
        <v>Valid</v>
      </c>
      <c r="I558" s="9">
        <f t="shared" si="178"/>
        <v>6</v>
      </c>
      <c r="J558" s="9" t="str">
        <f t="shared" si="179"/>
        <v>Valid</v>
      </c>
      <c r="K558" t="s">
        <v>2678</v>
      </c>
      <c r="L558" t="s">
        <v>92</v>
      </c>
      <c r="M558" t="s">
        <v>92</v>
      </c>
      <c r="N558" t="s">
        <v>25</v>
      </c>
      <c r="O558" s="3" t="str">
        <f t="shared" si="180"/>
        <v>Consumer</v>
      </c>
      <c r="P558" t="s">
        <v>26</v>
      </c>
      <c r="Q558" s="3" t="str">
        <f t="shared" si="181"/>
        <v>North</v>
      </c>
      <c r="R558" t="s">
        <v>322</v>
      </c>
      <c r="S558" t="s">
        <v>323</v>
      </c>
      <c r="T558" t="s">
        <v>44</v>
      </c>
      <c r="U558" s="3" t="str">
        <f t="shared" si="182"/>
        <v>Furniture</v>
      </c>
      <c r="V558" t="s">
        <v>45</v>
      </c>
      <c r="W558" t="s">
        <v>2679</v>
      </c>
      <c r="X558" t="s">
        <v>55</v>
      </c>
      <c r="Y558" s="3" t="str">
        <f t="shared" si="183"/>
        <v>First Class</v>
      </c>
      <c r="Z558">
        <v>1</v>
      </c>
      <c r="AA558">
        <v>4426.66</v>
      </c>
      <c r="AB558">
        <v>0</v>
      </c>
      <c r="AC558">
        <f t="shared" si="184"/>
        <v>0</v>
      </c>
      <c r="AD558" t="str">
        <f t="shared" si="187"/>
        <v>Valid</v>
      </c>
      <c r="AE558">
        <v>4426.66</v>
      </c>
      <c r="AF558">
        <v>3035.2</v>
      </c>
      <c r="AG558">
        <v>1816.23</v>
      </c>
      <c r="AH558" t="s">
        <v>33</v>
      </c>
      <c r="AI558" t="str">
        <f t="shared" si="188"/>
        <v>Include</v>
      </c>
      <c r="AJ558" t="str">
        <f t="shared" si="189"/>
        <v/>
      </c>
      <c r="AK558" t="s">
        <v>124</v>
      </c>
      <c r="AL558" t="str">
        <f t="shared" si="185"/>
        <v>Returned</v>
      </c>
      <c r="AM558" t="str">
        <f t="shared" si="190"/>
        <v>Include</v>
      </c>
      <c r="AN558">
        <f t="shared" si="191"/>
        <v>4426.66</v>
      </c>
      <c r="AO558">
        <f t="shared" si="192"/>
        <v>1391.46</v>
      </c>
      <c r="AP558">
        <f>IF(AN558=0,0,AO558/AN558)</f>
        <v>0.31433631677156143</v>
      </c>
      <c r="AQ558" t="str">
        <f t="shared" si="193"/>
        <v>June</v>
      </c>
      <c r="AR558">
        <f t="shared" si="194"/>
        <v>2024</v>
      </c>
      <c r="AS558" t="str">
        <f t="shared" si="195"/>
        <v>Clean</v>
      </c>
      <c r="AT558" t="str">
        <f>IF(OR(AC558&lt;0,AC558&gt;0.5),"Invalid Discount","Valid")</f>
        <v>Valid</v>
      </c>
      <c r="AU558" t="str">
        <f>IF(G558&lt;E558,"Invalid Shipping Record","Valid")</f>
        <v>Valid</v>
      </c>
      <c r="AV558" t="str">
        <f>IF(OR(AL558="Cancelled",AH558="Failed"),"Exclude","Include")</f>
        <v>Include</v>
      </c>
      <c r="AW558" t="str">
        <f t="shared" si="196"/>
        <v>Match</v>
      </c>
      <c r="AX558" t="str">
        <f t="shared" si="197"/>
        <v>Mismatch</v>
      </c>
    </row>
    <row r="559" spans="1:50">
      <c r="A559" t="s">
        <v>2680</v>
      </c>
      <c r="B559">
        <f t="shared" si="198"/>
        <v>1</v>
      </c>
      <c r="C559" t="str">
        <f t="shared" si="186"/>
        <v/>
      </c>
      <c r="D559" s="3" t="s">
        <v>2681</v>
      </c>
      <c r="E559" s="7">
        <v>45420</v>
      </c>
      <c r="F559" s="3" t="s">
        <v>2682</v>
      </c>
      <c r="G559" s="7">
        <v>45426</v>
      </c>
      <c r="H559" s="7" t="str">
        <f t="shared" si="177"/>
        <v>Valid</v>
      </c>
      <c r="I559" s="9">
        <f t="shared" si="178"/>
        <v>6</v>
      </c>
      <c r="J559" s="9" t="str">
        <f t="shared" si="179"/>
        <v>Valid</v>
      </c>
      <c r="K559" t="s">
        <v>2683</v>
      </c>
      <c r="L559" t="s">
        <v>82</v>
      </c>
      <c r="M559" t="s">
        <v>82</v>
      </c>
      <c r="N559" t="s">
        <v>114</v>
      </c>
      <c r="O559" s="3" t="str">
        <f t="shared" si="180"/>
        <v>Home Office</v>
      </c>
      <c r="P559" t="s">
        <v>26</v>
      </c>
      <c r="Q559" s="3" t="str">
        <f t="shared" si="181"/>
        <v>North</v>
      </c>
      <c r="R559" t="s">
        <v>322</v>
      </c>
      <c r="S559" t="s">
        <v>323</v>
      </c>
      <c r="T559" t="s">
        <v>85</v>
      </c>
      <c r="U559" s="3" t="str">
        <f t="shared" si="182"/>
        <v>Technology</v>
      </c>
      <c r="V559" t="s">
        <v>222</v>
      </c>
      <c r="W559" t="s">
        <v>2684</v>
      </c>
      <c r="X559" t="s">
        <v>55</v>
      </c>
      <c r="Y559" s="3" t="str">
        <f t="shared" si="183"/>
        <v>First Class</v>
      </c>
      <c r="Z559">
        <v>9</v>
      </c>
      <c r="AA559">
        <v>3769.46</v>
      </c>
      <c r="AB559">
        <v>0.05</v>
      </c>
      <c r="AC559">
        <f t="shared" si="184"/>
        <v>0.05</v>
      </c>
      <c r="AD559" t="str">
        <f t="shared" si="187"/>
        <v>Valid</v>
      </c>
      <c r="AE559">
        <v>32228.880000000001</v>
      </c>
      <c r="AF559">
        <v>24971.360000000001</v>
      </c>
      <c r="AG559">
        <v>7257.52</v>
      </c>
      <c r="AH559" t="s">
        <v>33</v>
      </c>
      <c r="AI559" t="str">
        <f t="shared" si="188"/>
        <v>Exclude</v>
      </c>
      <c r="AJ559" t="str">
        <f t="shared" si="189"/>
        <v/>
      </c>
      <c r="AK559" t="s">
        <v>77</v>
      </c>
      <c r="AL559" t="str">
        <f t="shared" si="185"/>
        <v>Cancelled</v>
      </c>
      <c r="AM559" t="str">
        <f t="shared" si="190"/>
        <v>Exclude</v>
      </c>
      <c r="AN559">
        <f t="shared" si="191"/>
        <v>32228.882999999998</v>
      </c>
      <c r="AO559">
        <f t="shared" si="192"/>
        <v>7257.5229999999974</v>
      </c>
      <c r="AP559">
        <f>IF(AN559=0,0,AO559/AN559)</f>
        <v>0.22518692317074712</v>
      </c>
      <c r="AQ559" t="str">
        <f t="shared" si="193"/>
        <v>May</v>
      </c>
      <c r="AR559">
        <f t="shared" si="194"/>
        <v>2024</v>
      </c>
      <c r="AS559" t="str">
        <f t="shared" si="195"/>
        <v>Clean</v>
      </c>
      <c r="AT559" t="str">
        <f>IF(OR(AC559&lt;0,AC559&gt;0.5),"Invalid Discount","Valid")</f>
        <v>Valid</v>
      </c>
      <c r="AU559" t="str">
        <f>IF(G559&lt;E559,"Invalid Shipping Record","Valid")</f>
        <v>Valid</v>
      </c>
      <c r="AV559" t="str">
        <f>IF(OR(AL559="Cancelled",AH559="Failed"),"Exclude","Include")</f>
        <v>Exclude</v>
      </c>
      <c r="AW559" t="str">
        <f t="shared" si="196"/>
        <v>Match</v>
      </c>
      <c r="AX559" t="str">
        <f t="shared" si="197"/>
        <v>Match</v>
      </c>
    </row>
    <row r="560" spans="1:50">
      <c r="A560" t="s">
        <v>2685</v>
      </c>
      <c r="B560">
        <f t="shared" si="198"/>
        <v>1</v>
      </c>
      <c r="C560" t="str">
        <f t="shared" si="186"/>
        <v/>
      </c>
      <c r="D560" s="3" t="s">
        <v>2686</v>
      </c>
      <c r="E560" s="7">
        <v>45904</v>
      </c>
      <c r="F560" s="3" t="s">
        <v>2687</v>
      </c>
      <c r="G560" s="7">
        <v>45904</v>
      </c>
      <c r="H560" s="7" t="str">
        <f t="shared" si="177"/>
        <v>Valid</v>
      </c>
      <c r="I560" s="9">
        <f t="shared" si="178"/>
        <v>0</v>
      </c>
      <c r="J560" s="9" t="str">
        <f t="shared" si="179"/>
        <v>Valid</v>
      </c>
      <c r="K560" t="s">
        <v>2688</v>
      </c>
      <c r="L560" t="s">
        <v>106</v>
      </c>
      <c r="M560" t="s">
        <v>106</v>
      </c>
      <c r="N560" t="s">
        <v>107</v>
      </c>
      <c r="O560" s="3" t="str">
        <f t="shared" si="180"/>
        <v>Corporate</v>
      </c>
      <c r="P560" t="s">
        <v>26</v>
      </c>
      <c r="Q560" s="3" t="str">
        <f t="shared" si="181"/>
        <v>North</v>
      </c>
      <c r="R560" t="s">
        <v>153</v>
      </c>
      <c r="S560" t="s">
        <v>154</v>
      </c>
      <c r="T560" t="s">
        <v>85</v>
      </c>
      <c r="U560" s="3" t="str">
        <f t="shared" si="182"/>
        <v>Technology</v>
      </c>
      <c r="V560" t="s">
        <v>381</v>
      </c>
      <c r="W560" t="s">
        <v>2689</v>
      </c>
      <c r="X560" t="s">
        <v>55</v>
      </c>
      <c r="Y560" s="3" t="str">
        <f t="shared" si="183"/>
        <v>First Class</v>
      </c>
      <c r="Z560">
        <v>8</v>
      </c>
      <c r="AA560">
        <v>3079.95</v>
      </c>
      <c r="AB560">
        <v>0.2</v>
      </c>
      <c r="AC560">
        <f t="shared" si="184"/>
        <v>0.2</v>
      </c>
      <c r="AD560" t="str">
        <f t="shared" si="187"/>
        <v>Valid</v>
      </c>
      <c r="AE560">
        <v>19711.68</v>
      </c>
      <c r="AF560">
        <v>14461.8</v>
      </c>
      <c r="AG560">
        <v>5249.88</v>
      </c>
      <c r="AH560" t="s">
        <v>33</v>
      </c>
      <c r="AI560" t="str">
        <f t="shared" si="188"/>
        <v>Include</v>
      </c>
      <c r="AJ560" t="str">
        <f t="shared" si="189"/>
        <v/>
      </c>
      <c r="AK560" t="s">
        <v>34</v>
      </c>
      <c r="AL560" t="str">
        <f t="shared" si="185"/>
        <v>Completed</v>
      </c>
      <c r="AM560" t="str">
        <f t="shared" si="190"/>
        <v>Include</v>
      </c>
      <c r="AN560">
        <f t="shared" si="191"/>
        <v>19711.68</v>
      </c>
      <c r="AO560">
        <f t="shared" si="192"/>
        <v>5249.880000000001</v>
      </c>
      <c r="AP560">
        <f>IF(AN560=0,0,AO560/AN560)</f>
        <v>0.26633346320557155</v>
      </c>
      <c r="AQ560" t="str">
        <f t="shared" si="193"/>
        <v>September</v>
      </c>
      <c r="AR560">
        <f t="shared" si="194"/>
        <v>2025</v>
      </c>
      <c r="AS560" t="str">
        <f t="shared" si="195"/>
        <v>Clean</v>
      </c>
      <c r="AT560" t="str">
        <f>IF(OR(AC560&lt;0,AC560&gt;0.5),"Invalid Discount","Valid")</f>
        <v>Valid</v>
      </c>
      <c r="AU560" t="str">
        <f>IF(G560&lt;E560,"Invalid Shipping Record","Valid")</f>
        <v>Valid</v>
      </c>
      <c r="AV560" t="str">
        <f>IF(OR(AL560="Cancelled",AH560="Failed"),"Exclude","Include")</f>
        <v>Include</v>
      </c>
      <c r="AW560" t="str">
        <f t="shared" si="196"/>
        <v>Match</v>
      </c>
      <c r="AX560" t="str">
        <f t="shared" si="197"/>
        <v>Match</v>
      </c>
    </row>
    <row r="561" spans="1:50">
      <c r="A561" t="s">
        <v>2690</v>
      </c>
      <c r="B561">
        <f t="shared" si="198"/>
        <v>1</v>
      </c>
      <c r="C561" t="str">
        <f t="shared" si="186"/>
        <v/>
      </c>
      <c r="D561" s="3" t="s">
        <v>2256</v>
      </c>
      <c r="E561" s="7">
        <v>45930</v>
      </c>
      <c r="F561" s="3" t="s">
        <v>2691</v>
      </c>
      <c r="G561" s="7">
        <v>45937</v>
      </c>
      <c r="H561" s="7" t="str">
        <f t="shared" si="177"/>
        <v>Valid</v>
      </c>
      <c r="I561" s="9">
        <f t="shared" si="178"/>
        <v>7</v>
      </c>
      <c r="J561" s="9" t="str">
        <f t="shared" si="179"/>
        <v>Valid</v>
      </c>
      <c r="K561" t="s">
        <v>2692</v>
      </c>
      <c r="L561" t="s">
        <v>209</v>
      </c>
      <c r="M561" t="s">
        <v>209</v>
      </c>
      <c r="N561" t="s">
        <v>107</v>
      </c>
      <c r="O561" s="3" t="str">
        <f t="shared" si="180"/>
        <v>Corporate</v>
      </c>
      <c r="P561" t="s">
        <v>41</v>
      </c>
      <c r="Q561" s="3" t="str">
        <f t="shared" si="181"/>
        <v>East</v>
      </c>
      <c r="R561" t="s">
        <v>185</v>
      </c>
      <c r="S561" t="s">
        <v>186</v>
      </c>
      <c r="T561" t="s">
        <v>85</v>
      </c>
      <c r="U561" s="3" t="str">
        <f t="shared" si="182"/>
        <v>Technology</v>
      </c>
      <c r="V561" t="s">
        <v>93</v>
      </c>
      <c r="W561" t="s">
        <v>2693</v>
      </c>
      <c r="X561" t="s">
        <v>32</v>
      </c>
      <c r="Y561" s="3" t="str">
        <f t="shared" si="183"/>
        <v>Second Class</v>
      </c>
      <c r="Z561">
        <v>5</v>
      </c>
      <c r="AA561">
        <v>3277.82</v>
      </c>
      <c r="AB561">
        <v>0.1</v>
      </c>
      <c r="AC561">
        <f t="shared" si="184"/>
        <v>0.1</v>
      </c>
      <c r="AD561" t="str">
        <f t="shared" si="187"/>
        <v>Valid</v>
      </c>
      <c r="AE561">
        <v>14750.19</v>
      </c>
      <c r="AF561">
        <v>9482.58</v>
      </c>
      <c r="AG561">
        <v>5267.61</v>
      </c>
      <c r="AH561" t="s">
        <v>33</v>
      </c>
      <c r="AI561" t="str">
        <f t="shared" si="188"/>
        <v>Include</v>
      </c>
      <c r="AJ561" t="str">
        <f t="shared" si="189"/>
        <v/>
      </c>
      <c r="AK561" t="s">
        <v>124</v>
      </c>
      <c r="AL561" t="str">
        <f t="shared" si="185"/>
        <v>Returned</v>
      </c>
      <c r="AM561" t="str">
        <f t="shared" si="190"/>
        <v>Include</v>
      </c>
      <c r="AN561">
        <f t="shared" si="191"/>
        <v>14750.190000000002</v>
      </c>
      <c r="AO561">
        <f t="shared" si="192"/>
        <v>5267.6100000000024</v>
      </c>
      <c r="AP561">
        <f>IF(AN561=0,0,AO561/AN561)</f>
        <v>0.35712150148574368</v>
      </c>
      <c r="AQ561" t="str">
        <f t="shared" si="193"/>
        <v>September</v>
      </c>
      <c r="AR561">
        <f t="shared" si="194"/>
        <v>2025</v>
      </c>
      <c r="AS561" t="str">
        <f t="shared" si="195"/>
        <v>Clean</v>
      </c>
      <c r="AT561" t="str">
        <f>IF(OR(AC561&lt;0,AC561&gt;0.5),"Invalid Discount","Valid")</f>
        <v>Valid</v>
      </c>
      <c r="AU561" t="str">
        <f>IF(G561&lt;E561,"Invalid Shipping Record","Valid")</f>
        <v>Valid</v>
      </c>
      <c r="AV561" t="str">
        <f>IF(OR(AL561="Cancelled",AH561="Failed"),"Exclude","Include")</f>
        <v>Include</v>
      </c>
      <c r="AW561" t="str">
        <f t="shared" si="196"/>
        <v>Match</v>
      </c>
      <c r="AX561" t="str">
        <f t="shared" si="197"/>
        <v>Match</v>
      </c>
    </row>
    <row r="562" spans="1:50">
      <c r="A562" t="s">
        <v>2694</v>
      </c>
      <c r="B562">
        <f t="shared" si="198"/>
        <v>1</v>
      </c>
      <c r="C562" t="str">
        <f t="shared" si="186"/>
        <v/>
      </c>
      <c r="D562" s="3" t="s">
        <v>2695</v>
      </c>
      <c r="E562" s="7">
        <v>45307</v>
      </c>
      <c r="F562" s="3" t="s">
        <v>1057</v>
      </c>
      <c r="G562" s="7">
        <v>45313</v>
      </c>
      <c r="H562" s="7" t="str">
        <f t="shared" si="177"/>
        <v>Valid</v>
      </c>
      <c r="I562" s="9">
        <f t="shared" si="178"/>
        <v>6</v>
      </c>
      <c r="J562" s="9" t="str">
        <f t="shared" si="179"/>
        <v>Valid</v>
      </c>
      <c r="K562" t="s">
        <v>2696</v>
      </c>
      <c r="L562" t="s">
        <v>60</v>
      </c>
      <c r="M562" t="s">
        <v>60</v>
      </c>
      <c r="N562" t="s">
        <v>25</v>
      </c>
      <c r="O562" s="3" t="str">
        <f t="shared" si="180"/>
        <v>Consumer</v>
      </c>
      <c r="P562" t="s">
        <v>72</v>
      </c>
      <c r="Q562" s="3" t="str">
        <f t="shared" si="181"/>
        <v>West</v>
      </c>
      <c r="R562" t="s">
        <v>248</v>
      </c>
      <c r="S562" t="s">
        <v>249</v>
      </c>
      <c r="T562" t="s">
        <v>29</v>
      </c>
      <c r="U562" s="3" t="str">
        <f t="shared" si="182"/>
        <v>Office Supplies</v>
      </c>
      <c r="V562" t="s">
        <v>155</v>
      </c>
      <c r="W562" t="s">
        <v>2697</v>
      </c>
      <c r="X562" t="s">
        <v>66</v>
      </c>
      <c r="Y562" s="3" t="str">
        <f t="shared" si="183"/>
        <v>Standard Class</v>
      </c>
      <c r="Z562">
        <v>4</v>
      </c>
      <c r="AA562">
        <v>282.52999999999997</v>
      </c>
      <c r="AB562">
        <v>0</v>
      </c>
      <c r="AC562">
        <f t="shared" si="184"/>
        <v>0</v>
      </c>
      <c r="AD562" t="str">
        <f t="shared" si="187"/>
        <v>Valid</v>
      </c>
      <c r="AE562">
        <v>1130.1199999999999</v>
      </c>
      <c r="AF562">
        <v>848.62</v>
      </c>
      <c r="AG562">
        <v>281.5</v>
      </c>
      <c r="AH562" t="s">
        <v>33</v>
      </c>
      <c r="AI562" t="str">
        <f t="shared" si="188"/>
        <v>Exclude</v>
      </c>
      <c r="AJ562" t="str">
        <f t="shared" si="189"/>
        <v/>
      </c>
      <c r="AK562" t="s">
        <v>77</v>
      </c>
      <c r="AL562" t="str">
        <f t="shared" si="185"/>
        <v>Cancelled</v>
      </c>
      <c r="AM562" t="str">
        <f t="shared" si="190"/>
        <v>Exclude</v>
      </c>
      <c r="AN562">
        <f t="shared" si="191"/>
        <v>1130.1199999999999</v>
      </c>
      <c r="AO562">
        <f t="shared" si="192"/>
        <v>281.49999999999989</v>
      </c>
      <c r="AP562">
        <f>IF(AN562=0,0,AO562/AN562)</f>
        <v>0.249088592361873</v>
      </c>
      <c r="AQ562" t="str">
        <f t="shared" si="193"/>
        <v>January</v>
      </c>
      <c r="AR562">
        <f t="shared" si="194"/>
        <v>2024</v>
      </c>
      <c r="AS562" t="str">
        <f t="shared" si="195"/>
        <v>Clean</v>
      </c>
      <c r="AT562" t="str">
        <f>IF(OR(AC562&lt;0,AC562&gt;0.5),"Invalid Discount","Valid")</f>
        <v>Valid</v>
      </c>
      <c r="AU562" t="str">
        <f>IF(G562&lt;E562,"Invalid Shipping Record","Valid")</f>
        <v>Valid</v>
      </c>
      <c r="AV562" t="str">
        <f>IF(OR(AL562="Cancelled",AH562="Failed"),"Exclude","Include")</f>
        <v>Exclude</v>
      </c>
      <c r="AW562" t="str">
        <f t="shared" si="196"/>
        <v>Match</v>
      </c>
      <c r="AX562" t="str">
        <f t="shared" si="197"/>
        <v>Match</v>
      </c>
    </row>
    <row r="563" spans="1:50">
      <c r="A563" t="s">
        <v>2698</v>
      </c>
      <c r="B563">
        <f t="shared" si="198"/>
        <v>1</v>
      </c>
      <c r="C563" t="str">
        <f t="shared" si="186"/>
        <v/>
      </c>
      <c r="D563" s="3" t="s">
        <v>761</v>
      </c>
      <c r="E563" s="7">
        <v>45852</v>
      </c>
      <c r="F563" s="3" t="s">
        <v>2699</v>
      </c>
      <c r="G563" s="7">
        <v>45856</v>
      </c>
      <c r="H563" s="7" t="str">
        <f t="shared" si="177"/>
        <v>Valid</v>
      </c>
      <c r="I563" s="9">
        <f t="shared" si="178"/>
        <v>4</v>
      </c>
      <c r="J563" s="9" t="str">
        <f t="shared" si="179"/>
        <v>Valid</v>
      </c>
      <c r="K563" t="s">
        <v>2700</v>
      </c>
      <c r="L563" t="s">
        <v>106</v>
      </c>
      <c r="M563" t="s">
        <v>106</v>
      </c>
      <c r="N563" t="s">
        <v>25</v>
      </c>
      <c r="O563" s="3" t="str">
        <f t="shared" si="180"/>
        <v>Consumer</v>
      </c>
      <c r="P563" t="s">
        <v>26</v>
      </c>
      <c r="Q563" s="3" t="str">
        <f t="shared" si="181"/>
        <v>North</v>
      </c>
      <c r="R563" t="s">
        <v>153</v>
      </c>
      <c r="S563" t="s">
        <v>154</v>
      </c>
      <c r="T563" t="s">
        <v>85</v>
      </c>
      <c r="U563" s="3" t="str">
        <f t="shared" si="182"/>
        <v>Technology</v>
      </c>
      <c r="V563" t="s">
        <v>93</v>
      </c>
      <c r="W563" t="s">
        <v>2701</v>
      </c>
      <c r="X563" t="s">
        <v>55</v>
      </c>
      <c r="Y563" s="3" t="str">
        <f t="shared" si="183"/>
        <v>First Class</v>
      </c>
      <c r="Z563">
        <v>4</v>
      </c>
      <c r="AA563">
        <v>725.22</v>
      </c>
      <c r="AB563">
        <v>0</v>
      </c>
      <c r="AC563">
        <f t="shared" si="184"/>
        <v>0</v>
      </c>
      <c r="AD563" t="str">
        <f t="shared" si="187"/>
        <v>Valid</v>
      </c>
      <c r="AE563">
        <v>2900.88</v>
      </c>
      <c r="AF563">
        <v>2391.85</v>
      </c>
      <c r="AG563">
        <v>509.03</v>
      </c>
      <c r="AH563" t="s">
        <v>136</v>
      </c>
      <c r="AI563" t="str">
        <f t="shared" si="188"/>
        <v>Include</v>
      </c>
      <c r="AJ563" t="str">
        <f t="shared" si="189"/>
        <v/>
      </c>
      <c r="AK563" t="s">
        <v>124</v>
      </c>
      <c r="AL563" t="str">
        <f t="shared" si="185"/>
        <v>Returned</v>
      </c>
      <c r="AM563" t="str">
        <f t="shared" si="190"/>
        <v>Include</v>
      </c>
      <c r="AN563">
        <f t="shared" si="191"/>
        <v>2900.88</v>
      </c>
      <c r="AO563">
        <f t="shared" si="192"/>
        <v>509.0300000000002</v>
      </c>
      <c r="AP563">
        <f>IF(AN563=0,0,AO563/AN563)</f>
        <v>0.17547433882132324</v>
      </c>
      <c r="AQ563" t="str">
        <f t="shared" si="193"/>
        <v>July</v>
      </c>
      <c r="AR563">
        <f t="shared" si="194"/>
        <v>2025</v>
      </c>
      <c r="AS563" t="str">
        <f t="shared" si="195"/>
        <v>Clean</v>
      </c>
      <c r="AT563" t="str">
        <f>IF(OR(AC563&lt;0,AC563&gt;0.5),"Invalid Discount","Valid")</f>
        <v>Valid</v>
      </c>
      <c r="AU563" t="str">
        <f>IF(G563&lt;E563,"Invalid Shipping Record","Valid")</f>
        <v>Valid</v>
      </c>
      <c r="AV563" t="str">
        <f>IF(OR(AL563="Cancelled",AH563="Failed"),"Exclude","Include")</f>
        <v>Include</v>
      </c>
      <c r="AW563" t="str">
        <f t="shared" si="196"/>
        <v>Match</v>
      </c>
      <c r="AX563" t="str">
        <f t="shared" si="197"/>
        <v>Match</v>
      </c>
    </row>
    <row r="564" spans="1:50">
      <c r="A564" t="s">
        <v>2702</v>
      </c>
      <c r="B564">
        <f t="shared" si="198"/>
        <v>1</v>
      </c>
      <c r="C564" t="str">
        <f t="shared" si="186"/>
        <v/>
      </c>
      <c r="D564" s="3" t="s">
        <v>2703</v>
      </c>
      <c r="E564" s="7">
        <v>45422</v>
      </c>
      <c r="F564" s="3" t="s">
        <v>2640</v>
      </c>
      <c r="G564" s="7">
        <v>45428</v>
      </c>
      <c r="H564" s="7" t="str">
        <f t="shared" si="177"/>
        <v>Valid</v>
      </c>
      <c r="I564" s="9">
        <f t="shared" si="178"/>
        <v>6</v>
      </c>
      <c r="J564" s="9" t="str">
        <f t="shared" si="179"/>
        <v>Valid</v>
      </c>
      <c r="K564" t="s">
        <v>2704</v>
      </c>
      <c r="L564" t="s">
        <v>24</v>
      </c>
      <c r="M564" t="s">
        <v>24</v>
      </c>
      <c r="N564" t="s">
        <v>25</v>
      </c>
      <c r="O564" s="3" t="str">
        <f t="shared" si="180"/>
        <v>Consumer</v>
      </c>
      <c r="P564" t="s">
        <v>26</v>
      </c>
      <c r="Q564" s="3" t="str">
        <f t="shared" si="181"/>
        <v>North</v>
      </c>
      <c r="R564" t="s">
        <v>153</v>
      </c>
      <c r="S564" t="s">
        <v>154</v>
      </c>
      <c r="T564" t="s">
        <v>29</v>
      </c>
      <c r="U564" s="3" t="str">
        <f t="shared" si="182"/>
        <v>Office Supplies</v>
      </c>
      <c r="V564" t="s">
        <v>197</v>
      </c>
      <c r="W564" t="s">
        <v>2705</v>
      </c>
      <c r="X564" t="s">
        <v>47</v>
      </c>
      <c r="Y564" s="3" t="str">
        <f t="shared" si="183"/>
        <v>Same Day</v>
      </c>
      <c r="Z564">
        <v>7</v>
      </c>
      <c r="AA564">
        <v>121.54</v>
      </c>
      <c r="AB564">
        <v>0.2</v>
      </c>
      <c r="AC564">
        <f t="shared" si="184"/>
        <v>0.2</v>
      </c>
      <c r="AD564" t="str">
        <f t="shared" si="187"/>
        <v>Valid</v>
      </c>
      <c r="AE564">
        <v>680.62</v>
      </c>
      <c r="AF564">
        <v>463.49</v>
      </c>
      <c r="AG564">
        <v>217.13</v>
      </c>
      <c r="AH564" t="s">
        <v>199</v>
      </c>
      <c r="AI564" t="str">
        <f t="shared" si="188"/>
        <v>Exclude</v>
      </c>
      <c r="AJ564" t="str">
        <f t="shared" si="189"/>
        <v/>
      </c>
      <c r="AK564" t="s">
        <v>124</v>
      </c>
      <c r="AL564" t="str">
        <f t="shared" si="185"/>
        <v>Returned</v>
      </c>
      <c r="AM564" t="str">
        <f t="shared" si="190"/>
        <v>Include</v>
      </c>
      <c r="AN564">
        <f t="shared" si="191"/>
        <v>680.62400000000014</v>
      </c>
      <c r="AO564">
        <f t="shared" si="192"/>
        <v>217.13400000000013</v>
      </c>
      <c r="AP564">
        <f>IF(AN564=0,0,AO564/AN564)</f>
        <v>0.31902195632243363</v>
      </c>
      <c r="AQ564" t="str">
        <f t="shared" si="193"/>
        <v>May</v>
      </c>
      <c r="AR564">
        <f t="shared" si="194"/>
        <v>2024</v>
      </c>
      <c r="AS564" t="str">
        <f t="shared" si="195"/>
        <v>Clean</v>
      </c>
      <c r="AT564" t="str">
        <f>IF(OR(AC564&lt;0,AC564&gt;0.5),"Invalid Discount","Valid")</f>
        <v>Valid</v>
      </c>
      <c r="AU564" t="str">
        <f>IF(G564&lt;E564,"Invalid Shipping Record","Valid")</f>
        <v>Valid</v>
      </c>
      <c r="AV564" t="str">
        <f>IF(OR(AL564="Cancelled",AH564="Failed"),"Exclude","Include")</f>
        <v>Exclude</v>
      </c>
      <c r="AW564" t="str">
        <f t="shared" si="196"/>
        <v>Match</v>
      </c>
      <c r="AX564" t="str">
        <f t="shared" si="197"/>
        <v>Match</v>
      </c>
    </row>
    <row r="565" spans="1:50">
      <c r="A565" t="s">
        <v>2706</v>
      </c>
      <c r="B565">
        <f t="shared" si="198"/>
        <v>1</v>
      </c>
      <c r="C565" t="str">
        <f t="shared" si="186"/>
        <v/>
      </c>
      <c r="D565" s="3" t="s">
        <v>2707</v>
      </c>
      <c r="E565" s="7">
        <v>45418</v>
      </c>
      <c r="F565" s="3" t="s">
        <v>1783</v>
      </c>
      <c r="G565" s="7">
        <v>45424</v>
      </c>
      <c r="H565" s="7" t="str">
        <f t="shared" si="177"/>
        <v>Valid</v>
      </c>
      <c r="I565" s="9">
        <f t="shared" si="178"/>
        <v>6</v>
      </c>
      <c r="J565" s="9" t="str">
        <f t="shared" si="179"/>
        <v>Valid</v>
      </c>
      <c r="K565" t="s">
        <v>2708</v>
      </c>
      <c r="L565" t="s">
        <v>60</v>
      </c>
      <c r="M565" t="s">
        <v>60</v>
      </c>
      <c r="N565" t="s">
        <v>107</v>
      </c>
      <c r="O565" s="3" t="str">
        <f t="shared" si="180"/>
        <v>Corporate</v>
      </c>
      <c r="P565" t="s">
        <v>72</v>
      </c>
      <c r="Q565" s="3" t="str">
        <f t="shared" si="181"/>
        <v>West</v>
      </c>
      <c r="R565" t="s">
        <v>248</v>
      </c>
      <c r="S565" t="s">
        <v>249</v>
      </c>
      <c r="T565" t="s">
        <v>44</v>
      </c>
      <c r="U565" s="3" t="str">
        <f t="shared" si="182"/>
        <v>Furniture</v>
      </c>
      <c r="V565" t="s">
        <v>45</v>
      </c>
      <c r="W565" t="s">
        <v>2709</v>
      </c>
      <c r="X565" t="s">
        <v>66</v>
      </c>
      <c r="Y565" s="3" t="str">
        <f t="shared" si="183"/>
        <v>Standard Class</v>
      </c>
      <c r="Z565">
        <v>9</v>
      </c>
      <c r="AA565">
        <v>790.97</v>
      </c>
      <c r="AB565">
        <v>0.2</v>
      </c>
      <c r="AC565">
        <f t="shared" si="184"/>
        <v>0.2</v>
      </c>
      <c r="AD565" t="str">
        <f t="shared" si="187"/>
        <v>Valid</v>
      </c>
      <c r="AE565">
        <v>5694.98</v>
      </c>
      <c r="AF565">
        <v>4618.33</v>
      </c>
      <c r="AG565">
        <v>1076.6500000000001</v>
      </c>
      <c r="AH565" t="s">
        <v>136</v>
      </c>
      <c r="AI565" t="str">
        <f t="shared" si="188"/>
        <v>Exclude</v>
      </c>
      <c r="AJ565" t="str">
        <f t="shared" si="189"/>
        <v/>
      </c>
      <c r="AK565" t="s">
        <v>77</v>
      </c>
      <c r="AL565" t="str">
        <f t="shared" si="185"/>
        <v>Cancelled</v>
      </c>
      <c r="AM565" t="str">
        <f t="shared" si="190"/>
        <v>Exclude</v>
      </c>
      <c r="AN565">
        <f t="shared" si="191"/>
        <v>5694.9840000000004</v>
      </c>
      <c r="AO565">
        <f t="shared" si="192"/>
        <v>1076.6540000000005</v>
      </c>
      <c r="AP565">
        <f>IF(AN565=0,0,AO565/AN565)</f>
        <v>0.1890530333360024</v>
      </c>
      <c r="AQ565" t="str">
        <f t="shared" si="193"/>
        <v>May</v>
      </c>
      <c r="AR565">
        <f t="shared" si="194"/>
        <v>2024</v>
      </c>
      <c r="AS565" t="str">
        <f t="shared" si="195"/>
        <v>Clean</v>
      </c>
      <c r="AT565" t="str">
        <f>IF(OR(AC565&lt;0,AC565&gt;0.5),"Invalid Discount","Valid")</f>
        <v>Valid</v>
      </c>
      <c r="AU565" t="str">
        <f>IF(G565&lt;E565,"Invalid Shipping Record","Valid")</f>
        <v>Valid</v>
      </c>
      <c r="AV565" t="str">
        <f>IF(OR(AL565="Cancelled",AH565="Failed"),"Exclude","Include")</f>
        <v>Exclude</v>
      </c>
      <c r="AW565" t="str">
        <f t="shared" si="196"/>
        <v>Match</v>
      </c>
      <c r="AX565" t="str">
        <f t="shared" si="197"/>
        <v>Match</v>
      </c>
    </row>
    <row r="566" spans="1:50">
      <c r="A566" t="s">
        <v>2710</v>
      </c>
      <c r="B566">
        <f t="shared" si="198"/>
        <v>1</v>
      </c>
      <c r="C566" t="str">
        <f t="shared" si="186"/>
        <v/>
      </c>
      <c r="D566" s="3" t="s">
        <v>104</v>
      </c>
      <c r="E566" s="7">
        <v>45606</v>
      </c>
      <c r="F566" s="3" t="s">
        <v>2711</v>
      </c>
      <c r="G566" s="7">
        <v>45610</v>
      </c>
      <c r="H566" s="7" t="str">
        <f t="shared" si="177"/>
        <v>Valid</v>
      </c>
      <c r="I566" s="9">
        <f t="shared" si="178"/>
        <v>4</v>
      </c>
      <c r="J566" s="9" t="str">
        <f t="shared" si="179"/>
        <v>Valid</v>
      </c>
      <c r="K566" t="s">
        <v>2712</v>
      </c>
      <c r="L566" t="s">
        <v>167</v>
      </c>
      <c r="M566" t="s">
        <v>167</v>
      </c>
      <c r="N566" t="s">
        <v>107</v>
      </c>
      <c r="O566" s="3" t="str">
        <f t="shared" si="180"/>
        <v>Corporate</v>
      </c>
      <c r="P566" t="s">
        <v>61</v>
      </c>
      <c r="Q566" s="3" t="str">
        <f t="shared" si="181"/>
        <v>South</v>
      </c>
      <c r="R566" t="s">
        <v>99</v>
      </c>
      <c r="S566" t="s">
        <v>100</v>
      </c>
      <c r="T566" t="s">
        <v>44</v>
      </c>
      <c r="U566" s="3" t="str">
        <f t="shared" si="182"/>
        <v>Furniture</v>
      </c>
      <c r="V566" t="s">
        <v>45</v>
      </c>
      <c r="W566" t="s">
        <v>2713</v>
      </c>
      <c r="X566" t="s">
        <v>55</v>
      </c>
      <c r="Y566" s="3" t="str">
        <f t="shared" si="183"/>
        <v>First Class</v>
      </c>
      <c r="Z566">
        <v>2</v>
      </c>
      <c r="AA566">
        <v>921.34</v>
      </c>
      <c r="AB566">
        <v>0.2</v>
      </c>
      <c r="AC566">
        <f t="shared" si="184"/>
        <v>0.2</v>
      </c>
      <c r="AD566" t="str">
        <f t="shared" si="187"/>
        <v>Valid</v>
      </c>
      <c r="AE566">
        <v>1474.14</v>
      </c>
      <c r="AF566">
        <v>968.46</v>
      </c>
      <c r="AG566">
        <v>505.68</v>
      </c>
      <c r="AH566" t="s">
        <v>33</v>
      </c>
      <c r="AI566" t="str">
        <f t="shared" si="188"/>
        <v>Include</v>
      </c>
      <c r="AJ566" t="str">
        <f t="shared" si="189"/>
        <v/>
      </c>
      <c r="AK566" t="s">
        <v>34</v>
      </c>
      <c r="AL566" t="str">
        <f t="shared" si="185"/>
        <v>Completed</v>
      </c>
      <c r="AM566" t="str">
        <f t="shared" si="190"/>
        <v>Include</v>
      </c>
      <c r="AN566">
        <f t="shared" si="191"/>
        <v>1474.1440000000002</v>
      </c>
      <c r="AO566">
        <f t="shared" si="192"/>
        <v>505.6840000000002</v>
      </c>
      <c r="AP566">
        <f>IF(AN566=0,0,AO566/AN566)</f>
        <v>0.34303568715132315</v>
      </c>
      <c r="AQ566" t="str">
        <f t="shared" si="193"/>
        <v>November</v>
      </c>
      <c r="AR566">
        <f t="shared" si="194"/>
        <v>2024</v>
      </c>
      <c r="AS566" t="str">
        <f t="shared" si="195"/>
        <v>Clean</v>
      </c>
      <c r="AT566" t="str">
        <f>IF(OR(AC566&lt;0,AC566&gt;0.5),"Invalid Discount","Valid")</f>
        <v>Valid</v>
      </c>
      <c r="AU566" t="str">
        <f>IF(G566&lt;E566,"Invalid Shipping Record","Valid")</f>
        <v>Valid</v>
      </c>
      <c r="AV566" t="str">
        <f>IF(OR(AL566="Cancelled",AH566="Failed"),"Exclude","Include")</f>
        <v>Include</v>
      </c>
      <c r="AW566" t="str">
        <f t="shared" si="196"/>
        <v>Match</v>
      </c>
      <c r="AX566" t="str">
        <f t="shared" si="197"/>
        <v>Match</v>
      </c>
    </row>
    <row r="567" spans="1:50">
      <c r="A567" t="s">
        <v>2714</v>
      </c>
      <c r="B567">
        <f t="shared" si="198"/>
        <v>1</v>
      </c>
      <c r="C567" t="str">
        <f t="shared" si="186"/>
        <v/>
      </c>
      <c r="D567" s="3" t="s">
        <v>2715</v>
      </c>
      <c r="E567" s="7">
        <v>45876</v>
      </c>
      <c r="F567" s="3" t="s">
        <v>239</v>
      </c>
      <c r="G567" s="7">
        <v>45882</v>
      </c>
      <c r="H567" s="7" t="str">
        <f t="shared" si="177"/>
        <v>Valid</v>
      </c>
      <c r="I567" s="9">
        <f t="shared" si="178"/>
        <v>6</v>
      </c>
      <c r="J567" s="9" t="str">
        <f t="shared" si="179"/>
        <v>Valid</v>
      </c>
      <c r="K567" t="s">
        <v>2716</v>
      </c>
      <c r="L567" t="s">
        <v>39</v>
      </c>
      <c r="M567" t="s">
        <v>39</v>
      </c>
      <c r="N567" t="s">
        <v>107</v>
      </c>
      <c r="O567" s="3" t="str">
        <f t="shared" si="180"/>
        <v>Corporate</v>
      </c>
      <c r="P567" t="s">
        <v>26</v>
      </c>
      <c r="Q567" s="3" t="str">
        <f t="shared" si="181"/>
        <v>North</v>
      </c>
      <c r="R567" t="s">
        <v>505</v>
      </c>
      <c r="S567" t="s">
        <v>506</v>
      </c>
      <c r="T567" t="s">
        <v>85</v>
      </c>
      <c r="U567" s="3" t="str">
        <f t="shared" si="182"/>
        <v>Technology</v>
      </c>
      <c r="V567" t="s">
        <v>222</v>
      </c>
      <c r="W567" t="s">
        <v>2717</v>
      </c>
      <c r="X567" t="s">
        <v>66</v>
      </c>
      <c r="Y567" s="3" t="str">
        <f t="shared" si="183"/>
        <v>Standard Class</v>
      </c>
      <c r="Z567">
        <v>6</v>
      </c>
      <c r="AA567">
        <v>1921.86</v>
      </c>
      <c r="AB567">
        <v>0.2</v>
      </c>
      <c r="AC567">
        <f t="shared" si="184"/>
        <v>0.2</v>
      </c>
      <c r="AD567" t="str">
        <f t="shared" si="187"/>
        <v>Valid</v>
      </c>
      <c r="AE567">
        <v>9224.93</v>
      </c>
      <c r="AF567">
        <v>7005.2</v>
      </c>
      <c r="AG567">
        <v>2219.73</v>
      </c>
      <c r="AH567" t="s">
        <v>123</v>
      </c>
      <c r="AI567" t="str">
        <f t="shared" si="188"/>
        <v>Exclude</v>
      </c>
      <c r="AJ567" t="str">
        <f t="shared" si="189"/>
        <v>Refunded Order</v>
      </c>
      <c r="AK567" t="s">
        <v>77</v>
      </c>
      <c r="AL567" t="str">
        <f t="shared" si="185"/>
        <v>Cancelled</v>
      </c>
      <c r="AM567" t="str">
        <f t="shared" si="190"/>
        <v>Exclude</v>
      </c>
      <c r="AN567">
        <f t="shared" si="191"/>
        <v>9224.9279999999999</v>
      </c>
      <c r="AO567">
        <f t="shared" si="192"/>
        <v>2219.7280000000001</v>
      </c>
      <c r="AP567">
        <f>IF(AN567=0,0,AO567/AN567)</f>
        <v>0.24062279944081949</v>
      </c>
      <c r="AQ567" t="str">
        <f t="shared" si="193"/>
        <v>August</v>
      </c>
      <c r="AR567">
        <f t="shared" si="194"/>
        <v>2025</v>
      </c>
      <c r="AS567" t="str">
        <f t="shared" si="195"/>
        <v>Clean</v>
      </c>
      <c r="AT567" t="str">
        <f>IF(OR(AC567&lt;0,AC567&gt;0.5),"Invalid Discount","Valid")</f>
        <v>Valid</v>
      </c>
      <c r="AU567" t="str">
        <f>IF(G567&lt;E567,"Invalid Shipping Record","Valid")</f>
        <v>Valid</v>
      </c>
      <c r="AV567" t="str">
        <f>IF(OR(AL567="Cancelled",AH567="Failed"),"Exclude","Include")</f>
        <v>Exclude</v>
      </c>
      <c r="AW567" t="str">
        <f t="shared" si="196"/>
        <v>Match</v>
      </c>
      <c r="AX567" t="str">
        <f t="shared" si="197"/>
        <v>Match</v>
      </c>
    </row>
    <row r="568" spans="1:50">
      <c r="A568" t="s">
        <v>2718</v>
      </c>
      <c r="B568">
        <f t="shared" si="198"/>
        <v>1</v>
      </c>
      <c r="C568" t="str">
        <f t="shared" si="186"/>
        <v/>
      </c>
      <c r="D568" s="3" t="s">
        <v>2437</v>
      </c>
      <c r="E568" s="7">
        <v>45515</v>
      </c>
      <c r="F568" s="3" t="s">
        <v>2719</v>
      </c>
      <c r="G568" s="7">
        <v>45523</v>
      </c>
      <c r="H568" s="7" t="str">
        <f t="shared" si="177"/>
        <v>Valid</v>
      </c>
      <c r="I568" s="9">
        <f t="shared" si="178"/>
        <v>8</v>
      </c>
      <c r="J568" s="9" t="str">
        <f t="shared" si="179"/>
        <v>Valid</v>
      </c>
      <c r="K568" t="s">
        <v>2720</v>
      </c>
      <c r="L568" t="s">
        <v>167</v>
      </c>
      <c r="M568" t="s">
        <v>167</v>
      </c>
      <c r="N568" t="s">
        <v>40</v>
      </c>
      <c r="O568" s="3" t="str">
        <f t="shared" si="180"/>
        <v>Small Business</v>
      </c>
      <c r="P568" t="s">
        <v>72</v>
      </c>
      <c r="Q568" s="3" t="str">
        <f t="shared" si="181"/>
        <v>West</v>
      </c>
      <c r="R568" t="s">
        <v>73</v>
      </c>
      <c r="S568" t="s">
        <v>74</v>
      </c>
      <c r="T568" t="s">
        <v>29</v>
      </c>
      <c r="U568" s="3" t="str">
        <f t="shared" si="182"/>
        <v>Office Supplies</v>
      </c>
      <c r="V568" t="s">
        <v>30</v>
      </c>
      <c r="W568" t="s">
        <v>2721</v>
      </c>
      <c r="X568" t="s">
        <v>47</v>
      </c>
      <c r="Y568" s="3" t="str">
        <f t="shared" si="183"/>
        <v>Same Day</v>
      </c>
      <c r="Z568">
        <v>2</v>
      </c>
      <c r="AA568">
        <v>2617.89</v>
      </c>
      <c r="AB568">
        <v>0.1</v>
      </c>
      <c r="AC568">
        <f t="shared" si="184"/>
        <v>0.1</v>
      </c>
      <c r="AD568" t="str">
        <f t="shared" si="187"/>
        <v>Valid</v>
      </c>
      <c r="AE568">
        <v>4712.2</v>
      </c>
      <c r="AF568">
        <v>3851.91</v>
      </c>
      <c r="AG568">
        <v>860.29</v>
      </c>
      <c r="AH568" t="s">
        <v>199</v>
      </c>
      <c r="AI568" t="str">
        <f t="shared" si="188"/>
        <v>Exclude</v>
      </c>
      <c r="AJ568" t="str">
        <f t="shared" si="189"/>
        <v/>
      </c>
      <c r="AK568" t="s">
        <v>124</v>
      </c>
      <c r="AL568" t="str">
        <f t="shared" si="185"/>
        <v>Returned</v>
      </c>
      <c r="AM568" t="str">
        <f t="shared" si="190"/>
        <v>Include</v>
      </c>
      <c r="AN568">
        <f t="shared" si="191"/>
        <v>4712.2020000000002</v>
      </c>
      <c r="AO568">
        <f t="shared" si="192"/>
        <v>860.29200000000037</v>
      </c>
      <c r="AP568">
        <f>IF(AN568=0,0,AO568/AN568)</f>
        <v>0.18256687637754077</v>
      </c>
      <c r="AQ568" t="str">
        <f t="shared" si="193"/>
        <v>August</v>
      </c>
      <c r="AR568">
        <f t="shared" si="194"/>
        <v>2024</v>
      </c>
      <c r="AS568" t="str">
        <f t="shared" si="195"/>
        <v>Clean</v>
      </c>
      <c r="AT568" t="str">
        <f>IF(OR(AC568&lt;0,AC568&gt;0.5),"Invalid Discount","Valid")</f>
        <v>Valid</v>
      </c>
      <c r="AU568" t="str">
        <f>IF(G568&lt;E568,"Invalid Shipping Record","Valid")</f>
        <v>Valid</v>
      </c>
      <c r="AV568" t="str">
        <f>IF(OR(AL568="Cancelled",AH568="Failed"),"Exclude","Include")</f>
        <v>Exclude</v>
      </c>
      <c r="AW568" t="str">
        <f t="shared" si="196"/>
        <v>Match</v>
      </c>
      <c r="AX568" t="str">
        <f t="shared" si="197"/>
        <v>Match</v>
      </c>
    </row>
    <row r="569" spans="1:50">
      <c r="A569" t="s">
        <v>2722</v>
      </c>
      <c r="B569">
        <f t="shared" si="198"/>
        <v>1</v>
      </c>
      <c r="C569" t="str">
        <f t="shared" si="186"/>
        <v/>
      </c>
      <c r="D569" s="3" t="s">
        <v>2723</v>
      </c>
      <c r="E569" s="7">
        <v>45328</v>
      </c>
      <c r="F569" s="3" t="s">
        <v>2724</v>
      </c>
      <c r="G569" s="7">
        <v>45332</v>
      </c>
      <c r="H569" s="7" t="str">
        <f t="shared" si="177"/>
        <v>Valid</v>
      </c>
      <c r="I569" s="9">
        <f t="shared" si="178"/>
        <v>4</v>
      </c>
      <c r="J569" s="9" t="str">
        <f t="shared" si="179"/>
        <v>Valid</v>
      </c>
      <c r="K569" t="s">
        <v>2725</v>
      </c>
      <c r="L569" t="s">
        <v>60</v>
      </c>
      <c r="M569" t="s">
        <v>60</v>
      </c>
      <c r="N569" t="s">
        <v>114</v>
      </c>
      <c r="O569" s="3" t="str">
        <f t="shared" si="180"/>
        <v>Home Office</v>
      </c>
      <c r="P569" t="s">
        <v>26</v>
      </c>
      <c r="Q569" s="3" t="str">
        <f t="shared" si="181"/>
        <v>North</v>
      </c>
      <c r="R569" t="s">
        <v>173</v>
      </c>
      <c r="S569" t="s">
        <v>174</v>
      </c>
      <c r="T569" t="s">
        <v>44</v>
      </c>
      <c r="U569" s="3" t="str">
        <f t="shared" si="182"/>
        <v>Furniture</v>
      </c>
      <c r="V569" t="s">
        <v>64</v>
      </c>
      <c r="W569" t="s">
        <v>899</v>
      </c>
      <c r="X569" t="s">
        <v>47</v>
      </c>
      <c r="Y569" s="3" t="str">
        <f t="shared" si="183"/>
        <v>Same Day</v>
      </c>
      <c r="Z569">
        <v>1</v>
      </c>
      <c r="AA569">
        <v>1374.06</v>
      </c>
      <c r="AB569">
        <v>0.05</v>
      </c>
      <c r="AC569">
        <f t="shared" si="184"/>
        <v>0.05</v>
      </c>
      <c r="AD569" t="str">
        <f t="shared" si="187"/>
        <v>Valid</v>
      </c>
      <c r="AE569">
        <v>1305.3599999999999</v>
      </c>
      <c r="AF569">
        <v>731.89</v>
      </c>
      <c r="AG569">
        <v>573.47</v>
      </c>
      <c r="AH569" t="s">
        <v>33</v>
      </c>
      <c r="AI569" t="str">
        <f t="shared" si="188"/>
        <v>Include</v>
      </c>
      <c r="AJ569" t="str">
        <f t="shared" si="189"/>
        <v/>
      </c>
      <c r="AK569" t="s">
        <v>34</v>
      </c>
      <c r="AL569" t="str">
        <f t="shared" si="185"/>
        <v>Completed</v>
      </c>
      <c r="AM569" t="str">
        <f t="shared" si="190"/>
        <v>Include</v>
      </c>
      <c r="AN569">
        <f t="shared" si="191"/>
        <v>1305.357</v>
      </c>
      <c r="AO569">
        <f t="shared" si="192"/>
        <v>573.46699999999998</v>
      </c>
      <c r="AP569">
        <f>IF(AN569=0,0,AO569/AN569)</f>
        <v>0.4393181328939133</v>
      </c>
      <c r="AQ569" t="str">
        <f t="shared" si="193"/>
        <v>February</v>
      </c>
      <c r="AR569">
        <f t="shared" si="194"/>
        <v>2024</v>
      </c>
      <c r="AS569" t="str">
        <f t="shared" si="195"/>
        <v>Clean</v>
      </c>
      <c r="AT569" t="str">
        <f>IF(OR(AC569&lt;0,AC569&gt;0.5),"Invalid Discount","Valid")</f>
        <v>Valid</v>
      </c>
      <c r="AU569" t="str">
        <f>IF(G569&lt;E569,"Invalid Shipping Record","Valid")</f>
        <v>Valid</v>
      </c>
      <c r="AV569" t="str">
        <f>IF(OR(AL569="Cancelled",AH569="Failed"),"Exclude","Include")</f>
        <v>Include</v>
      </c>
      <c r="AW569" t="str">
        <f t="shared" si="196"/>
        <v>Match</v>
      </c>
      <c r="AX569" t="str">
        <f t="shared" si="197"/>
        <v>Match</v>
      </c>
    </row>
    <row r="570" spans="1:50">
      <c r="A570" t="s">
        <v>2726</v>
      </c>
      <c r="B570">
        <f t="shared" si="198"/>
        <v>1</v>
      </c>
      <c r="C570" t="str">
        <f t="shared" si="186"/>
        <v/>
      </c>
      <c r="D570" s="3" t="s">
        <v>1718</v>
      </c>
      <c r="E570" s="7">
        <v>45312</v>
      </c>
      <c r="F570" s="3" t="s">
        <v>2727</v>
      </c>
      <c r="G570" s="7">
        <v>45315</v>
      </c>
      <c r="H570" s="7" t="str">
        <f t="shared" si="177"/>
        <v>Valid</v>
      </c>
      <c r="I570" s="9">
        <f t="shared" si="178"/>
        <v>3</v>
      </c>
      <c r="J570" s="9" t="str">
        <f t="shared" si="179"/>
        <v>Valid</v>
      </c>
      <c r="K570" t="s">
        <v>2728</v>
      </c>
      <c r="L570" t="s">
        <v>365</v>
      </c>
      <c r="M570" t="s">
        <v>365</v>
      </c>
      <c r="N570" t="s">
        <v>107</v>
      </c>
      <c r="O570" s="3" t="str">
        <f t="shared" si="180"/>
        <v>Corporate</v>
      </c>
      <c r="P570" t="s">
        <v>26</v>
      </c>
      <c r="Q570" s="3" t="str">
        <f t="shared" si="181"/>
        <v>North</v>
      </c>
      <c r="R570" t="s">
        <v>153</v>
      </c>
      <c r="S570" t="s">
        <v>154</v>
      </c>
      <c r="T570" t="s">
        <v>85</v>
      </c>
      <c r="U570" s="3" t="str">
        <f t="shared" si="182"/>
        <v>Technology</v>
      </c>
      <c r="V570" t="s">
        <v>381</v>
      </c>
      <c r="W570" t="s">
        <v>2729</v>
      </c>
      <c r="X570" t="s">
        <v>47</v>
      </c>
      <c r="Y570" s="3" t="str">
        <f t="shared" si="183"/>
        <v>Same Day</v>
      </c>
      <c r="Z570">
        <v>1</v>
      </c>
      <c r="AA570">
        <v>3806.3</v>
      </c>
      <c r="AB570">
        <v>0.25</v>
      </c>
      <c r="AC570">
        <f t="shared" si="184"/>
        <v>0.25</v>
      </c>
      <c r="AD570" t="str">
        <f t="shared" si="187"/>
        <v>Valid</v>
      </c>
      <c r="AE570">
        <v>2854.73</v>
      </c>
      <c r="AF570">
        <v>1968.12</v>
      </c>
      <c r="AG570">
        <v>886.61</v>
      </c>
      <c r="AH570" t="s">
        <v>33</v>
      </c>
      <c r="AI570" t="str">
        <f t="shared" si="188"/>
        <v>Include</v>
      </c>
      <c r="AJ570" t="str">
        <f t="shared" si="189"/>
        <v/>
      </c>
      <c r="AK570" t="s">
        <v>34</v>
      </c>
      <c r="AL570" t="str">
        <f t="shared" si="185"/>
        <v>Completed</v>
      </c>
      <c r="AM570" t="str">
        <f t="shared" si="190"/>
        <v>Include</v>
      </c>
      <c r="AN570">
        <f t="shared" si="191"/>
        <v>2854.7250000000004</v>
      </c>
      <c r="AO570">
        <f t="shared" si="192"/>
        <v>886.60500000000047</v>
      </c>
      <c r="AP570">
        <f>IF(AN570=0,0,AO570/AN570)</f>
        <v>0.31057457373302172</v>
      </c>
      <c r="AQ570" t="str">
        <f t="shared" si="193"/>
        <v>January</v>
      </c>
      <c r="AR570">
        <f t="shared" si="194"/>
        <v>2024</v>
      </c>
      <c r="AS570" t="str">
        <f t="shared" si="195"/>
        <v>Clean</v>
      </c>
      <c r="AT570" t="str">
        <f>IF(OR(AC570&lt;0,AC570&gt;0.5),"Invalid Discount","Valid")</f>
        <v>Valid</v>
      </c>
      <c r="AU570" t="str">
        <f>IF(G570&lt;E570,"Invalid Shipping Record","Valid")</f>
        <v>Valid</v>
      </c>
      <c r="AV570" t="str">
        <f>IF(OR(AL570="Cancelled",AH570="Failed"),"Exclude","Include")</f>
        <v>Include</v>
      </c>
      <c r="AW570" t="str">
        <f t="shared" si="196"/>
        <v>Match</v>
      </c>
      <c r="AX570" t="str">
        <f t="shared" si="197"/>
        <v>Match</v>
      </c>
    </row>
    <row r="571" spans="1:50">
      <c r="A571" t="s">
        <v>2730</v>
      </c>
      <c r="B571">
        <f t="shared" si="198"/>
        <v>1</v>
      </c>
      <c r="C571" t="str">
        <f t="shared" si="186"/>
        <v/>
      </c>
      <c r="D571" s="3" t="s">
        <v>2731</v>
      </c>
      <c r="E571" s="7">
        <v>45908</v>
      </c>
      <c r="F571" s="3" t="s">
        <v>2732</v>
      </c>
      <c r="G571" s="7">
        <v>45910</v>
      </c>
      <c r="H571" s="7" t="str">
        <f t="shared" si="177"/>
        <v>Valid</v>
      </c>
      <c r="I571" s="9">
        <f t="shared" si="178"/>
        <v>2</v>
      </c>
      <c r="J571" s="9" t="str">
        <f t="shared" si="179"/>
        <v>Valid</v>
      </c>
      <c r="K571" t="s">
        <v>2733</v>
      </c>
      <c r="L571" t="s">
        <v>147</v>
      </c>
      <c r="M571" t="s">
        <v>147</v>
      </c>
      <c r="N571" t="s">
        <v>114</v>
      </c>
      <c r="O571" s="3" t="str">
        <f t="shared" si="180"/>
        <v>Home Office</v>
      </c>
      <c r="P571" t="s">
        <v>72</v>
      </c>
      <c r="Q571" s="3" t="str">
        <f t="shared" si="181"/>
        <v>West</v>
      </c>
      <c r="R571" t="s">
        <v>73</v>
      </c>
      <c r="S571" t="s">
        <v>74</v>
      </c>
      <c r="T571" t="s">
        <v>44</v>
      </c>
      <c r="U571" s="3" t="str">
        <f t="shared" si="182"/>
        <v>Furniture</v>
      </c>
      <c r="V571" t="s">
        <v>64</v>
      </c>
      <c r="W571" t="s">
        <v>2734</v>
      </c>
      <c r="X571" t="s">
        <v>66</v>
      </c>
      <c r="Y571" s="3" t="str">
        <f t="shared" si="183"/>
        <v>Standard Class</v>
      </c>
      <c r="Z571">
        <v>6</v>
      </c>
      <c r="AA571">
        <v>3251.17</v>
      </c>
      <c r="AB571">
        <v>0.25</v>
      </c>
      <c r="AC571">
        <f t="shared" si="184"/>
        <v>0.25</v>
      </c>
      <c r="AD571" t="str">
        <f t="shared" si="187"/>
        <v>Valid</v>
      </c>
      <c r="AE571">
        <v>14630.26</v>
      </c>
      <c r="AF571">
        <v>11906.36</v>
      </c>
      <c r="AG571">
        <v>2723.9</v>
      </c>
      <c r="AH571" t="s">
        <v>123</v>
      </c>
      <c r="AI571" t="str">
        <f t="shared" si="188"/>
        <v>Include</v>
      </c>
      <c r="AJ571" t="str">
        <f t="shared" si="189"/>
        <v>Refunded Order</v>
      </c>
      <c r="AK571" t="s">
        <v>124</v>
      </c>
      <c r="AL571" t="str">
        <f t="shared" si="185"/>
        <v>Returned</v>
      </c>
      <c r="AM571" t="str">
        <f t="shared" si="190"/>
        <v>Include</v>
      </c>
      <c r="AN571">
        <f t="shared" si="191"/>
        <v>14630.264999999999</v>
      </c>
      <c r="AO571">
        <f t="shared" si="192"/>
        <v>2723.9049999999988</v>
      </c>
      <c r="AP571">
        <f>IF(AN571=0,0,AO571/AN571)</f>
        <v>0.18618288868998606</v>
      </c>
      <c r="AQ571" t="str">
        <f t="shared" si="193"/>
        <v>September</v>
      </c>
      <c r="AR571">
        <f t="shared" si="194"/>
        <v>2025</v>
      </c>
      <c r="AS571" t="str">
        <f t="shared" si="195"/>
        <v>Clean</v>
      </c>
      <c r="AT571" t="str">
        <f>IF(OR(AC571&lt;0,AC571&gt;0.5),"Invalid Discount","Valid")</f>
        <v>Valid</v>
      </c>
      <c r="AU571" t="str">
        <f>IF(G571&lt;E571,"Invalid Shipping Record","Valid")</f>
        <v>Valid</v>
      </c>
      <c r="AV571" t="str">
        <f>IF(OR(AL571="Cancelled",AH571="Failed"),"Exclude","Include")</f>
        <v>Include</v>
      </c>
      <c r="AW571" t="str">
        <f t="shared" si="196"/>
        <v>Mismatch</v>
      </c>
      <c r="AX571" t="str">
        <f t="shared" si="197"/>
        <v>Mismatch</v>
      </c>
    </row>
    <row r="572" spans="1:50">
      <c r="A572" t="s">
        <v>2735</v>
      </c>
      <c r="B572">
        <f t="shared" si="198"/>
        <v>1</v>
      </c>
      <c r="C572" t="str">
        <f t="shared" si="186"/>
        <v/>
      </c>
      <c r="D572" s="3" t="s">
        <v>920</v>
      </c>
      <c r="E572" s="7">
        <v>45887</v>
      </c>
      <c r="F572" s="3" t="s">
        <v>697</v>
      </c>
      <c r="G572" s="7">
        <v>45891</v>
      </c>
      <c r="H572" s="7" t="str">
        <f t="shared" si="177"/>
        <v>Valid</v>
      </c>
      <c r="I572" s="9">
        <f t="shared" si="178"/>
        <v>4</v>
      </c>
      <c r="J572" s="9" t="str">
        <f t="shared" si="179"/>
        <v>Valid</v>
      </c>
      <c r="K572" t="s">
        <v>2736</v>
      </c>
      <c r="L572" t="s">
        <v>60</v>
      </c>
      <c r="M572" t="s">
        <v>60</v>
      </c>
      <c r="N572" t="s">
        <v>25</v>
      </c>
      <c r="O572" s="3" t="str">
        <f t="shared" si="180"/>
        <v>Consumer</v>
      </c>
      <c r="P572" t="s">
        <v>41</v>
      </c>
      <c r="Q572" s="3" t="str">
        <f t="shared" si="181"/>
        <v>East</v>
      </c>
      <c r="R572" t="s">
        <v>310</v>
      </c>
      <c r="S572" t="s">
        <v>311</v>
      </c>
      <c r="T572" t="s">
        <v>44</v>
      </c>
      <c r="U572" s="3" t="str">
        <f t="shared" si="182"/>
        <v>Furniture</v>
      </c>
      <c r="V572" t="s">
        <v>64</v>
      </c>
      <c r="W572" t="s">
        <v>2737</v>
      </c>
      <c r="X572" t="s">
        <v>32</v>
      </c>
      <c r="Y572" s="3" t="str">
        <f t="shared" si="183"/>
        <v>Second Class</v>
      </c>
      <c r="Z572">
        <v>3</v>
      </c>
      <c r="AA572">
        <v>3946.44</v>
      </c>
      <c r="AB572">
        <v>0.25</v>
      </c>
      <c r="AC572">
        <f t="shared" si="184"/>
        <v>0.25</v>
      </c>
      <c r="AD572" t="str">
        <f t="shared" si="187"/>
        <v>Valid</v>
      </c>
      <c r="AE572">
        <v>8879.49</v>
      </c>
      <c r="AF572">
        <v>6344.57</v>
      </c>
      <c r="AG572">
        <v>2534.92</v>
      </c>
      <c r="AH572" t="s">
        <v>199</v>
      </c>
      <c r="AI572" t="str">
        <f t="shared" si="188"/>
        <v>Exclude</v>
      </c>
      <c r="AJ572" t="str">
        <f t="shared" si="189"/>
        <v/>
      </c>
      <c r="AK572" t="s">
        <v>124</v>
      </c>
      <c r="AL572" t="str">
        <f t="shared" si="185"/>
        <v>Returned</v>
      </c>
      <c r="AM572" t="str">
        <f t="shared" si="190"/>
        <v>Include</v>
      </c>
      <c r="AN572">
        <f t="shared" si="191"/>
        <v>8879.49</v>
      </c>
      <c r="AO572">
        <f t="shared" si="192"/>
        <v>2534.92</v>
      </c>
      <c r="AP572">
        <f>IF(AN572=0,0,AO572/AN572)</f>
        <v>0.28548035979543873</v>
      </c>
      <c r="AQ572" t="str">
        <f t="shared" si="193"/>
        <v>August</v>
      </c>
      <c r="AR572">
        <f t="shared" si="194"/>
        <v>2025</v>
      </c>
      <c r="AS572" t="str">
        <f t="shared" si="195"/>
        <v>Clean</v>
      </c>
      <c r="AT572" t="str">
        <f>IF(OR(AC572&lt;0,AC572&gt;0.5),"Invalid Discount","Valid")</f>
        <v>Valid</v>
      </c>
      <c r="AU572" t="str">
        <f>IF(G572&lt;E572,"Invalid Shipping Record","Valid")</f>
        <v>Valid</v>
      </c>
      <c r="AV572" t="str">
        <f>IF(OR(AL572="Cancelled",AH572="Failed"),"Exclude","Include")</f>
        <v>Exclude</v>
      </c>
      <c r="AW572" t="str">
        <f t="shared" si="196"/>
        <v>Match</v>
      </c>
      <c r="AX572" t="str">
        <f t="shared" si="197"/>
        <v>Match</v>
      </c>
    </row>
    <row r="573" spans="1:50">
      <c r="A573" t="s">
        <v>548</v>
      </c>
      <c r="B573">
        <f t="shared" si="198"/>
        <v>2</v>
      </c>
      <c r="C573" t="str">
        <f t="shared" si="186"/>
        <v>Review Required</v>
      </c>
      <c r="D573" s="3" t="s">
        <v>549</v>
      </c>
      <c r="E573" s="7">
        <v>45893</v>
      </c>
      <c r="F573" s="3" t="s">
        <v>68</v>
      </c>
      <c r="G573" s="7">
        <v>45898</v>
      </c>
      <c r="H573" s="7" t="str">
        <f t="shared" si="177"/>
        <v>Valid</v>
      </c>
      <c r="I573" s="9">
        <f t="shared" si="178"/>
        <v>5</v>
      </c>
      <c r="J573" s="9" t="str">
        <f t="shared" si="179"/>
        <v>Valid</v>
      </c>
      <c r="K573" t="s">
        <v>550</v>
      </c>
      <c r="L573" t="s">
        <v>161</v>
      </c>
      <c r="M573" t="s">
        <v>161</v>
      </c>
      <c r="N573" t="s">
        <v>40</v>
      </c>
      <c r="O573" s="3" t="str">
        <f t="shared" si="180"/>
        <v>Small Business</v>
      </c>
      <c r="P573" t="s">
        <v>41</v>
      </c>
      <c r="Q573" s="3" t="str">
        <f t="shared" si="181"/>
        <v>East</v>
      </c>
      <c r="R573" t="s">
        <v>185</v>
      </c>
      <c r="S573" t="s">
        <v>186</v>
      </c>
      <c r="T573" t="s">
        <v>85</v>
      </c>
      <c r="U573" s="3" t="str">
        <f t="shared" si="182"/>
        <v>Technology</v>
      </c>
      <c r="V573" t="s">
        <v>93</v>
      </c>
      <c r="W573" t="s">
        <v>551</v>
      </c>
      <c r="X573" t="s">
        <v>55</v>
      </c>
      <c r="Y573" s="3" t="str">
        <f t="shared" si="183"/>
        <v>First Class</v>
      </c>
      <c r="Z573">
        <v>3</v>
      </c>
      <c r="AA573">
        <v>3703.96</v>
      </c>
      <c r="AB573">
        <v>0.15</v>
      </c>
      <c r="AC573">
        <f t="shared" si="184"/>
        <v>0.15</v>
      </c>
      <c r="AD573" t="str">
        <f t="shared" si="187"/>
        <v>Valid</v>
      </c>
      <c r="AE573">
        <v>9549.44</v>
      </c>
      <c r="AF573">
        <v>5586.28</v>
      </c>
      <c r="AG573">
        <v>3858.82</v>
      </c>
      <c r="AH573" t="s">
        <v>33</v>
      </c>
      <c r="AI573" t="str">
        <f t="shared" si="188"/>
        <v>Include</v>
      </c>
      <c r="AJ573" t="str">
        <f t="shared" si="189"/>
        <v/>
      </c>
      <c r="AK573" t="s">
        <v>124</v>
      </c>
      <c r="AL573" t="str">
        <f t="shared" si="185"/>
        <v>Returned</v>
      </c>
      <c r="AM573" t="str">
        <f t="shared" si="190"/>
        <v>Include</v>
      </c>
      <c r="AN573">
        <f t="shared" si="191"/>
        <v>9445.098</v>
      </c>
      <c r="AO573">
        <f t="shared" si="192"/>
        <v>3858.8180000000002</v>
      </c>
      <c r="AP573">
        <f>IF(AN573=0,0,AO573/AN573)</f>
        <v>0.40855245758170006</v>
      </c>
      <c r="AQ573" t="str">
        <f t="shared" si="193"/>
        <v>August</v>
      </c>
      <c r="AR573">
        <f t="shared" si="194"/>
        <v>2025</v>
      </c>
      <c r="AS573" t="str">
        <f t="shared" si="195"/>
        <v>Clean</v>
      </c>
      <c r="AT573" t="str">
        <f>IF(OR(AC573&lt;0,AC573&gt;0.5),"Invalid Discount","Valid")</f>
        <v>Valid</v>
      </c>
      <c r="AU573" t="str">
        <f>IF(G573&lt;E573,"Invalid Shipping Record","Valid")</f>
        <v>Valid</v>
      </c>
      <c r="AV573" t="str">
        <f>IF(OR(AL573="Cancelled",AH573="Failed"),"Exclude","Include")</f>
        <v>Include</v>
      </c>
      <c r="AW573" t="str">
        <f t="shared" si="196"/>
        <v>Mismatch</v>
      </c>
      <c r="AX573" t="str">
        <f t="shared" si="197"/>
        <v>Match</v>
      </c>
    </row>
    <row r="574" spans="1:50">
      <c r="A574" t="s">
        <v>2742</v>
      </c>
      <c r="B574">
        <f t="shared" si="198"/>
        <v>1</v>
      </c>
      <c r="C574" t="str">
        <f t="shared" si="186"/>
        <v/>
      </c>
      <c r="D574" s="3" t="s">
        <v>2743</v>
      </c>
      <c r="E574" s="7">
        <v>45293</v>
      </c>
      <c r="F574" s="3" t="s">
        <v>2744</v>
      </c>
      <c r="G574" s="7">
        <v>45300</v>
      </c>
      <c r="H574" s="7" t="str">
        <f t="shared" si="177"/>
        <v>Valid</v>
      </c>
      <c r="I574" s="9">
        <f t="shared" si="178"/>
        <v>7</v>
      </c>
      <c r="J574" s="9" t="str">
        <f t="shared" si="179"/>
        <v>Valid</v>
      </c>
      <c r="K574" t="s">
        <v>2745</v>
      </c>
      <c r="L574" t="s">
        <v>209</v>
      </c>
      <c r="M574" t="s">
        <v>209</v>
      </c>
      <c r="N574" t="s">
        <v>107</v>
      </c>
      <c r="O574" s="3" t="str">
        <f t="shared" si="180"/>
        <v>Corporate</v>
      </c>
      <c r="P574" t="s">
        <v>26</v>
      </c>
      <c r="Q574" s="3" t="str">
        <f t="shared" si="181"/>
        <v>North</v>
      </c>
      <c r="R574" t="s">
        <v>505</v>
      </c>
      <c r="S574" t="s">
        <v>506</v>
      </c>
      <c r="T574" t="s">
        <v>85</v>
      </c>
      <c r="U574" s="3" t="str">
        <f t="shared" si="182"/>
        <v>Technology</v>
      </c>
      <c r="V574" t="s">
        <v>222</v>
      </c>
      <c r="W574" t="s">
        <v>2746</v>
      </c>
      <c r="X574" t="s">
        <v>66</v>
      </c>
      <c r="Y574" s="3" t="str">
        <f t="shared" si="183"/>
        <v>Standard Class</v>
      </c>
      <c r="Z574">
        <v>3</v>
      </c>
      <c r="AA574">
        <v>739.56</v>
      </c>
      <c r="AB574">
        <v>0.2</v>
      </c>
      <c r="AC574">
        <f t="shared" si="184"/>
        <v>0.2</v>
      </c>
      <c r="AD574" t="str">
        <f t="shared" si="187"/>
        <v>Valid</v>
      </c>
      <c r="AE574">
        <v>1774.94</v>
      </c>
      <c r="AF574">
        <v>1007.4</v>
      </c>
      <c r="AG574">
        <v>767.54</v>
      </c>
      <c r="AH574" t="s">
        <v>33</v>
      </c>
      <c r="AI574" t="str">
        <f t="shared" si="188"/>
        <v>Include</v>
      </c>
      <c r="AJ574" t="str">
        <f t="shared" si="189"/>
        <v/>
      </c>
      <c r="AK574" t="s">
        <v>34</v>
      </c>
      <c r="AL574" t="str">
        <f t="shared" si="185"/>
        <v>Completed</v>
      </c>
      <c r="AM574" t="str">
        <f t="shared" si="190"/>
        <v>Include</v>
      </c>
      <c r="AN574">
        <f t="shared" si="191"/>
        <v>1774.944</v>
      </c>
      <c r="AO574">
        <f t="shared" si="192"/>
        <v>767.54399999999998</v>
      </c>
      <c r="AP574">
        <f>IF(AN574=0,0,AO574/AN574)</f>
        <v>0.43243279787982042</v>
      </c>
      <c r="AQ574" t="str">
        <f t="shared" si="193"/>
        <v>January</v>
      </c>
      <c r="AR574">
        <f t="shared" si="194"/>
        <v>2024</v>
      </c>
      <c r="AS574" t="str">
        <f t="shared" si="195"/>
        <v>Clean</v>
      </c>
      <c r="AT574" t="str">
        <f>IF(OR(AC574&lt;0,AC574&gt;0.5),"Invalid Discount","Valid")</f>
        <v>Valid</v>
      </c>
      <c r="AU574" t="str">
        <f>IF(G574&lt;E574,"Invalid Shipping Record","Valid")</f>
        <v>Valid</v>
      </c>
      <c r="AV574" t="str">
        <f>IF(OR(AL574="Cancelled",AH574="Failed"),"Exclude","Include")</f>
        <v>Include</v>
      </c>
      <c r="AW574" t="str">
        <f t="shared" si="196"/>
        <v>Match</v>
      </c>
      <c r="AX574" t="str">
        <f t="shared" si="197"/>
        <v>Match</v>
      </c>
    </row>
    <row r="575" spans="1:50">
      <c r="A575" t="s">
        <v>2747</v>
      </c>
      <c r="B575">
        <f t="shared" si="198"/>
        <v>1</v>
      </c>
      <c r="C575" t="str">
        <f t="shared" si="186"/>
        <v/>
      </c>
      <c r="D575" s="3" t="s">
        <v>2748</v>
      </c>
      <c r="E575" s="7">
        <v>45922</v>
      </c>
      <c r="F575" s="3" t="s">
        <v>2749</v>
      </c>
      <c r="G575" s="7">
        <v>45926</v>
      </c>
      <c r="H575" s="7" t="str">
        <f t="shared" si="177"/>
        <v>Valid</v>
      </c>
      <c r="I575" s="9">
        <f t="shared" si="178"/>
        <v>4</v>
      </c>
      <c r="J575" s="9" t="str">
        <f t="shared" si="179"/>
        <v>Valid</v>
      </c>
      <c r="K575" t="s">
        <v>2750</v>
      </c>
      <c r="L575" t="s">
        <v>52</v>
      </c>
      <c r="M575" t="s">
        <v>52</v>
      </c>
      <c r="N575" t="s">
        <v>25</v>
      </c>
      <c r="O575" s="3" t="str">
        <f t="shared" si="180"/>
        <v>Consumer</v>
      </c>
      <c r="P575" t="s">
        <v>61</v>
      </c>
      <c r="Q575" s="3" t="str">
        <f t="shared" si="181"/>
        <v>South</v>
      </c>
      <c r="R575" t="s">
        <v>99</v>
      </c>
      <c r="S575" t="s">
        <v>100</v>
      </c>
      <c r="T575" t="s">
        <v>85</v>
      </c>
      <c r="U575" s="3" t="str">
        <f t="shared" si="182"/>
        <v>Technology</v>
      </c>
      <c r="V575" t="s">
        <v>222</v>
      </c>
      <c r="W575" t="s">
        <v>2751</v>
      </c>
      <c r="X575" t="s">
        <v>66</v>
      </c>
      <c r="Y575" s="3" t="str">
        <f t="shared" si="183"/>
        <v>Standard Class</v>
      </c>
      <c r="Z575">
        <v>1</v>
      </c>
      <c r="AA575">
        <v>573.65</v>
      </c>
      <c r="AB575">
        <v>0</v>
      </c>
      <c r="AC575">
        <f t="shared" si="184"/>
        <v>0</v>
      </c>
      <c r="AD575" t="str">
        <f t="shared" si="187"/>
        <v>Valid</v>
      </c>
      <c r="AE575">
        <v>573.65</v>
      </c>
      <c r="AF575">
        <v>322.67</v>
      </c>
      <c r="AG575">
        <v>250.98</v>
      </c>
      <c r="AH575" t="s">
        <v>33</v>
      </c>
      <c r="AI575" t="str">
        <f t="shared" si="188"/>
        <v>Include</v>
      </c>
      <c r="AJ575" t="str">
        <f t="shared" si="189"/>
        <v/>
      </c>
      <c r="AK575" t="s">
        <v>34</v>
      </c>
      <c r="AL575" t="str">
        <f t="shared" si="185"/>
        <v>Completed</v>
      </c>
      <c r="AM575" t="str">
        <f t="shared" si="190"/>
        <v>Include</v>
      </c>
      <c r="AN575">
        <f t="shared" si="191"/>
        <v>573.65</v>
      </c>
      <c r="AO575">
        <f t="shared" si="192"/>
        <v>250.97999999999996</v>
      </c>
      <c r="AP575">
        <f>IF(AN575=0,0,AO575/AN575)</f>
        <v>0.43751416368866031</v>
      </c>
      <c r="AQ575" t="str">
        <f t="shared" si="193"/>
        <v>September</v>
      </c>
      <c r="AR575">
        <f t="shared" si="194"/>
        <v>2025</v>
      </c>
      <c r="AS575" t="str">
        <f t="shared" si="195"/>
        <v>Clean</v>
      </c>
      <c r="AT575" t="str">
        <f>IF(OR(AC575&lt;0,AC575&gt;0.5),"Invalid Discount","Valid")</f>
        <v>Valid</v>
      </c>
      <c r="AU575" t="str">
        <f>IF(G575&lt;E575,"Invalid Shipping Record","Valid")</f>
        <v>Valid</v>
      </c>
      <c r="AV575" t="str">
        <f>IF(OR(AL575="Cancelled",AH575="Failed"),"Exclude","Include")</f>
        <v>Include</v>
      </c>
      <c r="AW575" t="str">
        <f t="shared" si="196"/>
        <v>Match</v>
      </c>
      <c r="AX575" t="str">
        <f t="shared" si="197"/>
        <v>Match</v>
      </c>
    </row>
    <row r="576" spans="1:50">
      <c r="A576" t="s">
        <v>2752</v>
      </c>
      <c r="B576">
        <f t="shared" si="198"/>
        <v>1</v>
      </c>
      <c r="C576" t="str">
        <f t="shared" si="186"/>
        <v/>
      </c>
      <c r="D576" s="3" t="s">
        <v>2753</v>
      </c>
      <c r="E576" s="7">
        <v>45342</v>
      </c>
      <c r="F576" s="3" t="s">
        <v>1644</v>
      </c>
      <c r="G576" s="7">
        <v>45347</v>
      </c>
      <c r="H576" s="7" t="str">
        <f t="shared" si="177"/>
        <v>Valid</v>
      </c>
      <c r="I576" s="9">
        <f t="shared" si="178"/>
        <v>5</v>
      </c>
      <c r="J576" s="9" t="str">
        <f t="shared" si="179"/>
        <v>Valid</v>
      </c>
      <c r="K576" t="s">
        <v>1225</v>
      </c>
      <c r="L576" t="s">
        <v>209</v>
      </c>
      <c r="M576" t="s">
        <v>209</v>
      </c>
      <c r="N576" t="s">
        <v>114</v>
      </c>
      <c r="O576" s="3" t="str">
        <f t="shared" si="180"/>
        <v>Home Office</v>
      </c>
      <c r="P576" t="s">
        <v>26</v>
      </c>
      <c r="Q576" s="3" t="str">
        <f t="shared" si="181"/>
        <v>North</v>
      </c>
      <c r="R576" t="s">
        <v>153</v>
      </c>
      <c r="S576" t="s">
        <v>154</v>
      </c>
      <c r="T576" t="s">
        <v>85</v>
      </c>
      <c r="U576" s="3" t="str">
        <f t="shared" si="182"/>
        <v>Technology</v>
      </c>
      <c r="V576" t="s">
        <v>381</v>
      </c>
      <c r="W576" t="s">
        <v>2754</v>
      </c>
      <c r="X576" t="s">
        <v>66</v>
      </c>
      <c r="Y576" s="3" t="str">
        <f t="shared" si="183"/>
        <v>Standard Class</v>
      </c>
      <c r="Z576">
        <v>4</v>
      </c>
      <c r="AA576">
        <v>1355.8</v>
      </c>
      <c r="AB576">
        <v>0</v>
      </c>
      <c r="AC576">
        <f t="shared" si="184"/>
        <v>0</v>
      </c>
      <c r="AD576" t="str">
        <f t="shared" si="187"/>
        <v>Valid</v>
      </c>
      <c r="AE576">
        <v>5423.2</v>
      </c>
      <c r="AF576">
        <v>4072.44</v>
      </c>
      <c r="AG576">
        <v>1350.76</v>
      </c>
      <c r="AH576" t="s">
        <v>33</v>
      </c>
      <c r="AI576" t="str">
        <f t="shared" si="188"/>
        <v>Include</v>
      </c>
      <c r="AJ576" t="str">
        <f t="shared" si="189"/>
        <v/>
      </c>
      <c r="AK576" t="s">
        <v>34</v>
      </c>
      <c r="AL576" t="str">
        <f t="shared" si="185"/>
        <v>Completed</v>
      </c>
      <c r="AM576" t="str">
        <f t="shared" si="190"/>
        <v>Include</v>
      </c>
      <c r="AN576">
        <f t="shared" si="191"/>
        <v>5423.2</v>
      </c>
      <c r="AO576">
        <f t="shared" si="192"/>
        <v>1350.7599999999998</v>
      </c>
      <c r="AP576">
        <f>IF(AN576=0,0,AO576/AN576)</f>
        <v>0.24907065938929043</v>
      </c>
      <c r="AQ576" t="str">
        <f t="shared" si="193"/>
        <v>February</v>
      </c>
      <c r="AR576">
        <f t="shared" si="194"/>
        <v>2024</v>
      </c>
      <c r="AS576" t="str">
        <f t="shared" si="195"/>
        <v>Clean</v>
      </c>
      <c r="AT576" t="str">
        <f>IF(OR(AC576&lt;0,AC576&gt;0.5),"Invalid Discount","Valid")</f>
        <v>Valid</v>
      </c>
      <c r="AU576" t="str">
        <f>IF(G576&lt;E576,"Invalid Shipping Record","Valid")</f>
        <v>Valid</v>
      </c>
      <c r="AV576" t="str">
        <f>IF(OR(AL576="Cancelled",AH576="Failed"),"Exclude","Include")</f>
        <v>Include</v>
      </c>
      <c r="AW576" t="str">
        <f t="shared" si="196"/>
        <v>Match</v>
      </c>
      <c r="AX576" t="str">
        <f t="shared" si="197"/>
        <v>Match</v>
      </c>
    </row>
    <row r="577" spans="1:50">
      <c r="A577" t="s">
        <v>2755</v>
      </c>
      <c r="B577">
        <f t="shared" si="198"/>
        <v>1</v>
      </c>
      <c r="C577" t="str">
        <f t="shared" si="186"/>
        <v/>
      </c>
      <c r="D577" s="3" t="s">
        <v>2756</v>
      </c>
      <c r="E577" s="7">
        <v>45727</v>
      </c>
      <c r="F577" s="3" t="s">
        <v>2757</v>
      </c>
      <c r="G577" s="7">
        <v>45730</v>
      </c>
      <c r="H577" s="7" t="str">
        <f t="shared" si="177"/>
        <v>Valid</v>
      </c>
      <c r="I577" s="9">
        <f t="shared" si="178"/>
        <v>3</v>
      </c>
      <c r="J577" s="9" t="str">
        <f t="shared" si="179"/>
        <v>Valid</v>
      </c>
      <c r="K577" t="s">
        <v>2758</v>
      </c>
      <c r="L577" t="s">
        <v>167</v>
      </c>
      <c r="M577" t="s">
        <v>167</v>
      </c>
      <c r="N577" t="s">
        <v>114</v>
      </c>
      <c r="O577" s="3" t="str">
        <f t="shared" si="180"/>
        <v>Home Office</v>
      </c>
      <c r="P577" t="s">
        <v>61</v>
      </c>
      <c r="Q577" s="3" t="str">
        <f t="shared" si="181"/>
        <v>South</v>
      </c>
      <c r="R577" t="s">
        <v>241</v>
      </c>
      <c r="S577" t="s">
        <v>242</v>
      </c>
      <c r="T577" t="s">
        <v>44</v>
      </c>
      <c r="U577" s="3" t="str">
        <f t="shared" si="182"/>
        <v>Furniture</v>
      </c>
      <c r="V577" t="s">
        <v>64</v>
      </c>
      <c r="W577" t="s">
        <v>2759</v>
      </c>
      <c r="X577" t="s">
        <v>47</v>
      </c>
      <c r="Y577" s="3" t="str">
        <f t="shared" si="183"/>
        <v>Same Day</v>
      </c>
      <c r="Z577">
        <v>4</v>
      </c>
      <c r="AA577">
        <v>1244.82</v>
      </c>
      <c r="AB577">
        <v>0.2</v>
      </c>
      <c r="AC577">
        <f t="shared" si="184"/>
        <v>0.2</v>
      </c>
      <c r="AD577" t="str">
        <f t="shared" si="187"/>
        <v>Valid</v>
      </c>
      <c r="AE577">
        <v>3983.42</v>
      </c>
      <c r="AF577">
        <v>3174.91</v>
      </c>
      <c r="AG577">
        <v>808.51</v>
      </c>
      <c r="AH577" t="s">
        <v>199</v>
      </c>
      <c r="AI577" t="str">
        <f t="shared" si="188"/>
        <v>Exclude</v>
      </c>
      <c r="AJ577" t="str">
        <f t="shared" si="189"/>
        <v/>
      </c>
      <c r="AK577" t="s">
        <v>124</v>
      </c>
      <c r="AL577" t="str">
        <f t="shared" si="185"/>
        <v>Returned</v>
      </c>
      <c r="AM577" t="str">
        <f t="shared" si="190"/>
        <v>Include</v>
      </c>
      <c r="AN577">
        <f t="shared" si="191"/>
        <v>3983.424</v>
      </c>
      <c r="AO577">
        <f t="shared" si="192"/>
        <v>808.51400000000012</v>
      </c>
      <c r="AP577">
        <f>IF(AN577=0,0,AO577/AN577)</f>
        <v>0.2029696060474607</v>
      </c>
      <c r="AQ577" t="str">
        <f t="shared" si="193"/>
        <v>March</v>
      </c>
      <c r="AR577">
        <f t="shared" si="194"/>
        <v>2025</v>
      </c>
      <c r="AS577" t="str">
        <f t="shared" si="195"/>
        <v>Clean</v>
      </c>
      <c r="AT577" t="str">
        <f>IF(OR(AC577&lt;0,AC577&gt;0.5),"Invalid Discount","Valid")</f>
        <v>Valid</v>
      </c>
      <c r="AU577" t="str">
        <f>IF(G577&lt;E577,"Invalid Shipping Record","Valid")</f>
        <v>Valid</v>
      </c>
      <c r="AV577" t="str">
        <f>IF(OR(AL577="Cancelled",AH577="Failed"),"Exclude","Include")</f>
        <v>Exclude</v>
      </c>
      <c r="AW577" t="str">
        <f t="shared" si="196"/>
        <v>Match</v>
      </c>
      <c r="AX577" t="str">
        <f t="shared" si="197"/>
        <v>Match</v>
      </c>
    </row>
    <row r="578" spans="1:50">
      <c r="A578" t="s">
        <v>2760</v>
      </c>
      <c r="B578">
        <f t="shared" si="198"/>
        <v>1</v>
      </c>
      <c r="C578" t="str">
        <f t="shared" si="186"/>
        <v/>
      </c>
      <c r="D578" s="3" t="s">
        <v>2761</v>
      </c>
      <c r="E578" s="7">
        <v>45339</v>
      </c>
      <c r="F578" s="3" t="s">
        <v>2762</v>
      </c>
      <c r="G578" s="7">
        <v>45345</v>
      </c>
      <c r="H578" s="7" t="str">
        <f t="shared" ref="H578:H641" si="199">IF(G578&lt;E578,"Invalid Shipping Record","Valid")</f>
        <v>Valid</v>
      </c>
      <c r="I578" s="9">
        <f t="shared" ref="I578:I641" si="200">G578-E578</f>
        <v>6</v>
      </c>
      <c r="J578" s="9" t="str">
        <f t="shared" ref="J578:J641" si="201">IF(OR(E578="",G578=""),"Missing Date",IF(OR(NOT(ISNUMBER(E578)),NOT(ISNUMBER(G578))),"Invalid Date",IF(G578&lt;E578,"Invalid Shipping Record","Valid")))</f>
        <v>Valid</v>
      </c>
      <c r="K578" t="s">
        <v>2763</v>
      </c>
      <c r="L578" t="s">
        <v>179</v>
      </c>
      <c r="M578" t="s">
        <v>179</v>
      </c>
      <c r="N578" t="s">
        <v>114</v>
      </c>
      <c r="O578" s="3" t="str">
        <f t="shared" ref="O578:O641" si="202">PROPER(TRIM(N578))</f>
        <v>Home Office</v>
      </c>
      <c r="Q578" s="3" t="str">
        <f t="shared" ref="Q578:Q641" si="203">IF(TRIM(P578)="","Unknown",PROPER(TRIM(P578)))</f>
        <v>Unknown</v>
      </c>
      <c r="R578" t="s">
        <v>185</v>
      </c>
      <c r="S578" t="s">
        <v>186</v>
      </c>
      <c r="T578" t="s">
        <v>29</v>
      </c>
      <c r="U578" s="3" t="str">
        <f t="shared" ref="U578:U641" si="204">PROPER(TRIM(T578))</f>
        <v>Office Supplies</v>
      </c>
      <c r="V578" t="s">
        <v>197</v>
      </c>
      <c r="W578" t="s">
        <v>2764</v>
      </c>
      <c r="X578" t="s">
        <v>66</v>
      </c>
      <c r="Y578" s="3" t="str">
        <f t="shared" ref="Y578:Y641" si="205">IF(TRIM(X578)="","Unknown",PROPER(TRIM(X578)))</f>
        <v>Standard Class</v>
      </c>
      <c r="Z578">
        <v>9</v>
      </c>
      <c r="AA578">
        <v>2614.46</v>
      </c>
      <c r="AB578">
        <v>0</v>
      </c>
      <c r="AC578">
        <f t="shared" ref="AC578:AC641" si="206">IF(AND(AB578=" ",Z578=" ",AA578=" ",AF578=" "),0,AB578)</f>
        <v>0</v>
      </c>
      <c r="AD578" t="str">
        <f t="shared" si="187"/>
        <v>Valid</v>
      </c>
      <c r="AE578">
        <v>23530.14</v>
      </c>
      <c r="AF578">
        <v>19537.79</v>
      </c>
      <c r="AG578">
        <v>3992.35</v>
      </c>
      <c r="AH578" t="s">
        <v>123</v>
      </c>
      <c r="AI578" t="str">
        <f t="shared" si="188"/>
        <v>Include</v>
      </c>
      <c r="AJ578" t="str">
        <f t="shared" si="189"/>
        <v>Refunded Order</v>
      </c>
      <c r="AK578" t="s">
        <v>124</v>
      </c>
      <c r="AL578" t="str">
        <f t="shared" ref="AL578:AL641" si="207">PROPER(TRIM(AK578))</f>
        <v>Returned</v>
      </c>
      <c r="AM578" t="str">
        <f t="shared" si="190"/>
        <v>Include</v>
      </c>
      <c r="AN578">
        <f t="shared" si="191"/>
        <v>23530.14</v>
      </c>
      <c r="AO578">
        <f t="shared" si="192"/>
        <v>3992.3499999999985</v>
      </c>
      <c r="AP578">
        <f>IF(AN578=0,0,AO578/AN578)</f>
        <v>0.16966962372514566</v>
      </c>
      <c r="AQ578" t="str">
        <f t="shared" si="193"/>
        <v>February</v>
      </c>
      <c r="AR578">
        <f t="shared" si="194"/>
        <v>2024</v>
      </c>
      <c r="AS578" t="str">
        <f t="shared" si="195"/>
        <v>Warning</v>
      </c>
      <c r="AT578" t="str">
        <f>IF(OR(AC578&lt;0,AC578&gt;0.5),"Invalid Discount","Valid")</f>
        <v>Valid</v>
      </c>
      <c r="AU578" t="str">
        <f>IF(G578&lt;E578,"Invalid Shipping Record","Valid")</f>
        <v>Valid</v>
      </c>
      <c r="AV578" t="str">
        <f>IF(OR(AL578="Cancelled",AH578="Failed"),"Exclude","Include")</f>
        <v>Include</v>
      </c>
      <c r="AW578" t="str">
        <f t="shared" si="196"/>
        <v>Match</v>
      </c>
      <c r="AX578" t="str">
        <f t="shared" si="197"/>
        <v>Match</v>
      </c>
    </row>
    <row r="579" spans="1:50">
      <c r="A579" t="s">
        <v>2765</v>
      </c>
      <c r="B579">
        <f t="shared" si="198"/>
        <v>1</v>
      </c>
      <c r="C579" t="str">
        <f t="shared" ref="C579:C642" si="208">IF(B579&gt;1,"Review Required","")</f>
        <v/>
      </c>
      <c r="D579" s="3" t="s">
        <v>434</v>
      </c>
      <c r="E579" s="7">
        <v>45897</v>
      </c>
      <c r="F579" s="3" t="s">
        <v>2766</v>
      </c>
      <c r="G579" s="7">
        <v>45903</v>
      </c>
      <c r="H579" s="7" t="str">
        <f t="shared" si="199"/>
        <v>Valid</v>
      </c>
      <c r="I579" s="9">
        <f t="shared" si="200"/>
        <v>6</v>
      </c>
      <c r="J579" s="9" t="str">
        <f t="shared" si="201"/>
        <v>Valid</v>
      </c>
      <c r="K579" t="s">
        <v>2767</v>
      </c>
      <c r="L579" t="s">
        <v>141</v>
      </c>
      <c r="M579" t="s">
        <v>141</v>
      </c>
      <c r="N579" t="s">
        <v>107</v>
      </c>
      <c r="O579" s="3" t="str">
        <f t="shared" si="202"/>
        <v>Corporate</v>
      </c>
      <c r="P579" t="s">
        <v>72</v>
      </c>
      <c r="Q579" s="3" t="str">
        <f t="shared" si="203"/>
        <v>West</v>
      </c>
      <c r="R579" t="s">
        <v>83</v>
      </c>
      <c r="S579" t="s">
        <v>84</v>
      </c>
      <c r="T579" t="s">
        <v>44</v>
      </c>
      <c r="U579" s="3" t="str">
        <f t="shared" si="204"/>
        <v>Furniture</v>
      </c>
      <c r="V579" t="s">
        <v>64</v>
      </c>
      <c r="W579" t="s">
        <v>2768</v>
      </c>
      <c r="X579" t="s">
        <v>66</v>
      </c>
      <c r="Y579" s="3" t="str">
        <f t="shared" si="205"/>
        <v>Standard Class</v>
      </c>
      <c r="Z579">
        <v>7</v>
      </c>
      <c r="AA579">
        <v>268.45</v>
      </c>
      <c r="AB579">
        <v>0</v>
      </c>
      <c r="AC579">
        <f t="shared" si="206"/>
        <v>0</v>
      </c>
      <c r="AD579" t="str">
        <f t="shared" ref="AD579:AD642" si="209">IF(AC579&lt;0,"Invalid Discount","Valid")</f>
        <v>Valid</v>
      </c>
      <c r="AE579">
        <v>1879.15</v>
      </c>
      <c r="AF579">
        <v>1134.9000000000001</v>
      </c>
      <c r="AG579">
        <v>744.25</v>
      </c>
      <c r="AH579" t="s">
        <v>33</v>
      </c>
      <c r="AI579" t="str">
        <f t="shared" ref="AI579:AI642" si="210">IF(OR(AH579="Failed",AL579="Cancelled"),"Exclude","Include")</f>
        <v>Include</v>
      </c>
      <c r="AJ579" t="str">
        <f t="shared" ref="AJ579:AJ642" si="211">IF(AH579="Refunded","Refunded Order","")</f>
        <v/>
      </c>
      <c r="AK579" t="s">
        <v>34</v>
      </c>
      <c r="AL579" t="str">
        <f t="shared" si="207"/>
        <v>Completed</v>
      </c>
      <c r="AM579" t="str">
        <f t="shared" ref="AM579:AM642" si="212">IF(AL579="Cancelled","Exclude","Include")</f>
        <v>Include</v>
      </c>
      <c r="AN579">
        <f t="shared" ref="AN579:AN642" si="213">Z579*AA579*(1-AC579)</f>
        <v>1879.1499999999999</v>
      </c>
      <c r="AO579">
        <f t="shared" ref="AO579:AO642" si="214">AN579-AF579</f>
        <v>744.24999999999977</v>
      </c>
      <c r="AP579">
        <f>IF(AN579=0,0,AO579/AN579)</f>
        <v>0.39605672777585599</v>
      </c>
      <c r="AQ579" t="str">
        <f t="shared" ref="AQ579:AQ642" si="215">TEXT(E579,"mmmm")</f>
        <v>August</v>
      </c>
      <c r="AR579">
        <f t="shared" ref="AR579:AR642" si="216">YEAR(E579)</f>
        <v>2025</v>
      </c>
      <c r="AS579" t="str">
        <f t="shared" ref="AS579:AS642" si="217">IF(OR(AC579&lt;0,AC579&gt;1,G579&lt;E579),"Invalid",IF(OR(Q579="Unknown",Y579="Unknown"),"Warning","Clean"))</f>
        <v>Clean</v>
      </c>
      <c r="AT579" t="str">
        <f>IF(OR(AC579&lt;0,AC579&gt;0.5),"Invalid Discount","Valid")</f>
        <v>Valid</v>
      </c>
      <c r="AU579" t="str">
        <f>IF(G579&lt;E579,"Invalid Shipping Record","Valid")</f>
        <v>Valid</v>
      </c>
      <c r="AV579" t="str">
        <f>IF(OR(AL579="Cancelled",AH579="Failed"),"Exclude","Include")</f>
        <v>Include</v>
      </c>
      <c r="AW579" t="str">
        <f t="shared" ref="AW579:AW642" si="218">IF(ROUND(AE579,2)=ROUND(AN579,2),"Match","Mismatch")</f>
        <v>Match</v>
      </c>
      <c r="AX579" t="str">
        <f t="shared" ref="AX579:AX642" si="219">IF(ROUND(AG579,2)=ROUND(AO579,2),"Match","Mismatch")</f>
        <v>Match</v>
      </c>
    </row>
    <row r="580" spans="1:50">
      <c r="A580" t="s">
        <v>2769</v>
      </c>
      <c r="B580">
        <f t="shared" si="198"/>
        <v>1</v>
      </c>
      <c r="C580" t="str">
        <f t="shared" si="208"/>
        <v/>
      </c>
      <c r="D580" s="3" t="s">
        <v>2770</v>
      </c>
      <c r="E580" s="7">
        <v>45343</v>
      </c>
      <c r="F580" s="3" t="s">
        <v>2771</v>
      </c>
      <c r="G580" s="7">
        <v>45345</v>
      </c>
      <c r="H580" s="7" t="str">
        <f t="shared" si="199"/>
        <v>Valid</v>
      </c>
      <c r="I580" s="9">
        <f t="shared" si="200"/>
        <v>2</v>
      </c>
      <c r="J580" s="9" t="str">
        <f t="shared" si="201"/>
        <v>Valid</v>
      </c>
      <c r="K580" t="s">
        <v>416</v>
      </c>
      <c r="L580" t="s">
        <v>92</v>
      </c>
      <c r="M580" t="s">
        <v>92</v>
      </c>
      <c r="N580" t="s">
        <v>40</v>
      </c>
      <c r="O580" s="3" t="str">
        <f t="shared" si="202"/>
        <v>Small Business</v>
      </c>
      <c r="P580" t="s">
        <v>72</v>
      </c>
      <c r="Q580" s="3" t="str">
        <f t="shared" si="203"/>
        <v>West</v>
      </c>
      <c r="R580" t="s">
        <v>234</v>
      </c>
      <c r="S580" t="s">
        <v>235</v>
      </c>
      <c r="T580" t="s">
        <v>85</v>
      </c>
      <c r="U580" s="3" t="str">
        <f t="shared" si="204"/>
        <v>Technology</v>
      </c>
      <c r="V580" t="s">
        <v>93</v>
      </c>
      <c r="W580" t="s">
        <v>2772</v>
      </c>
      <c r="X580" t="s">
        <v>55</v>
      </c>
      <c r="Y580" s="3" t="str">
        <f t="shared" si="205"/>
        <v>First Class</v>
      </c>
      <c r="Z580">
        <v>6</v>
      </c>
      <c r="AA580">
        <v>2633.65</v>
      </c>
      <c r="AB580">
        <v>0.05</v>
      </c>
      <c r="AC580">
        <f t="shared" si="206"/>
        <v>0.05</v>
      </c>
      <c r="AD580" t="str">
        <f t="shared" si="209"/>
        <v>Valid</v>
      </c>
      <c r="AE580">
        <v>15011.81</v>
      </c>
      <c r="AF580">
        <v>9660.36</v>
      </c>
      <c r="AG580">
        <v>5351.45</v>
      </c>
      <c r="AH580" t="s">
        <v>33</v>
      </c>
      <c r="AI580" t="str">
        <f t="shared" si="210"/>
        <v>Include</v>
      </c>
      <c r="AJ580" t="str">
        <f t="shared" si="211"/>
        <v/>
      </c>
      <c r="AK580" t="s">
        <v>34</v>
      </c>
      <c r="AL580" t="str">
        <f t="shared" si="207"/>
        <v>Completed</v>
      </c>
      <c r="AM580" t="str">
        <f t="shared" si="212"/>
        <v>Include</v>
      </c>
      <c r="AN580">
        <f t="shared" si="213"/>
        <v>15011.805</v>
      </c>
      <c r="AO580">
        <f t="shared" si="214"/>
        <v>5351.4449999999997</v>
      </c>
      <c r="AP580">
        <f>IF(AN580=0,0,AO580/AN580)</f>
        <v>0.35648244831317749</v>
      </c>
      <c r="AQ580" t="str">
        <f t="shared" si="215"/>
        <v>February</v>
      </c>
      <c r="AR580">
        <f t="shared" si="216"/>
        <v>2024</v>
      </c>
      <c r="AS580" t="str">
        <f t="shared" si="217"/>
        <v>Clean</v>
      </c>
      <c r="AT580" t="str">
        <f>IF(OR(AC580&lt;0,AC580&gt;0.5),"Invalid Discount","Valid")</f>
        <v>Valid</v>
      </c>
      <c r="AU580" t="str">
        <f>IF(G580&lt;E580,"Invalid Shipping Record","Valid")</f>
        <v>Valid</v>
      </c>
      <c r="AV580" t="str">
        <f>IF(OR(AL580="Cancelled",AH580="Failed"),"Exclude","Include")</f>
        <v>Include</v>
      </c>
      <c r="AW580" t="str">
        <f t="shared" si="218"/>
        <v>Match</v>
      </c>
      <c r="AX580" t="str">
        <f t="shared" si="219"/>
        <v>Match</v>
      </c>
    </row>
    <row r="581" spans="1:50">
      <c r="A581" t="s">
        <v>2773</v>
      </c>
      <c r="B581">
        <f t="shared" si="198"/>
        <v>1</v>
      </c>
      <c r="C581" t="str">
        <f t="shared" si="208"/>
        <v/>
      </c>
      <c r="D581" s="3" t="s">
        <v>2774</v>
      </c>
      <c r="E581" s="7">
        <v>45462</v>
      </c>
      <c r="F581" s="3" t="s">
        <v>2775</v>
      </c>
      <c r="G581" s="7">
        <v>45467</v>
      </c>
      <c r="H581" s="7" t="str">
        <f t="shared" si="199"/>
        <v>Valid</v>
      </c>
      <c r="I581" s="9">
        <f t="shared" si="200"/>
        <v>5</v>
      </c>
      <c r="J581" s="9" t="str">
        <f t="shared" si="201"/>
        <v>Valid</v>
      </c>
      <c r="K581" t="s">
        <v>2776</v>
      </c>
      <c r="L581" t="s">
        <v>161</v>
      </c>
      <c r="M581" t="s">
        <v>161</v>
      </c>
      <c r="N581" t="s">
        <v>40</v>
      </c>
      <c r="O581" s="3" t="str">
        <f t="shared" si="202"/>
        <v>Small Business</v>
      </c>
      <c r="P581" t="s">
        <v>61</v>
      </c>
      <c r="Q581" s="3" t="str">
        <f t="shared" si="203"/>
        <v>South</v>
      </c>
      <c r="R581" t="s">
        <v>338</v>
      </c>
      <c r="S581" t="s">
        <v>339</v>
      </c>
      <c r="T581" t="s">
        <v>29</v>
      </c>
      <c r="U581" s="3" t="str">
        <f t="shared" si="204"/>
        <v>Office Supplies</v>
      </c>
      <c r="V581" t="s">
        <v>155</v>
      </c>
      <c r="W581" t="s">
        <v>2777</v>
      </c>
      <c r="X581" t="s">
        <v>47</v>
      </c>
      <c r="Y581" s="3" t="str">
        <f t="shared" si="205"/>
        <v>Same Day</v>
      </c>
      <c r="Z581">
        <v>1</v>
      </c>
      <c r="AA581">
        <v>3202.41</v>
      </c>
      <c r="AB581">
        <v>0</v>
      </c>
      <c r="AC581">
        <f t="shared" si="206"/>
        <v>0</v>
      </c>
      <c r="AD581" t="str">
        <f t="shared" si="209"/>
        <v>Valid</v>
      </c>
      <c r="AE581">
        <v>3202.41</v>
      </c>
      <c r="AF581">
        <v>2608.44</v>
      </c>
      <c r="AG581">
        <v>593.97</v>
      </c>
      <c r="AH581" t="s">
        <v>33</v>
      </c>
      <c r="AI581" t="str">
        <f t="shared" si="210"/>
        <v>Include</v>
      </c>
      <c r="AJ581" t="str">
        <f t="shared" si="211"/>
        <v/>
      </c>
      <c r="AK581" t="s">
        <v>34</v>
      </c>
      <c r="AL581" t="str">
        <f t="shared" si="207"/>
        <v>Completed</v>
      </c>
      <c r="AM581" t="str">
        <f t="shared" si="212"/>
        <v>Include</v>
      </c>
      <c r="AN581">
        <f t="shared" si="213"/>
        <v>3202.41</v>
      </c>
      <c r="AO581">
        <f t="shared" si="214"/>
        <v>593.9699999999998</v>
      </c>
      <c r="AP581">
        <f>IF(AN581=0,0,AO581/AN581)</f>
        <v>0.18547593843386695</v>
      </c>
      <c r="AQ581" t="str">
        <f t="shared" si="215"/>
        <v>June</v>
      </c>
      <c r="AR581">
        <f t="shared" si="216"/>
        <v>2024</v>
      </c>
      <c r="AS581" t="str">
        <f t="shared" si="217"/>
        <v>Clean</v>
      </c>
      <c r="AT581" t="str">
        <f>IF(OR(AC581&lt;0,AC581&gt;0.5),"Invalid Discount","Valid")</f>
        <v>Valid</v>
      </c>
      <c r="AU581" t="str">
        <f>IF(G581&lt;E581,"Invalid Shipping Record","Valid")</f>
        <v>Valid</v>
      </c>
      <c r="AV581" t="str">
        <f>IF(OR(AL581="Cancelled",AH581="Failed"),"Exclude","Include")</f>
        <v>Include</v>
      </c>
      <c r="AW581" t="str">
        <f t="shared" si="218"/>
        <v>Match</v>
      </c>
      <c r="AX581" t="str">
        <f t="shared" si="219"/>
        <v>Match</v>
      </c>
    </row>
    <row r="582" spans="1:50">
      <c r="A582" t="s">
        <v>2778</v>
      </c>
      <c r="B582">
        <f t="shared" si="198"/>
        <v>1</v>
      </c>
      <c r="C582" t="str">
        <f t="shared" si="208"/>
        <v/>
      </c>
      <c r="D582" s="3" t="s">
        <v>2779</v>
      </c>
      <c r="E582" s="7">
        <v>45722</v>
      </c>
      <c r="F582" s="3" t="s">
        <v>1458</v>
      </c>
      <c r="G582" s="7">
        <v>45729</v>
      </c>
      <c r="H582" s="7" t="str">
        <f t="shared" si="199"/>
        <v>Valid</v>
      </c>
      <c r="I582" s="9">
        <f t="shared" si="200"/>
        <v>7</v>
      </c>
      <c r="J582" s="9" t="str">
        <f t="shared" si="201"/>
        <v>Valid</v>
      </c>
      <c r="K582" t="s">
        <v>2780</v>
      </c>
      <c r="L582" t="s">
        <v>365</v>
      </c>
      <c r="M582" t="s">
        <v>365</v>
      </c>
      <c r="N582" t="s">
        <v>25</v>
      </c>
      <c r="O582" s="3" t="str">
        <f t="shared" si="202"/>
        <v>Consumer</v>
      </c>
      <c r="P582" t="s">
        <v>61</v>
      </c>
      <c r="Q582" s="3" t="str">
        <f t="shared" si="203"/>
        <v>South</v>
      </c>
      <c r="R582" t="s">
        <v>241</v>
      </c>
      <c r="S582" t="s">
        <v>242</v>
      </c>
      <c r="T582" t="s">
        <v>44</v>
      </c>
      <c r="U582" s="3" t="str">
        <f t="shared" si="204"/>
        <v>Furniture</v>
      </c>
      <c r="V582" t="s">
        <v>75</v>
      </c>
      <c r="W582" t="s">
        <v>2781</v>
      </c>
      <c r="X582" t="s">
        <v>66</v>
      </c>
      <c r="Y582" s="3" t="str">
        <f t="shared" si="205"/>
        <v>Standard Class</v>
      </c>
      <c r="Z582">
        <v>3</v>
      </c>
      <c r="AA582">
        <v>163.72</v>
      </c>
      <c r="AB582">
        <v>0.15</v>
      </c>
      <c r="AC582">
        <f t="shared" si="206"/>
        <v>0.15</v>
      </c>
      <c r="AD582" t="str">
        <f t="shared" si="209"/>
        <v>Valid</v>
      </c>
      <c r="AE582">
        <v>417.49</v>
      </c>
      <c r="AF582">
        <v>261.67</v>
      </c>
      <c r="AG582">
        <v>155.82</v>
      </c>
      <c r="AH582" t="s">
        <v>199</v>
      </c>
      <c r="AI582" t="str">
        <f t="shared" si="210"/>
        <v>Exclude</v>
      </c>
      <c r="AJ582" t="str">
        <f t="shared" si="211"/>
        <v/>
      </c>
      <c r="AK582" t="s">
        <v>124</v>
      </c>
      <c r="AL582" t="str">
        <f t="shared" si="207"/>
        <v>Returned</v>
      </c>
      <c r="AM582" t="str">
        <f t="shared" si="212"/>
        <v>Include</v>
      </c>
      <c r="AN582">
        <f t="shared" si="213"/>
        <v>417.48599999999999</v>
      </c>
      <c r="AO582">
        <f t="shared" si="214"/>
        <v>155.81599999999997</v>
      </c>
      <c r="AP582">
        <f>IF(AN582=0,0,AO582/AN582)</f>
        <v>0.37322449136018926</v>
      </c>
      <c r="AQ582" t="str">
        <f t="shared" si="215"/>
        <v>March</v>
      </c>
      <c r="AR582">
        <f t="shared" si="216"/>
        <v>2025</v>
      </c>
      <c r="AS582" t="str">
        <f t="shared" si="217"/>
        <v>Clean</v>
      </c>
      <c r="AT582" t="str">
        <f>IF(OR(AC582&lt;0,AC582&gt;0.5),"Invalid Discount","Valid")</f>
        <v>Valid</v>
      </c>
      <c r="AU582" t="str">
        <f>IF(G582&lt;E582,"Invalid Shipping Record","Valid")</f>
        <v>Valid</v>
      </c>
      <c r="AV582" t="str">
        <f>IF(OR(AL582="Cancelled",AH582="Failed"),"Exclude","Include")</f>
        <v>Exclude</v>
      </c>
      <c r="AW582" t="str">
        <f t="shared" si="218"/>
        <v>Match</v>
      </c>
      <c r="AX582" t="str">
        <f t="shared" si="219"/>
        <v>Match</v>
      </c>
    </row>
    <row r="583" spans="1:50">
      <c r="A583" t="s">
        <v>2782</v>
      </c>
      <c r="B583">
        <f t="shared" si="198"/>
        <v>1</v>
      </c>
      <c r="C583" t="str">
        <f t="shared" si="208"/>
        <v/>
      </c>
      <c r="D583" s="3" t="s">
        <v>1342</v>
      </c>
      <c r="E583" s="7">
        <v>45878</v>
      </c>
      <c r="F583" s="3" t="s">
        <v>2783</v>
      </c>
      <c r="G583" s="7">
        <v>45879</v>
      </c>
      <c r="H583" s="7" t="str">
        <f t="shared" si="199"/>
        <v>Valid</v>
      </c>
      <c r="I583" s="9">
        <f t="shared" si="200"/>
        <v>1</v>
      </c>
      <c r="J583" s="9" t="str">
        <f t="shared" si="201"/>
        <v>Valid</v>
      </c>
      <c r="K583" t="s">
        <v>2784</v>
      </c>
      <c r="L583" t="s">
        <v>92</v>
      </c>
      <c r="M583" t="s">
        <v>92</v>
      </c>
      <c r="N583" t="s">
        <v>25</v>
      </c>
      <c r="O583" s="3" t="str">
        <f t="shared" si="202"/>
        <v>Consumer</v>
      </c>
      <c r="P583" t="s">
        <v>26</v>
      </c>
      <c r="Q583" s="3" t="str">
        <f t="shared" si="203"/>
        <v>North</v>
      </c>
      <c r="R583" t="s">
        <v>505</v>
      </c>
      <c r="S583" t="s">
        <v>506</v>
      </c>
      <c r="T583" t="s">
        <v>29</v>
      </c>
      <c r="U583" s="3" t="str">
        <f t="shared" si="204"/>
        <v>Office Supplies</v>
      </c>
      <c r="V583" t="s">
        <v>53</v>
      </c>
      <c r="W583" t="s">
        <v>2785</v>
      </c>
      <c r="X583" t="s">
        <v>32</v>
      </c>
      <c r="Y583" s="3" t="str">
        <f t="shared" si="205"/>
        <v>Second Class</v>
      </c>
      <c r="Z583">
        <v>4</v>
      </c>
      <c r="AA583">
        <v>4080.95</v>
      </c>
      <c r="AB583">
        <v>0</v>
      </c>
      <c r="AC583">
        <f t="shared" si="206"/>
        <v>0</v>
      </c>
      <c r="AD583" t="str">
        <f t="shared" si="209"/>
        <v>Valid</v>
      </c>
      <c r="AE583">
        <v>16323.8</v>
      </c>
      <c r="AF583">
        <v>9965.7900000000009</v>
      </c>
      <c r="AG583">
        <v>6358.01</v>
      </c>
      <c r="AH583" t="s">
        <v>123</v>
      </c>
      <c r="AI583" t="str">
        <f t="shared" si="210"/>
        <v>Include</v>
      </c>
      <c r="AJ583" t="str">
        <f t="shared" si="211"/>
        <v>Refunded Order</v>
      </c>
      <c r="AK583" t="s">
        <v>124</v>
      </c>
      <c r="AL583" t="str">
        <f t="shared" si="207"/>
        <v>Returned</v>
      </c>
      <c r="AM583" t="str">
        <f t="shared" si="212"/>
        <v>Include</v>
      </c>
      <c r="AN583">
        <f t="shared" si="213"/>
        <v>16323.8</v>
      </c>
      <c r="AO583">
        <f t="shared" si="214"/>
        <v>6358.0099999999984</v>
      </c>
      <c r="AP583">
        <f>IF(AN583=0,0,AO583/AN583)</f>
        <v>0.38949325524693995</v>
      </c>
      <c r="AQ583" t="str">
        <f t="shared" si="215"/>
        <v>August</v>
      </c>
      <c r="AR583">
        <f t="shared" si="216"/>
        <v>2025</v>
      </c>
      <c r="AS583" t="str">
        <f t="shared" si="217"/>
        <v>Clean</v>
      </c>
      <c r="AT583" t="str">
        <f>IF(OR(AC583&lt;0,AC583&gt;0.5),"Invalid Discount","Valid")</f>
        <v>Valid</v>
      </c>
      <c r="AU583" t="str">
        <f>IF(G583&lt;E583,"Invalid Shipping Record","Valid")</f>
        <v>Valid</v>
      </c>
      <c r="AV583" t="str">
        <f>IF(OR(AL583="Cancelled",AH583="Failed"),"Exclude","Include")</f>
        <v>Include</v>
      </c>
      <c r="AW583" t="str">
        <f t="shared" si="218"/>
        <v>Match</v>
      </c>
      <c r="AX583" t="str">
        <f t="shared" si="219"/>
        <v>Match</v>
      </c>
    </row>
    <row r="584" spans="1:50">
      <c r="A584" t="s">
        <v>2786</v>
      </c>
      <c r="B584">
        <f t="shared" si="198"/>
        <v>1</v>
      </c>
      <c r="C584" t="str">
        <f t="shared" si="208"/>
        <v/>
      </c>
      <c r="D584" s="3" t="s">
        <v>2787</v>
      </c>
      <c r="E584" s="7">
        <v>45580</v>
      </c>
      <c r="F584" s="3" t="s">
        <v>2788</v>
      </c>
      <c r="G584" s="7">
        <v>45585</v>
      </c>
      <c r="H584" s="7" t="str">
        <f t="shared" si="199"/>
        <v>Valid</v>
      </c>
      <c r="I584" s="9">
        <f t="shared" si="200"/>
        <v>5</v>
      </c>
      <c r="J584" s="9" t="str">
        <f t="shared" si="201"/>
        <v>Valid</v>
      </c>
      <c r="K584" t="s">
        <v>2789</v>
      </c>
      <c r="L584" t="s">
        <v>71</v>
      </c>
      <c r="M584" t="s">
        <v>71</v>
      </c>
      <c r="N584" t="s">
        <v>25</v>
      </c>
      <c r="O584" s="3" t="str">
        <f t="shared" si="202"/>
        <v>Consumer</v>
      </c>
      <c r="P584" t="s">
        <v>41</v>
      </c>
      <c r="Q584" s="3" t="str">
        <f t="shared" si="203"/>
        <v>East</v>
      </c>
      <c r="R584" t="s">
        <v>42</v>
      </c>
      <c r="S584" t="s">
        <v>43</v>
      </c>
      <c r="T584" t="s">
        <v>29</v>
      </c>
      <c r="U584" s="3" t="str">
        <f t="shared" si="204"/>
        <v>Office Supplies</v>
      </c>
      <c r="V584" t="s">
        <v>53</v>
      </c>
      <c r="W584" t="s">
        <v>2790</v>
      </c>
      <c r="X584" t="s">
        <v>55</v>
      </c>
      <c r="Y584" s="3" t="str">
        <f t="shared" si="205"/>
        <v>First Class</v>
      </c>
      <c r="Z584">
        <v>5</v>
      </c>
      <c r="AA584">
        <v>671.24</v>
      </c>
      <c r="AB584">
        <v>0</v>
      </c>
      <c r="AC584">
        <f t="shared" si="206"/>
        <v>0</v>
      </c>
      <c r="AD584" t="str">
        <f t="shared" si="209"/>
        <v>Valid</v>
      </c>
      <c r="AE584">
        <v>3356.2</v>
      </c>
      <c r="AF584">
        <v>2205.7199999999998</v>
      </c>
      <c r="AG584">
        <v>1150.48</v>
      </c>
      <c r="AH584" t="s">
        <v>136</v>
      </c>
      <c r="AI584" t="str">
        <f t="shared" si="210"/>
        <v>Include</v>
      </c>
      <c r="AJ584" t="str">
        <f t="shared" si="211"/>
        <v/>
      </c>
      <c r="AK584" t="s">
        <v>124</v>
      </c>
      <c r="AL584" t="str">
        <f t="shared" si="207"/>
        <v>Returned</v>
      </c>
      <c r="AM584" t="str">
        <f t="shared" si="212"/>
        <v>Include</v>
      </c>
      <c r="AN584">
        <f t="shared" si="213"/>
        <v>3356.2</v>
      </c>
      <c r="AO584">
        <f t="shared" si="214"/>
        <v>1150.48</v>
      </c>
      <c r="AP584">
        <f>IF(AN584=0,0,AO584/AN584)</f>
        <v>0.34279244383528995</v>
      </c>
      <c r="AQ584" t="str">
        <f t="shared" si="215"/>
        <v>October</v>
      </c>
      <c r="AR584">
        <f t="shared" si="216"/>
        <v>2024</v>
      </c>
      <c r="AS584" t="str">
        <f t="shared" si="217"/>
        <v>Clean</v>
      </c>
      <c r="AT584" t="str">
        <f>IF(OR(AC584&lt;0,AC584&gt;0.5),"Invalid Discount","Valid")</f>
        <v>Valid</v>
      </c>
      <c r="AU584" t="str">
        <f>IF(G584&lt;E584,"Invalid Shipping Record","Valid")</f>
        <v>Valid</v>
      </c>
      <c r="AV584" t="str">
        <f>IF(OR(AL584="Cancelled",AH584="Failed"),"Exclude","Include")</f>
        <v>Include</v>
      </c>
      <c r="AW584" t="str">
        <f t="shared" si="218"/>
        <v>Match</v>
      </c>
      <c r="AX584" t="str">
        <f t="shared" si="219"/>
        <v>Match</v>
      </c>
    </row>
    <row r="585" spans="1:50">
      <c r="A585" t="s">
        <v>2791</v>
      </c>
      <c r="B585">
        <f t="shared" si="198"/>
        <v>1</v>
      </c>
      <c r="C585" t="str">
        <f t="shared" si="208"/>
        <v/>
      </c>
      <c r="D585" s="3" t="s">
        <v>625</v>
      </c>
      <c r="E585" s="7">
        <v>45350</v>
      </c>
      <c r="F585" s="3" t="s">
        <v>2792</v>
      </c>
      <c r="G585" s="7">
        <v>45350</v>
      </c>
      <c r="H585" s="7" t="str">
        <f t="shared" si="199"/>
        <v>Valid</v>
      </c>
      <c r="I585" s="9">
        <f t="shared" si="200"/>
        <v>0</v>
      </c>
      <c r="J585" s="9" t="str">
        <f t="shared" si="201"/>
        <v>Valid</v>
      </c>
      <c r="K585" t="s">
        <v>2793</v>
      </c>
      <c r="L585" t="s">
        <v>179</v>
      </c>
      <c r="M585" t="s">
        <v>179</v>
      </c>
      <c r="N585" t="s">
        <v>40</v>
      </c>
      <c r="O585" s="3" t="str">
        <f t="shared" si="202"/>
        <v>Small Business</v>
      </c>
      <c r="P585" t="s">
        <v>41</v>
      </c>
      <c r="Q585" s="3" t="str">
        <f t="shared" si="203"/>
        <v>East</v>
      </c>
      <c r="R585" t="s">
        <v>120</v>
      </c>
      <c r="S585" t="s">
        <v>121</v>
      </c>
      <c r="T585" t="s">
        <v>29</v>
      </c>
      <c r="U585" s="3" t="str">
        <f t="shared" si="204"/>
        <v>Office Supplies</v>
      </c>
      <c r="V585" t="s">
        <v>155</v>
      </c>
      <c r="W585" t="s">
        <v>2794</v>
      </c>
      <c r="X585" t="s">
        <v>55</v>
      </c>
      <c r="Y585" s="3" t="str">
        <f t="shared" si="205"/>
        <v>First Class</v>
      </c>
      <c r="Z585">
        <v>1</v>
      </c>
      <c r="AA585">
        <v>2626.84</v>
      </c>
      <c r="AB585">
        <v>0.2</v>
      </c>
      <c r="AC585">
        <f t="shared" si="206"/>
        <v>0.2</v>
      </c>
      <c r="AD585" t="str">
        <f t="shared" si="209"/>
        <v>Valid</v>
      </c>
      <c r="AE585">
        <v>2101.4699999999998</v>
      </c>
      <c r="AF585">
        <v>1217.83</v>
      </c>
      <c r="AG585">
        <v>883.64</v>
      </c>
      <c r="AH585" t="s">
        <v>199</v>
      </c>
      <c r="AI585" t="str">
        <f t="shared" si="210"/>
        <v>Exclude</v>
      </c>
      <c r="AJ585" t="str">
        <f t="shared" si="211"/>
        <v/>
      </c>
      <c r="AK585" t="s">
        <v>124</v>
      </c>
      <c r="AL585" t="str">
        <f t="shared" si="207"/>
        <v>Returned</v>
      </c>
      <c r="AM585" t="str">
        <f t="shared" si="212"/>
        <v>Include</v>
      </c>
      <c r="AN585">
        <f t="shared" si="213"/>
        <v>2101.4720000000002</v>
      </c>
      <c r="AO585">
        <f t="shared" si="214"/>
        <v>883.64200000000028</v>
      </c>
      <c r="AP585">
        <f>IF(AN585=0,0,AO585/AN585)</f>
        <v>0.42048716328364127</v>
      </c>
      <c r="AQ585" t="str">
        <f t="shared" si="215"/>
        <v>February</v>
      </c>
      <c r="AR585">
        <f t="shared" si="216"/>
        <v>2024</v>
      </c>
      <c r="AS585" t="str">
        <f t="shared" si="217"/>
        <v>Clean</v>
      </c>
      <c r="AT585" t="str">
        <f>IF(OR(AC585&lt;0,AC585&gt;0.5),"Invalid Discount","Valid")</f>
        <v>Valid</v>
      </c>
      <c r="AU585" t="str">
        <f>IF(G585&lt;E585,"Invalid Shipping Record","Valid")</f>
        <v>Valid</v>
      </c>
      <c r="AV585" t="str">
        <f>IF(OR(AL585="Cancelled",AH585="Failed"),"Exclude","Include")</f>
        <v>Exclude</v>
      </c>
      <c r="AW585" t="str">
        <f t="shared" si="218"/>
        <v>Match</v>
      </c>
      <c r="AX585" t="str">
        <f t="shared" si="219"/>
        <v>Match</v>
      </c>
    </row>
    <row r="586" spans="1:50">
      <c r="A586" t="s">
        <v>2795</v>
      </c>
      <c r="B586">
        <f t="shared" si="198"/>
        <v>1</v>
      </c>
      <c r="C586" t="str">
        <f t="shared" si="208"/>
        <v/>
      </c>
      <c r="D586" s="3" t="s">
        <v>2796</v>
      </c>
      <c r="E586" s="7">
        <v>45508</v>
      </c>
      <c r="F586" s="3" t="s">
        <v>2797</v>
      </c>
      <c r="G586" s="7">
        <v>45514</v>
      </c>
      <c r="H586" s="7" t="str">
        <f t="shared" si="199"/>
        <v>Valid</v>
      </c>
      <c r="I586" s="9">
        <f t="shared" si="200"/>
        <v>6</v>
      </c>
      <c r="J586" s="9" t="str">
        <f t="shared" si="201"/>
        <v>Valid</v>
      </c>
      <c r="K586" t="s">
        <v>2798</v>
      </c>
      <c r="L586" t="s">
        <v>82</v>
      </c>
      <c r="M586" t="s">
        <v>82</v>
      </c>
      <c r="N586" t="s">
        <v>25</v>
      </c>
      <c r="O586" s="3" t="str">
        <f t="shared" si="202"/>
        <v>Consumer</v>
      </c>
      <c r="P586" t="s">
        <v>41</v>
      </c>
      <c r="Q586" s="3" t="str">
        <f t="shared" si="203"/>
        <v>East</v>
      </c>
      <c r="R586" t="s">
        <v>185</v>
      </c>
      <c r="S586" t="s">
        <v>186</v>
      </c>
      <c r="T586" t="s">
        <v>29</v>
      </c>
      <c r="U586" s="3" t="str">
        <f t="shared" si="204"/>
        <v>Office Supplies</v>
      </c>
      <c r="V586" t="s">
        <v>53</v>
      </c>
      <c r="W586" t="s">
        <v>2799</v>
      </c>
      <c r="X586" t="s">
        <v>47</v>
      </c>
      <c r="Y586" s="3" t="str">
        <f t="shared" si="205"/>
        <v>Same Day</v>
      </c>
      <c r="Z586">
        <v>1</v>
      </c>
      <c r="AA586">
        <v>984.93</v>
      </c>
      <c r="AB586">
        <v>0.15</v>
      </c>
      <c r="AC586">
        <f t="shared" si="206"/>
        <v>0.15</v>
      </c>
      <c r="AD586" t="str">
        <f t="shared" si="209"/>
        <v>Valid</v>
      </c>
      <c r="AE586">
        <v>837.19</v>
      </c>
      <c r="AF586">
        <v>583.79</v>
      </c>
      <c r="AG586">
        <v>253.4</v>
      </c>
      <c r="AH586" t="s">
        <v>136</v>
      </c>
      <c r="AI586" t="str">
        <f t="shared" si="210"/>
        <v>Include</v>
      </c>
      <c r="AJ586" t="str">
        <f t="shared" si="211"/>
        <v/>
      </c>
      <c r="AK586" t="s">
        <v>124</v>
      </c>
      <c r="AL586" t="str">
        <f t="shared" si="207"/>
        <v>Returned</v>
      </c>
      <c r="AM586" t="str">
        <f t="shared" si="212"/>
        <v>Include</v>
      </c>
      <c r="AN586">
        <f t="shared" si="213"/>
        <v>837.19049999999993</v>
      </c>
      <c r="AO586">
        <f t="shared" si="214"/>
        <v>253.40049999999997</v>
      </c>
      <c r="AP586">
        <f>IF(AN586=0,0,AO586/AN586)</f>
        <v>0.30267961712417901</v>
      </c>
      <c r="AQ586" t="str">
        <f t="shared" si="215"/>
        <v>August</v>
      </c>
      <c r="AR586">
        <f t="shared" si="216"/>
        <v>2024</v>
      </c>
      <c r="AS586" t="str">
        <f t="shared" si="217"/>
        <v>Clean</v>
      </c>
      <c r="AT586" t="str">
        <f>IF(OR(AC586&lt;0,AC586&gt;0.5),"Invalid Discount","Valid")</f>
        <v>Valid</v>
      </c>
      <c r="AU586" t="str">
        <f>IF(G586&lt;E586,"Invalid Shipping Record","Valid")</f>
        <v>Valid</v>
      </c>
      <c r="AV586" t="str">
        <f>IF(OR(AL586="Cancelled",AH586="Failed"),"Exclude","Include")</f>
        <v>Include</v>
      </c>
      <c r="AW586" t="str">
        <f t="shared" si="218"/>
        <v>Match</v>
      </c>
      <c r="AX586" t="str">
        <f t="shared" si="219"/>
        <v>Match</v>
      </c>
    </row>
    <row r="587" spans="1:50">
      <c r="A587" t="s">
        <v>2800</v>
      </c>
      <c r="B587">
        <f t="shared" si="198"/>
        <v>1</v>
      </c>
      <c r="C587" t="str">
        <f t="shared" si="208"/>
        <v/>
      </c>
      <c r="D587" s="3" t="s">
        <v>1687</v>
      </c>
      <c r="E587" s="7">
        <v>45830</v>
      </c>
      <c r="F587" s="3" t="s">
        <v>2801</v>
      </c>
      <c r="G587" s="7">
        <v>45833</v>
      </c>
      <c r="H587" s="7" t="str">
        <f t="shared" si="199"/>
        <v>Valid</v>
      </c>
      <c r="I587" s="9">
        <f t="shared" si="200"/>
        <v>3</v>
      </c>
      <c r="J587" s="9" t="str">
        <f t="shared" si="201"/>
        <v>Valid</v>
      </c>
      <c r="K587" t="s">
        <v>2802</v>
      </c>
      <c r="L587" t="s">
        <v>209</v>
      </c>
      <c r="M587" t="s">
        <v>209</v>
      </c>
      <c r="N587" t="s">
        <v>40</v>
      </c>
      <c r="O587" s="3" t="str">
        <f t="shared" si="202"/>
        <v>Small Business</v>
      </c>
      <c r="P587" t="s">
        <v>1049</v>
      </c>
      <c r="Q587" s="3" t="str">
        <f t="shared" si="203"/>
        <v>West</v>
      </c>
      <c r="R587" t="s">
        <v>73</v>
      </c>
      <c r="S587" t="s">
        <v>74</v>
      </c>
      <c r="T587" t="s">
        <v>85</v>
      </c>
      <c r="U587" s="3" t="str">
        <f t="shared" si="204"/>
        <v>Technology</v>
      </c>
      <c r="V587" t="s">
        <v>222</v>
      </c>
      <c r="W587" t="s">
        <v>2803</v>
      </c>
      <c r="X587" t="s">
        <v>55</v>
      </c>
      <c r="Y587" s="3" t="str">
        <f t="shared" si="205"/>
        <v>First Class</v>
      </c>
      <c r="Z587">
        <v>8</v>
      </c>
      <c r="AA587">
        <v>3453.66</v>
      </c>
      <c r="AB587">
        <v>0</v>
      </c>
      <c r="AC587">
        <f t="shared" si="206"/>
        <v>0</v>
      </c>
      <c r="AD587" t="str">
        <f t="shared" si="209"/>
        <v>Valid</v>
      </c>
      <c r="AE587">
        <v>27629.279999999999</v>
      </c>
      <c r="AF587">
        <v>22026.48</v>
      </c>
      <c r="AG587">
        <v>5602.8</v>
      </c>
      <c r="AH587" t="s">
        <v>33</v>
      </c>
      <c r="AI587" t="str">
        <f t="shared" si="210"/>
        <v>Include</v>
      </c>
      <c r="AJ587" t="str">
        <f t="shared" si="211"/>
        <v/>
      </c>
      <c r="AK587" t="s">
        <v>34</v>
      </c>
      <c r="AL587" t="str">
        <f t="shared" si="207"/>
        <v>Completed</v>
      </c>
      <c r="AM587" t="str">
        <f t="shared" si="212"/>
        <v>Include</v>
      </c>
      <c r="AN587">
        <f t="shared" si="213"/>
        <v>27629.279999999999</v>
      </c>
      <c r="AO587">
        <f t="shared" si="214"/>
        <v>5602.7999999999993</v>
      </c>
      <c r="AP587">
        <f>IF(AN587=0,0,AO587/AN587)</f>
        <v>0.20278487170132553</v>
      </c>
      <c r="AQ587" t="str">
        <f t="shared" si="215"/>
        <v>June</v>
      </c>
      <c r="AR587">
        <f t="shared" si="216"/>
        <v>2025</v>
      </c>
      <c r="AS587" t="str">
        <f t="shared" si="217"/>
        <v>Clean</v>
      </c>
      <c r="AT587" t="str">
        <f>IF(OR(AC587&lt;0,AC587&gt;0.5),"Invalid Discount","Valid")</f>
        <v>Valid</v>
      </c>
      <c r="AU587" t="str">
        <f>IF(G587&lt;E587,"Invalid Shipping Record","Valid")</f>
        <v>Valid</v>
      </c>
      <c r="AV587" t="str">
        <f>IF(OR(AL587="Cancelled",AH587="Failed"),"Exclude","Include")</f>
        <v>Include</v>
      </c>
      <c r="AW587" t="str">
        <f t="shared" si="218"/>
        <v>Match</v>
      </c>
      <c r="AX587" t="str">
        <f t="shared" si="219"/>
        <v>Match</v>
      </c>
    </row>
    <row r="588" spans="1:50">
      <c r="A588" t="s">
        <v>2804</v>
      </c>
      <c r="B588">
        <f t="shared" si="198"/>
        <v>1</v>
      </c>
      <c r="C588" t="str">
        <f t="shared" si="208"/>
        <v/>
      </c>
      <c r="D588" s="3" t="s">
        <v>2805</v>
      </c>
      <c r="E588" s="7">
        <v>45759</v>
      </c>
      <c r="F588" s="3" t="s">
        <v>2806</v>
      </c>
      <c r="G588" s="7">
        <v>45759</v>
      </c>
      <c r="H588" s="7" t="str">
        <f t="shared" si="199"/>
        <v>Valid</v>
      </c>
      <c r="I588" s="9">
        <f t="shared" si="200"/>
        <v>0</v>
      </c>
      <c r="J588" s="9" t="str">
        <f t="shared" si="201"/>
        <v>Valid</v>
      </c>
      <c r="K588" t="s">
        <v>2807</v>
      </c>
      <c r="L588" t="s">
        <v>39</v>
      </c>
      <c r="M588" t="s">
        <v>39</v>
      </c>
      <c r="N588" t="s">
        <v>114</v>
      </c>
      <c r="O588" s="3" t="str">
        <f t="shared" si="202"/>
        <v>Home Office</v>
      </c>
      <c r="P588" t="s">
        <v>26</v>
      </c>
      <c r="Q588" s="3" t="str">
        <f t="shared" si="203"/>
        <v>North</v>
      </c>
      <c r="R588" t="s">
        <v>153</v>
      </c>
      <c r="S588" t="s">
        <v>154</v>
      </c>
      <c r="T588" t="s">
        <v>29</v>
      </c>
      <c r="U588" s="3" t="str">
        <f t="shared" si="204"/>
        <v>Office Supplies</v>
      </c>
      <c r="V588" t="s">
        <v>197</v>
      </c>
      <c r="W588" t="s">
        <v>2808</v>
      </c>
      <c r="X588" t="s">
        <v>32</v>
      </c>
      <c r="Y588" s="3" t="str">
        <f t="shared" si="205"/>
        <v>Second Class</v>
      </c>
      <c r="Z588">
        <v>7</v>
      </c>
      <c r="AA588">
        <v>1334.2</v>
      </c>
      <c r="AB588">
        <v>0.2</v>
      </c>
      <c r="AC588">
        <f t="shared" si="206"/>
        <v>0.2</v>
      </c>
      <c r="AD588" t="str">
        <f t="shared" si="209"/>
        <v>Valid</v>
      </c>
      <c r="AE588">
        <v>7471.52</v>
      </c>
      <c r="AF588">
        <v>6184.32</v>
      </c>
      <c r="AG588">
        <v>1287.2</v>
      </c>
      <c r="AH588" t="s">
        <v>33</v>
      </c>
      <c r="AI588" t="str">
        <f t="shared" si="210"/>
        <v>Include</v>
      </c>
      <c r="AJ588" t="str">
        <f t="shared" si="211"/>
        <v/>
      </c>
      <c r="AK588" t="s">
        <v>34</v>
      </c>
      <c r="AL588" t="str">
        <f t="shared" si="207"/>
        <v>Completed</v>
      </c>
      <c r="AM588" t="str">
        <f t="shared" si="212"/>
        <v>Include</v>
      </c>
      <c r="AN588">
        <f t="shared" si="213"/>
        <v>7471.52</v>
      </c>
      <c r="AO588">
        <f t="shared" si="214"/>
        <v>1287.2000000000007</v>
      </c>
      <c r="AP588">
        <f>IF(AN588=0,0,AO588/AN588)</f>
        <v>0.17228087457438387</v>
      </c>
      <c r="AQ588" t="str">
        <f t="shared" si="215"/>
        <v>April</v>
      </c>
      <c r="AR588">
        <f t="shared" si="216"/>
        <v>2025</v>
      </c>
      <c r="AS588" t="str">
        <f t="shared" si="217"/>
        <v>Clean</v>
      </c>
      <c r="AT588" t="str">
        <f>IF(OR(AC588&lt;0,AC588&gt;0.5),"Invalid Discount","Valid")</f>
        <v>Valid</v>
      </c>
      <c r="AU588" t="str">
        <f>IF(G588&lt;E588,"Invalid Shipping Record","Valid")</f>
        <v>Valid</v>
      </c>
      <c r="AV588" t="str">
        <f>IF(OR(AL588="Cancelled",AH588="Failed"),"Exclude","Include")</f>
        <v>Include</v>
      </c>
      <c r="AW588" t="str">
        <f t="shared" si="218"/>
        <v>Match</v>
      </c>
      <c r="AX588" t="str">
        <f t="shared" si="219"/>
        <v>Match</v>
      </c>
    </row>
    <row r="589" spans="1:50">
      <c r="A589" t="s">
        <v>2809</v>
      </c>
      <c r="B589">
        <f t="shared" si="198"/>
        <v>1</v>
      </c>
      <c r="C589" t="str">
        <f t="shared" si="208"/>
        <v/>
      </c>
      <c r="D589" s="3" t="s">
        <v>2810</v>
      </c>
      <c r="E589" s="7">
        <v>45861</v>
      </c>
      <c r="F589" s="3" t="s">
        <v>2811</v>
      </c>
      <c r="G589" s="7">
        <v>45869</v>
      </c>
      <c r="H589" s="7" t="str">
        <f t="shared" si="199"/>
        <v>Valid</v>
      </c>
      <c r="I589" s="9">
        <f t="shared" si="200"/>
        <v>8</v>
      </c>
      <c r="J589" s="9" t="str">
        <f t="shared" si="201"/>
        <v>Valid</v>
      </c>
      <c r="K589" t="s">
        <v>2812</v>
      </c>
      <c r="L589" t="s">
        <v>365</v>
      </c>
      <c r="M589" t="s">
        <v>365</v>
      </c>
      <c r="N589" t="s">
        <v>114</v>
      </c>
      <c r="O589" s="3" t="str">
        <f t="shared" si="202"/>
        <v>Home Office</v>
      </c>
      <c r="P589" t="s">
        <v>72</v>
      </c>
      <c r="Q589" s="3" t="str">
        <f t="shared" si="203"/>
        <v>West</v>
      </c>
      <c r="R589" t="s">
        <v>83</v>
      </c>
      <c r="S589" t="s">
        <v>84</v>
      </c>
      <c r="T589" t="s">
        <v>85</v>
      </c>
      <c r="U589" s="3" t="str">
        <f t="shared" si="204"/>
        <v>Technology</v>
      </c>
      <c r="V589" t="s">
        <v>86</v>
      </c>
      <c r="W589" t="s">
        <v>2813</v>
      </c>
      <c r="X589" t="s">
        <v>55</v>
      </c>
      <c r="Y589" s="3" t="str">
        <f t="shared" si="205"/>
        <v>First Class</v>
      </c>
      <c r="Z589">
        <v>1</v>
      </c>
      <c r="AA589">
        <v>4253.84</v>
      </c>
      <c r="AB589">
        <v>0.15</v>
      </c>
      <c r="AC589">
        <f t="shared" si="206"/>
        <v>0.15</v>
      </c>
      <c r="AD589" t="str">
        <f t="shared" si="209"/>
        <v>Valid</v>
      </c>
      <c r="AE589">
        <v>3615.76</v>
      </c>
      <c r="AF589">
        <v>2951.52</v>
      </c>
      <c r="AG589">
        <v>664.24</v>
      </c>
      <c r="AH589" t="s">
        <v>123</v>
      </c>
      <c r="AI589" t="str">
        <f t="shared" si="210"/>
        <v>Exclude</v>
      </c>
      <c r="AJ589" t="str">
        <f t="shared" si="211"/>
        <v>Refunded Order</v>
      </c>
      <c r="AK589" t="s">
        <v>77</v>
      </c>
      <c r="AL589" t="str">
        <f t="shared" si="207"/>
        <v>Cancelled</v>
      </c>
      <c r="AM589" t="str">
        <f t="shared" si="212"/>
        <v>Exclude</v>
      </c>
      <c r="AN589">
        <f t="shared" si="213"/>
        <v>3615.7640000000001</v>
      </c>
      <c r="AO589">
        <f t="shared" si="214"/>
        <v>664.24400000000014</v>
      </c>
      <c r="AP589">
        <f>IF(AN589=0,0,AO589/AN589)</f>
        <v>0.18370778623826114</v>
      </c>
      <c r="AQ589" t="str">
        <f t="shared" si="215"/>
        <v>July</v>
      </c>
      <c r="AR589">
        <f t="shared" si="216"/>
        <v>2025</v>
      </c>
      <c r="AS589" t="str">
        <f t="shared" si="217"/>
        <v>Clean</v>
      </c>
      <c r="AT589" t="str">
        <f>IF(OR(AC589&lt;0,AC589&gt;0.5),"Invalid Discount","Valid")</f>
        <v>Valid</v>
      </c>
      <c r="AU589" t="str">
        <f>IF(G589&lt;E589,"Invalid Shipping Record","Valid")</f>
        <v>Valid</v>
      </c>
      <c r="AV589" t="str">
        <f>IF(OR(AL589="Cancelled",AH589="Failed"),"Exclude","Include")</f>
        <v>Exclude</v>
      </c>
      <c r="AW589" t="str">
        <f t="shared" si="218"/>
        <v>Match</v>
      </c>
      <c r="AX589" t="str">
        <f t="shared" si="219"/>
        <v>Match</v>
      </c>
    </row>
    <row r="590" spans="1:50">
      <c r="A590" t="s">
        <v>2814</v>
      </c>
      <c r="B590">
        <f t="shared" si="198"/>
        <v>1</v>
      </c>
      <c r="C590" t="str">
        <f t="shared" si="208"/>
        <v/>
      </c>
      <c r="D590" s="3" t="s">
        <v>2815</v>
      </c>
      <c r="E590" s="7">
        <v>45727</v>
      </c>
      <c r="F590" s="3" t="s">
        <v>2816</v>
      </c>
      <c r="G590" s="7">
        <v>45731</v>
      </c>
      <c r="H590" s="7" t="str">
        <f t="shared" si="199"/>
        <v>Valid</v>
      </c>
      <c r="I590" s="9">
        <f t="shared" si="200"/>
        <v>4</v>
      </c>
      <c r="J590" s="9" t="str">
        <f t="shared" si="201"/>
        <v>Valid</v>
      </c>
      <c r="K590" t="s">
        <v>2817</v>
      </c>
      <c r="L590" t="s">
        <v>161</v>
      </c>
      <c r="M590" t="s">
        <v>161</v>
      </c>
      <c r="N590" t="s">
        <v>114</v>
      </c>
      <c r="O590" s="3" t="str">
        <f t="shared" si="202"/>
        <v>Home Office</v>
      </c>
      <c r="P590" t="s">
        <v>61</v>
      </c>
      <c r="Q590" s="3" t="str">
        <f t="shared" si="203"/>
        <v>South</v>
      </c>
      <c r="R590" t="s">
        <v>228</v>
      </c>
      <c r="S590" t="s">
        <v>229</v>
      </c>
      <c r="T590" t="s">
        <v>85</v>
      </c>
      <c r="U590" s="3" t="str">
        <f t="shared" si="204"/>
        <v>Technology</v>
      </c>
      <c r="V590" t="s">
        <v>86</v>
      </c>
      <c r="W590" t="s">
        <v>2818</v>
      </c>
      <c r="X590" t="s">
        <v>32</v>
      </c>
      <c r="Y590" s="3" t="str">
        <f t="shared" si="205"/>
        <v>Second Class</v>
      </c>
      <c r="Z590">
        <v>8</v>
      </c>
      <c r="AA590">
        <v>4446.3599999999997</v>
      </c>
      <c r="AB590">
        <v>0.1</v>
      </c>
      <c r="AC590">
        <f t="shared" si="206"/>
        <v>0.1</v>
      </c>
      <c r="AD590" t="str">
        <f t="shared" si="209"/>
        <v>Valid</v>
      </c>
      <c r="AE590">
        <v>32013.79</v>
      </c>
      <c r="AF590">
        <v>20896.88</v>
      </c>
      <c r="AG590">
        <v>11116.91</v>
      </c>
      <c r="AH590" t="s">
        <v>123</v>
      </c>
      <c r="AI590" t="str">
        <f t="shared" si="210"/>
        <v>Exclude</v>
      </c>
      <c r="AJ590" t="str">
        <f t="shared" si="211"/>
        <v>Refunded Order</v>
      </c>
      <c r="AK590" t="s">
        <v>77</v>
      </c>
      <c r="AL590" t="str">
        <f t="shared" si="207"/>
        <v>Cancelled</v>
      </c>
      <c r="AM590" t="str">
        <f t="shared" si="212"/>
        <v>Exclude</v>
      </c>
      <c r="AN590">
        <f t="shared" si="213"/>
        <v>32013.791999999998</v>
      </c>
      <c r="AO590">
        <f t="shared" si="214"/>
        <v>11116.911999999997</v>
      </c>
      <c r="AP590">
        <f>IF(AN590=0,0,AO590/AN590)</f>
        <v>0.34725383359771933</v>
      </c>
      <c r="AQ590" t="str">
        <f t="shared" si="215"/>
        <v>March</v>
      </c>
      <c r="AR590">
        <f t="shared" si="216"/>
        <v>2025</v>
      </c>
      <c r="AS590" t="str">
        <f t="shared" si="217"/>
        <v>Clean</v>
      </c>
      <c r="AT590" t="str">
        <f>IF(OR(AC590&lt;0,AC590&gt;0.5),"Invalid Discount","Valid")</f>
        <v>Valid</v>
      </c>
      <c r="AU590" t="str">
        <f>IF(G590&lt;E590,"Invalid Shipping Record","Valid")</f>
        <v>Valid</v>
      </c>
      <c r="AV590" t="str">
        <f>IF(OR(AL590="Cancelled",AH590="Failed"),"Exclude","Include")</f>
        <v>Exclude</v>
      </c>
      <c r="AW590" t="str">
        <f t="shared" si="218"/>
        <v>Match</v>
      </c>
      <c r="AX590" t="str">
        <f t="shared" si="219"/>
        <v>Match</v>
      </c>
    </row>
    <row r="591" spans="1:50">
      <c r="A591" t="s">
        <v>2819</v>
      </c>
      <c r="B591">
        <f t="shared" si="198"/>
        <v>1</v>
      </c>
      <c r="C591" t="str">
        <f t="shared" si="208"/>
        <v/>
      </c>
      <c r="D591" s="3" t="s">
        <v>2820</v>
      </c>
      <c r="E591" s="7">
        <v>45632</v>
      </c>
      <c r="F591" s="3" t="s">
        <v>2821</v>
      </c>
      <c r="G591" s="7">
        <v>45638</v>
      </c>
      <c r="H591" s="7" t="str">
        <f t="shared" si="199"/>
        <v>Valid</v>
      </c>
      <c r="I591" s="9">
        <f t="shared" si="200"/>
        <v>6</v>
      </c>
      <c r="J591" s="9" t="str">
        <f t="shared" si="201"/>
        <v>Valid</v>
      </c>
      <c r="K591" t="s">
        <v>2822</v>
      </c>
      <c r="L591" t="s">
        <v>179</v>
      </c>
      <c r="M591" t="s">
        <v>179</v>
      </c>
      <c r="N591" t="s">
        <v>107</v>
      </c>
      <c r="O591" s="3" t="str">
        <f t="shared" si="202"/>
        <v>Corporate</v>
      </c>
      <c r="P591" t="s">
        <v>26</v>
      </c>
      <c r="Q591" s="3" t="str">
        <f t="shared" si="203"/>
        <v>North</v>
      </c>
      <c r="R591" t="s">
        <v>173</v>
      </c>
      <c r="S591" t="s">
        <v>174</v>
      </c>
      <c r="T591" t="s">
        <v>85</v>
      </c>
      <c r="U591" s="3" t="str">
        <f t="shared" si="204"/>
        <v>Technology</v>
      </c>
      <c r="V591" t="s">
        <v>222</v>
      </c>
      <c r="W591" t="s">
        <v>2823</v>
      </c>
      <c r="X591" t="s">
        <v>55</v>
      </c>
      <c r="Y591" s="3" t="str">
        <f t="shared" si="205"/>
        <v>First Class</v>
      </c>
      <c r="Z591">
        <v>3</v>
      </c>
      <c r="AA591">
        <v>524.75</v>
      </c>
      <c r="AB591">
        <v>0</v>
      </c>
      <c r="AC591">
        <f t="shared" si="206"/>
        <v>0</v>
      </c>
      <c r="AD591" t="str">
        <f t="shared" si="209"/>
        <v>Valid</v>
      </c>
      <c r="AE591">
        <v>1574.25</v>
      </c>
      <c r="AF591">
        <v>1326.12</v>
      </c>
      <c r="AG591">
        <v>248.13</v>
      </c>
      <c r="AH591" t="s">
        <v>33</v>
      </c>
      <c r="AI591" t="str">
        <f t="shared" si="210"/>
        <v>Include</v>
      </c>
      <c r="AJ591" t="str">
        <f t="shared" si="211"/>
        <v/>
      </c>
      <c r="AK591" t="s">
        <v>34</v>
      </c>
      <c r="AL591" t="str">
        <f t="shared" si="207"/>
        <v>Completed</v>
      </c>
      <c r="AM591" t="str">
        <f t="shared" si="212"/>
        <v>Include</v>
      </c>
      <c r="AN591">
        <f t="shared" si="213"/>
        <v>1574.25</v>
      </c>
      <c r="AO591">
        <f t="shared" si="214"/>
        <v>248.13000000000011</v>
      </c>
      <c r="AP591">
        <f>IF(AN591=0,0,AO591/AN591)</f>
        <v>0.15761791329204389</v>
      </c>
      <c r="AQ591" t="str">
        <f t="shared" si="215"/>
        <v>December</v>
      </c>
      <c r="AR591">
        <f t="shared" si="216"/>
        <v>2024</v>
      </c>
      <c r="AS591" t="str">
        <f t="shared" si="217"/>
        <v>Clean</v>
      </c>
      <c r="AT591" t="str">
        <f>IF(OR(AC591&lt;0,AC591&gt;0.5),"Invalid Discount","Valid")</f>
        <v>Valid</v>
      </c>
      <c r="AU591" t="str">
        <f>IF(G591&lt;E591,"Invalid Shipping Record","Valid")</f>
        <v>Valid</v>
      </c>
      <c r="AV591" t="str">
        <f>IF(OR(AL591="Cancelled",AH591="Failed"),"Exclude","Include")</f>
        <v>Include</v>
      </c>
      <c r="AW591" t="str">
        <f t="shared" si="218"/>
        <v>Match</v>
      </c>
      <c r="AX591" t="str">
        <f t="shared" si="219"/>
        <v>Match</v>
      </c>
    </row>
    <row r="592" spans="1:50">
      <c r="A592" t="s">
        <v>2824</v>
      </c>
      <c r="B592">
        <f t="shared" si="198"/>
        <v>1</v>
      </c>
      <c r="C592" t="str">
        <f t="shared" si="208"/>
        <v/>
      </c>
      <c r="D592" s="3" t="s">
        <v>272</v>
      </c>
      <c r="E592" s="7">
        <v>45441</v>
      </c>
      <c r="F592" s="3" t="s">
        <v>2825</v>
      </c>
      <c r="G592" s="7">
        <v>45441</v>
      </c>
      <c r="H592" s="7" t="str">
        <f t="shared" si="199"/>
        <v>Valid</v>
      </c>
      <c r="I592" s="9">
        <f t="shared" si="200"/>
        <v>0</v>
      </c>
      <c r="J592" s="9" t="str">
        <f t="shared" si="201"/>
        <v>Valid</v>
      </c>
      <c r="K592" t="s">
        <v>2826</v>
      </c>
      <c r="L592" t="s">
        <v>161</v>
      </c>
      <c r="M592" t="s">
        <v>161</v>
      </c>
      <c r="N592" t="s">
        <v>114</v>
      </c>
      <c r="O592" s="3" t="str">
        <f t="shared" si="202"/>
        <v>Home Office</v>
      </c>
      <c r="P592" t="s">
        <v>26</v>
      </c>
      <c r="Q592" s="3" t="str">
        <f t="shared" si="203"/>
        <v>North</v>
      </c>
      <c r="R592" t="s">
        <v>505</v>
      </c>
      <c r="S592" t="s">
        <v>506</v>
      </c>
      <c r="T592" t="s">
        <v>44</v>
      </c>
      <c r="U592" s="3" t="str">
        <f t="shared" si="204"/>
        <v>Furniture</v>
      </c>
      <c r="V592" t="s">
        <v>75</v>
      </c>
      <c r="W592" t="s">
        <v>2827</v>
      </c>
      <c r="X592" t="s">
        <v>47</v>
      </c>
      <c r="Y592" s="3" t="str">
        <f t="shared" si="205"/>
        <v>Same Day</v>
      </c>
      <c r="Z592">
        <v>6</v>
      </c>
      <c r="AA592">
        <v>3430.35</v>
      </c>
      <c r="AB592">
        <v>0</v>
      </c>
      <c r="AC592">
        <f t="shared" si="206"/>
        <v>0</v>
      </c>
      <c r="AD592" t="str">
        <f t="shared" si="209"/>
        <v>Valid</v>
      </c>
      <c r="AE592">
        <v>20582.099999999999</v>
      </c>
      <c r="AF592">
        <v>15897.65</v>
      </c>
      <c r="AG592">
        <v>4684.45</v>
      </c>
      <c r="AH592" t="s">
        <v>136</v>
      </c>
      <c r="AI592" t="str">
        <f t="shared" si="210"/>
        <v>Exclude</v>
      </c>
      <c r="AJ592" t="str">
        <f t="shared" si="211"/>
        <v/>
      </c>
      <c r="AK592" t="s">
        <v>77</v>
      </c>
      <c r="AL592" t="str">
        <f t="shared" si="207"/>
        <v>Cancelled</v>
      </c>
      <c r="AM592" t="str">
        <f t="shared" si="212"/>
        <v>Exclude</v>
      </c>
      <c r="AN592">
        <f t="shared" si="213"/>
        <v>20582.099999999999</v>
      </c>
      <c r="AO592">
        <f t="shared" si="214"/>
        <v>4684.4499999999989</v>
      </c>
      <c r="AP592">
        <f>IF(AN592=0,0,AO592/AN592)</f>
        <v>0.22759825285077806</v>
      </c>
      <c r="AQ592" t="str">
        <f t="shared" si="215"/>
        <v>May</v>
      </c>
      <c r="AR592">
        <f t="shared" si="216"/>
        <v>2024</v>
      </c>
      <c r="AS592" t="str">
        <f t="shared" si="217"/>
        <v>Clean</v>
      </c>
      <c r="AT592" t="str">
        <f>IF(OR(AC592&lt;0,AC592&gt;0.5),"Invalid Discount","Valid")</f>
        <v>Valid</v>
      </c>
      <c r="AU592" t="str">
        <f>IF(G592&lt;E592,"Invalid Shipping Record","Valid")</f>
        <v>Valid</v>
      </c>
      <c r="AV592" t="str">
        <f>IF(OR(AL592="Cancelled",AH592="Failed"),"Exclude","Include")</f>
        <v>Exclude</v>
      </c>
      <c r="AW592" t="str">
        <f t="shared" si="218"/>
        <v>Match</v>
      </c>
      <c r="AX592" t="str">
        <f t="shared" si="219"/>
        <v>Match</v>
      </c>
    </row>
    <row r="593" spans="1:50">
      <c r="A593" t="s">
        <v>2828</v>
      </c>
      <c r="B593">
        <f t="shared" si="198"/>
        <v>1</v>
      </c>
      <c r="C593" t="str">
        <f t="shared" si="208"/>
        <v/>
      </c>
      <c r="D593" s="3" t="s">
        <v>2829</v>
      </c>
      <c r="E593" s="7">
        <v>45344</v>
      </c>
      <c r="F593" s="3" t="s">
        <v>2830</v>
      </c>
      <c r="G593" s="7">
        <v>45346</v>
      </c>
      <c r="H593" s="7" t="str">
        <f t="shared" si="199"/>
        <v>Valid</v>
      </c>
      <c r="I593" s="9">
        <f t="shared" si="200"/>
        <v>2</v>
      </c>
      <c r="J593" s="9" t="str">
        <f t="shared" si="201"/>
        <v>Valid</v>
      </c>
      <c r="K593" t="s">
        <v>2831</v>
      </c>
      <c r="L593" t="s">
        <v>167</v>
      </c>
      <c r="M593" t="s">
        <v>167</v>
      </c>
      <c r="N593" t="s">
        <v>25</v>
      </c>
      <c r="O593" s="3" t="str">
        <f t="shared" si="202"/>
        <v>Consumer</v>
      </c>
      <c r="P593" t="s">
        <v>61</v>
      </c>
      <c r="Q593" s="3" t="str">
        <f t="shared" si="203"/>
        <v>South</v>
      </c>
      <c r="R593" t="s">
        <v>228</v>
      </c>
      <c r="S593" t="s">
        <v>229</v>
      </c>
      <c r="T593" t="s">
        <v>85</v>
      </c>
      <c r="U593" s="3" t="str">
        <f t="shared" si="204"/>
        <v>Technology</v>
      </c>
      <c r="V593" t="s">
        <v>93</v>
      </c>
      <c r="W593" t="s">
        <v>2832</v>
      </c>
      <c r="X593" t="s">
        <v>55</v>
      </c>
      <c r="Y593" s="3" t="str">
        <f t="shared" si="205"/>
        <v>First Class</v>
      </c>
      <c r="Z593">
        <v>3</v>
      </c>
      <c r="AA593">
        <v>3545.08</v>
      </c>
      <c r="AB593">
        <v>0</v>
      </c>
      <c r="AC593">
        <f t="shared" si="206"/>
        <v>0</v>
      </c>
      <c r="AD593" t="str">
        <f t="shared" si="209"/>
        <v>Valid</v>
      </c>
      <c r="AE593">
        <v>10635.24</v>
      </c>
      <c r="AF593">
        <v>6031.88</v>
      </c>
      <c r="AG593">
        <v>4603.3599999999997</v>
      </c>
      <c r="AH593" t="s">
        <v>199</v>
      </c>
      <c r="AI593" t="str">
        <f t="shared" si="210"/>
        <v>Exclude</v>
      </c>
      <c r="AJ593" t="str">
        <f t="shared" si="211"/>
        <v/>
      </c>
      <c r="AK593" t="s">
        <v>124</v>
      </c>
      <c r="AL593" t="str">
        <f t="shared" si="207"/>
        <v>Returned</v>
      </c>
      <c r="AM593" t="str">
        <f t="shared" si="212"/>
        <v>Include</v>
      </c>
      <c r="AN593">
        <f t="shared" si="213"/>
        <v>10635.24</v>
      </c>
      <c r="AO593">
        <f t="shared" si="214"/>
        <v>4603.3599999999997</v>
      </c>
      <c r="AP593">
        <f>IF(AN593=0,0,AO593/AN593)</f>
        <v>0.43284025560307055</v>
      </c>
      <c r="AQ593" t="str">
        <f t="shared" si="215"/>
        <v>February</v>
      </c>
      <c r="AR593">
        <f t="shared" si="216"/>
        <v>2024</v>
      </c>
      <c r="AS593" t="str">
        <f t="shared" si="217"/>
        <v>Clean</v>
      </c>
      <c r="AT593" t="str">
        <f>IF(OR(AC593&lt;0,AC593&gt;0.5),"Invalid Discount","Valid")</f>
        <v>Valid</v>
      </c>
      <c r="AU593" t="str">
        <f>IF(G593&lt;E593,"Invalid Shipping Record","Valid")</f>
        <v>Valid</v>
      </c>
      <c r="AV593" t="str">
        <f>IF(OR(AL593="Cancelled",AH593="Failed"),"Exclude","Include")</f>
        <v>Exclude</v>
      </c>
      <c r="AW593" t="str">
        <f t="shared" si="218"/>
        <v>Match</v>
      </c>
      <c r="AX593" t="str">
        <f t="shared" si="219"/>
        <v>Match</v>
      </c>
    </row>
    <row r="594" spans="1:50">
      <c r="A594" t="s">
        <v>2833</v>
      </c>
      <c r="B594">
        <f t="shared" si="198"/>
        <v>1</v>
      </c>
      <c r="C594" t="str">
        <f t="shared" si="208"/>
        <v/>
      </c>
      <c r="D594" s="3" t="s">
        <v>838</v>
      </c>
      <c r="E594" s="7">
        <v>45355</v>
      </c>
      <c r="F594" s="3" t="s">
        <v>896</v>
      </c>
      <c r="G594" s="7">
        <v>45360</v>
      </c>
      <c r="H594" s="7" t="str">
        <f t="shared" si="199"/>
        <v>Valid</v>
      </c>
      <c r="I594" s="9">
        <f t="shared" si="200"/>
        <v>5</v>
      </c>
      <c r="J594" s="9" t="str">
        <f t="shared" si="201"/>
        <v>Valid</v>
      </c>
      <c r="K594" t="s">
        <v>2834</v>
      </c>
      <c r="L594" t="s">
        <v>39</v>
      </c>
      <c r="M594" t="s">
        <v>39</v>
      </c>
      <c r="N594" t="s">
        <v>25</v>
      </c>
      <c r="O594" s="3" t="str">
        <f t="shared" si="202"/>
        <v>Consumer</v>
      </c>
      <c r="P594" t="s">
        <v>41</v>
      </c>
      <c r="Q594" s="3" t="str">
        <f t="shared" si="203"/>
        <v>East</v>
      </c>
      <c r="R594" t="s">
        <v>120</v>
      </c>
      <c r="S594" t="s">
        <v>121</v>
      </c>
      <c r="T594" t="s">
        <v>85</v>
      </c>
      <c r="U594" s="3" t="str">
        <f t="shared" si="204"/>
        <v>Technology</v>
      </c>
      <c r="V594" t="s">
        <v>86</v>
      </c>
      <c r="W594" t="s">
        <v>2835</v>
      </c>
      <c r="X594" t="s">
        <v>47</v>
      </c>
      <c r="Y594" s="3" t="str">
        <f t="shared" si="205"/>
        <v>Same Day</v>
      </c>
      <c r="Z594">
        <v>8</v>
      </c>
      <c r="AA594">
        <v>4401.41</v>
      </c>
      <c r="AB594">
        <v>0.15</v>
      </c>
      <c r="AC594">
        <f t="shared" si="206"/>
        <v>0.15</v>
      </c>
      <c r="AD594" t="str">
        <f t="shared" si="209"/>
        <v>Valid</v>
      </c>
      <c r="AE594">
        <v>29929.59</v>
      </c>
      <c r="AF594">
        <v>22436.03</v>
      </c>
      <c r="AG594">
        <v>7493.56</v>
      </c>
      <c r="AH594" t="s">
        <v>33</v>
      </c>
      <c r="AI594" t="str">
        <f t="shared" si="210"/>
        <v>Include</v>
      </c>
      <c r="AJ594" t="str">
        <f t="shared" si="211"/>
        <v/>
      </c>
      <c r="AK594" t="s">
        <v>34</v>
      </c>
      <c r="AL594" t="str">
        <f t="shared" si="207"/>
        <v>Completed</v>
      </c>
      <c r="AM594" t="str">
        <f t="shared" si="212"/>
        <v>Include</v>
      </c>
      <c r="AN594">
        <f t="shared" si="213"/>
        <v>29929.588</v>
      </c>
      <c r="AO594">
        <f t="shared" si="214"/>
        <v>7493.5580000000009</v>
      </c>
      <c r="AP594">
        <f>IF(AN594=0,0,AO594/AN594)</f>
        <v>0.25037290857461858</v>
      </c>
      <c r="AQ594" t="str">
        <f t="shared" si="215"/>
        <v>March</v>
      </c>
      <c r="AR594">
        <f t="shared" si="216"/>
        <v>2024</v>
      </c>
      <c r="AS594" t="str">
        <f t="shared" si="217"/>
        <v>Clean</v>
      </c>
      <c r="AT594" t="str">
        <f>IF(OR(AC594&lt;0,AC594&gt;0.5),"Invalid Discount","Valid")</f>
        <v>Valid</v>
      </c>
      <c r="AU594" t="str">
        <f>IF(G594&lt;E594,"Invalid Shipping Record","Valid")</f>
        <v>Valid</v>
      </c>
      <c r="AV594" t="str">
        <f>IF(OR(AL594="Cancelled",AH594="Failed"),"Exclude","Include")</f>
        <v>Include</v>
      </c>
      <c r="AW594" t="str">
        <f t="shared" si="218"/>
        <v>Match</v>
      </c>
      <c r="AX594" t="str">
        <f t="shared" si="219"/>
        <v>Match</v>
      </c>
    </row>
    <row r="595" spans="1:50">
      <c r="A595" t="s">
        <v>2836</v>
      </c>
      <c r="B595">
        <f t="shared" si="198"/>
        <v>1</v>
      </c>
      <c r="C595" t="str">
        <f t="shared" si="208"/>
        <v/>
      </c>
      <c r="D595" s="3" t="s">
        <v>1357</v>
      </c>
      <c r="E595" s="7">
        <v>45927</v>
      </c>
      <c r="F595" s="3" t="s">
        <v>2837</v>
      </c>
      <c r="G595" s="7">
        <v>45929</v>
      </c>
      <c r="H595" s="7" t="str">
        <f t="shared" si="199"/>
        <v>Valid</v>
      </c>
      <c r="I595" s="9">
        <f t="shared" si="200"/>
        <v>2</v>
      </c>
      <c r="J595" s="9" t="str">
        <f t="shared" si="201"/>
        <v>Valid</v>
      </c>
      <c r="K595" t="s">
        <v>2528</v>
      </c>
      <c r="L595" t="s">
        <v>60</v>
      </c>
      <c r="M595" t="s">
        <v>60</v>
      </c>
      <c r="N595" t="s">
        <v>114</v>
      </c>
      <c r="O595" s="3" t="str">
        <f t="shared" si="202"/>
        <v>Home Office</v>
      </c>
      <c r="P595" t="s">
        <v>26</v>
      </c>
      <c r="Q595" s="3" t="str">
        <f t="shared" si="203"/>
        <v>North</v>
      </c>
      <c r="R595" t="s">
        <v>173</v>
      </c>
      <c r="S595" t="s">
        <v>174</v>
      </c>
      <c r="T595" t="s">
        <v>44</v>
      </c>
      <c r="U595" s="3" t="str">
        <f t="shared" si="204"/>
        <v>Furniture</v>
      </c>
      <c r="V595" t="s">
        <v>45</v>
      </c>
      <c r="W595" t="s">
        <v>2838</v>
      </c>
      <c r="X595" t="s">
        <v>32</v>
      </c>
      <c r="Y595" s="3" t="str">
        <f t="shared" si="205"/>
        <v>Second Class</v>
      </c>
      <c r="Z595">
        <v>9</v>
      </c>
      <c r="AA595">
        <v>4100.1099999999997</v>
      </c>
      <c r="AB595">
        <v>0.25</v>
      </c>
      <c r="AC595">
        <f t="shared" si="206"/>
        <v>0.25</v>
      </c>
      <c r="AD595" t="str">
        <f t="shared" si="209"/>
        <v>Valid</v>
      </c>
      <c r="AE595">
        <v>27675.74</v>
      </c>
      <c r="AF595">
        <v>15571.08</v>
      </c>
      <c r="AG595">
        <v>12104.66</v>
      </c>
      <c r="AH595" t="s">
        <v>33</v>
      </c>
      <c r="AI595" t="str">
        <f t="shared" si="210"/>
        <v>Include</v>
      </c>
      <c r="AJ595" t="str">
        <f t="shared" si="211"/>
        <v/>
      </c>
      <c r="AK595" t="s">
        <v>34</v>
      </c>
      <c r="AL595" t="str">
        <f t="shared" si="207"/>
        <v>Completed</v>
      </c>
      <c r="AM595" t="str">
        <f t="shared" si="212"/>
        <v>Include</v>
      </c>
      <c r="AN595">
        <f t="shared" si="213"/>
        <v>27675.7425</v>
      </c>
      <c r="AO595">
        <f t="shared" si="214"/>
        <v>12104.6625</v>
      </c>
      <c r="AP595">
        <f>IF(AN595=0,0,AO595/AN595)</f>
        <v>0.4373744444254748</v>
      </c>
      <c r="AQ595" t="str">
        <f t="shared" si="215"/>
        <v>September</v>
      </c>
      <c r="AR595">
        <f t="shared" si="216"/>
        <v>2025</v>
      </c>
      <c r="AS595" t="str">
        <f t="shared" si="217"/>
        <v>Clean</v>
      </c>
      <c r="AT595" t="str">
        <f>IF(OR(AC595&lt;0,AC595&gt;0.5),"Invalid Discount","Valid")</f>
        <v>Valid</v>
      </c>
      <c r="AU595" t="str">
        <f>IF(G595&lt;E595,"Invalid Shipping Record","Valid")</f>
        <v>Valid</v>
      </c>
      <c r="AV595" t="str">
        <f>IF(OR(AL595="Cancelled",AH595="Failed"),"Exclude","Include")</f>
        <v>Include</v>
      </c>
      <c r="AW595" t="str">
        <f t="shared" si="218"/>
        <v>Match</v>
      </c>
      <c r="AX595" t="str">
        <f t="shared" si="219"/>
        <v>Match</v>
      </c>
    </row>
    <row r="596" spans="1:50">
      <c r="A596" t="s">
        <v>2839</v>
      </c>
      <c r="B596">
        <f t="shared" si="198"/>
        <v>1</v>
      </c>
      <c r="C596" t="str">
        <f t="shared" si="208"/>
        <v/>
      </c>
      <c r="D596" s="3" t="s">
        <v>2840</v>
      </c>
      <c r="E596" s="7">
        <v>45554</v>
      </c>
      <c r="F596" s="3" t="s">
        <v>1134</v>
      </c>
      <c r="G596" s="7">
        <v>45556</v>
      </c>
      <c r="H596" s="7" t="str">
        <f t="shared" si="199"/>
        <v>Valid</v>
      </c>
      <c r="I596" s="9">
        <f t="shared" si="200"/>
        <v>2</v>
      </c>
      <c r="J596" s="9" t="str">
        <f t="shared" si="201"/>
        <v>Valid</v>
      </c>
      <c r="K596" t="s">
        <v>2841</v>
      </c>
      <c r="L596" t="s">
        <v>24</v>
      </c>
      <c r="M596" t="s">
        <v>24</v>
      </c>
      <c r="N596" t="s">
        <v>40</v>
      </c>
      <c r="O596" s="3" t="str">
        <f t="shared" si="202"/>
        <v>Small Business</v>
      </c>
      <c r="P596" t="s">
        <v>41</v>
      </c>
      <c r="Q596" s="3" t="str">
        <f t="shared" si="203"/>
        <v>East</v>
      </c>
      <c r="R596" t="s">
        <v>120</v>
      </c>
      <c r="S596" t="s">
        <v>121</v>
      </c>
      <c r="T596" t="s">
        <v>44</v>
      </c>
      <c r="U596" s="3" t="str">
        <f t="shared" si="204"/>
        <v>Furniture</v>
      </c>
      <c r="V596" t="s">
        <v>75</v>
      </c>
      <c r="W596" t="s">
        <v>2842</v>
      </c>
      <c r="X596" t="s">
        <v>55</v>
      </c>
      <c r="Y596" s="3" t="str">
        <f t="shared" si="205"/>
        <v>First Class</v>
      </c>
      <c r="Z596">
        <v>3</v>
      </c>
      <c r="AA596">
        <v>3981.76</v>
      </c>
      <c r="AB596">
        <v>0</v>
      </c>
      <c r="AC596">
        <f t="shared" si="206"/>
        <v>0</v>
      </c>
      <c r="AD596" t="str">
        <f t="shared" si="209"/>
        <v>Valid</v>
      </c>
      <c r="AE596">
        <v>11945.28</v>
      </c>
      <c r="AF596">
        <v>9700.31</v>
      </c>
      <c r="AG596">
        <v>2244.9699999999998</v>
      </c>
      <c r="AH596" t="s">
        <v>33</v>
      </c>
      <c r="AI596" t="str">
        <f t="shared" si="210"/>
        <v>Include</v>
      </c>
      <c r="AJ596" t="str">
        <f t="shared" si="211"/>
        <v/>
      </c>
      <c r="AK596" t="s">
        <v>34</v>
      </c>
      <c r="AL596" t="str">
        <f t="shared" si="207"/>
        <v>Completed</v>
      </c>
      <c r="AM596" t="str">
        <f t="shared" si="212"/>
        <v>Include</v>
      </c>
      <c r="AN596">
        <f t="shared" si="213"/>
        <v>11945.28</v>
      </c>
      <c r="AO596">
        <f t="shared" si="214"/>
        <v>2244.9700000000012</v>
      </c>
      <c r="AP596">
        <f>IF(AN596=0,0,AO596/AN596)</f>
        <v>0.18793782983739193</v>
      </c>
      <c r="AQ596" t="str">
        <f t="shared" si="215"/>
        <v>September</v>
      </c>
      <c r="AR596">
        <f t="shared" si="216"/>
        <v>2024</v>
      </c>
      <c r="AS596" t="str">
        <f t="shared" si="217"/>
        <v>Clean</v>
      </c>
      <c r="AT596" t="str">
        <f>IF(OR(AC596&lt;0,AC596&gt;0.5),"Invalid Discount","Valid")</f>
        <v>Valid</v>
      </c>
      <c r="AU596" t="str">
        <f>IF(G596&lt;E596,"Invalid Shipping Record","Valid")</f>
        <v>Valid</v>
      </c>
      <c r="AV596" t="str">
        <f>IF(OR(AL596="Cancelled",AH596="Failed"),"Exclude","Include")</f>
        <v>Include</v>
      </c>
      <c r="AW596" t="str">
        <f t="shared" si="218"/>
        <v>Match</v>
      </c>
      <c r="AX596" t="str">
        <f t="shared" si="219"/>
        <v>Match</v>
      </c>
    </row>
    <row r="597" spans="1:50">
      <c r="A597" t="s">
        <v>2843</v>
      </c>
      <c r="B597">
        <f t="shared" si="198"/>
        <v>1</v>
      </c>
      <c r="C597" t="str">
        <f t="shared" si="208"/>
        <v/>
      </c>
      <c r="D597" s="3" t="s">
        <v>2844</v>
      </c>
      <c r="E597" s="7">
        <v>45699</v>
      </c>
      <c r="F597" s="3" t="s">
        <v>2845</v>
      </c>
      <c r="G597" s="7">
        <v>45704</v>
      </c>
      <c r="H597" s="7" t="str">
        <f t="shared" si="199"/>
        <v>Valid</v>
      </c>
      <c r="I597" s="9">
        <f t="shared" si="200"/>
        <v>5</v>
      </c>
      <c r="J597" s="9" t="str">
        <f t="shared" si="201"/>
        <v>Valid</v>
      </c>
      <c r="K597" t="s">
        <v>2846</v>
      </c>
      <c r="L597" t="s">
        <v>39</v>
      </c>
      <c r="M597" t="s">
        <v>39</v>
      </c>
      <c r="N597" t="s">
        <v>107</v>
      </c>
      <c r="O597" s="3" t="str">
        <f t="shared" si="202"/>
        <v>Corporate</v>
      </c>
      <c r="P597" t="s">
        <v>26</v>
      </c>
      <c r="Q597" s="3" t="str">
        <f t="shared" si="203"/>
        <v>North</v>
      </c>
      <c r="R597" t="s">
        <v>173</v>
      </c>
      <c r="S597" t="s">
        <v>174</v>
      </c>
      <c r="T597" t="s">
        <v>85</v>
      </c>
      <c r="U597" s="3" t="str">
        <f t="shared" si="204"/>
        <v>Technology</v>
      </c>
      <c r="V597" t="s">
        <v>222</v>
      </c>
      <c r="W597" t="s">
        <v>2847</v>
      </c>
      <c r="X597" t="s">
        <v>55</v>
      </c>
      <c r="Y597" s="3" t="str">
        <f t="shared" si="205"/>
        <v>First Class</v>
      </c>
      <c r="Z597">
        <v>8</v>
      </c>
      <c r="AA597">
        <v>1825.56</v>
      </c>
      <c r="AB597">
        <v>0.1</v>
      </c>
      <c r="AC597">
        <f t="shared" si="206"/>
        <v>0.1</v>
      </c>
      <c r="AD597" t="str">
        <f t="shared" si="209"/>
        <v>Valid</v>
      </c>
      <c r="AE597">
        <v>13144.03</v>
      </c>
      <c r="AF597">
        <v>9764</v>
      </c>
      <c r="AG597">
        <v>3380.03</v>
      </c>
      <c r="AH597" t="s">
        <v>33</v>
      </c>
      <c r="AI597" t="str">
        <f t="shared" si="210"/>
        <v>Include</v>
      </c>
      <c r="AJ597" t="str">
        <f t="shared" si="211"/>
        <v/>
      </c>
      <c r="AK597" t="s">
        <v>34</v>
      </c>
      <c r="AL597" t="str">
        <f t="shared" si="207"/>
        <v>Completed</v>
      </c>
      <c r="AM597" t="str">
        <f t="shared" si="212"/>
        <v>Include</v>
      </c>
      <c r="AN597">
        <f t="shared" si="213"/>
        <v>13144.031999999999</v>
      </c>
      <c r="AO597">
        <f t="shared" si="214"/>
        <v>3380.0319999999992</v>
      </c>
      <c r="AP597">
        <f>IF(AN597=0,0,AO597/AN597)</f>
        <v>0.25715336055176974</v>
      </c>
      <c r="AQ597" t="str">
        <f t="shared" si="215"/>
        <v>February</v>
      </c>
      <c r="AR597">
        <f t="shared" si="216"/>
        <v>2025</v>
      </c>
      <c r="AS597" t="str">
        <f t="shared" si="217"/>
        <v>Clean</v>
      </c>
      <c r="AT597" t="str">
        <f>IF(OR(AC597&lt;0,AC597&gt;0.5),"Invalid Discount","Valid")</f>
        <v>Valid</v>
      </c>
      <c r="AU597" t="str">
        <f>IF(G597&lt;E597,"Invalid Shipping Record","Valid")</f>
        <v>Valid</v>
      </c>
      <c r="AV597" t="str">
        <f>IF(OR(AL597="Cancelled",AH597="Failed"),"Exclude","Include")</f>
        <v>Include</v>
      </c>
      <c r="AW597" t="str">
        <f t="shared" si="218"/>
        <v>Match</v>
      </c>
      <c r="AX597" t="str">
        <f t="shared" si="219"/>
        <v>Match</v>
      </c>
    </row>
    <row r="598" spans="1:50">
      <c r="A598" t="s">
        <v>2848</v>
      </c>
      <c r="B598">
        <f t="shared" si="198"/>
        <v>1</v>
      </c>
      <c r="C598" t="str">
        <f t="shared" si="208"/>
        <v/>
      </c>
      <c r="D598" s="3" t="s">
        <v>1439</v>
      </c>
      <c r="E598" s="7">
        <v>45392</v>
      </c>
      <c r="F598" s="3" t="s">
        <v>410</v>
      </c>
      <c r="G598" s="7">
        <v>45398</v>
      </c>
      <c r="H598" s="7" t="str">
        <f t="shared" si="199"/>
        <v>Valid</v>
      </c>
      <c r="I598" s="9">
        <f t="shared" si="200"/>
        <v>6</v>
      </c>
      <c r="J598" s="9" t="str">
        <f t="shared" si="201"/>
        <v>Valid</v>
      </c>
      <c r="K598" t="s">
        <v>2849</v>
      </c>
      <c r="L598" t="s">
        <v>106</v>
      </c>
      <c r="M598" t="s">
        <v>106</v>
      </c>
      <c r="N598" t="s">
        <v>25</v>
      </c>
      <c r="O598" s="3" t="str">
        <f t="shared" si="202"/>
        <v>Consumer</v>
      </c>
      <c r="P598" t="s">
        <v>61</v>
      </c>
      <c r="Q598" s="3" t="str">
        <f t="shared" si="203"/>
        <v>South</v>
      </c>
      <c r="R598" t="s">
        <v>241</v>
      </c>
      <c r="S598" t="s">
        <v>242</v>
      </c>
      <c r="T598" t="s">
        <v>44</v>
      </c>
      <c r="U598" s="3" t="str">
        <f t="shared" si="204"/>
        <v>Furniture</v>
      </c>
      <c r="V598" t="s">
        <v>75</v>
      </c>
      <c r="W598" t="s">
        <v>2850</v>
      </c>
      <c r="X598" t="s">
        <v>32</v>
      </c>
      <c r="Y598" s="3" t="str">
        <f t="shared" si="205"/>
        <v>Second Class</v>
      </c>
      <c r="Z598">
        <v>9</v>
      </c>
      <c r="AA598">
        <v>2723.26</v>
      </c>
      <c r="AB598">
        <v>0.25</v>
      </c>
      <c r="AC598">
        <f t="shared" si="206"/>
        <v>0.25</v>
      </c>
      <c r="AD598" t="str">
        <f t="shared" si="209"/>
        <v>Valid</v>
      </c>
      <c r="AE598">
        <v>18382.009999999998</v>
      </c>
      <c r="AF598">
        <v>13108.2</v>
      </c>
      <c r="AG598">
        <v>5273.81</v>
      </c>
      <c r="AH598" t="s">
        <v>33</v>
      </c>
      <c r="AI598" t="str">
        <f t="shared" si="210"/>
        <v>Include</v>
      </c>
      <c r="AJ598" t="str">
        <f t="shared" si="211"/>
        <v/>
      </c>
      <c r="AK598" t="s">
        <v>34</v>
      </c>
      <c r="AL598" t="str">
        <f t="shared" si="207"/>
        <v>Completed</v>
      </c>
      <c r="AM598" t="str">
        <f t="shared" si="212"/>
        <v>Include</v>
      </c>
      <c r="AN598">
        <f t="shared" si="213"/>
        <v>18382.005000000005</v>
      </c>
      <c r="AO598">
        <f t="shared" si="214"/>
        <v>5273.8050000000039</v>
      </c>
      <c r="AP598">
        <f>IF(AN598=0,0,AO598/AN598)</f>
        <v>0.28690042245119629</v>
      </c>
      <c r="AQ598" t="str">
        <f t="shared" si="215"/>
        <v>April</v>
      </c>
      <c r="AR598">
        <f t="shared" si="216"/>
        <v>2024</v>
      </c>
      <c r="AS598" t="str">
        <f t="shared" si="217"/>
        <v>Clean</v>
      </c>
      <c r="AT598" t="str">
        <f>IF(OR(AC598&lt;0,AC598&gt;0.5),"Invalid Discount","Valid")</f>
        <v>Valid</v>
      </c>
      <c r="AU598" t="str">
        <f>IF(G598&lt;E598,"Invalid Shipping Record","Valid")</f>
        <v>Valid</v>
      </c>
      <c r="AV598" t="str">
        <f>IF(OR(AL598="Cancelled",AH598="Failed"),"Exclude","Include")</f>
        <v>Include</v>
      </c>
      <c r="AW598" t="str">
        <f t="shared" si="218"/>
        <v>Match</v>
      </c>
      <c r="AX598" t="str">
        <f t="shared" si="219"/>
        <v>Match</v>
      </c>
    </row>
    <row r="599" spans="1:50">
      <c r="A599" t="s">
        <v>2851</v>
      </c>
      <c r="B599">
        <f t="shared" si="198"/>
        <v>1</v>
      </c>
      <c r="C599" t="str">
        <f t="shared" si="208"/>
        <v/>
      </c>
      <c r="D599" s="3" t="s">
        <v>2852</v>
      </c>
      <c r="E599" s="7">
        <v>45846</v>
      </c>
      <c r="F599" s="3" t="s">
        <v>487</v>
      </c>
      <c r="G599" s="7">
        <v>45846</v>
      </c>
      <c r="H599" s="7" t="str">
        <f t="shared" si="199"/>
        <v>Valid</v>
      </c>
      <c r="I599" s="9">
        <f t="shared" si="200"/>
        <v>0</v>
      </c>
      <c r="J599" s="9" t="str">
        <f t="shared" si="201"/>
        <v>Valid</v>
      </c>
      <c r="K599" t="s">
        <v>2853</v>
      </c>
      <c r="L599" t="s">
        <v>106</v>
      </c>
      <c r="M599" t="s">
        <v>106</v>
      </c>
      <c r="N599" t="s">
        <v>25</v>
      </c>
      <c r="O599" s="3" t="str">
        <f t="shared" si="202"/>
        <v>Consumer</v>
      </c>
      <c r="P599" t="s">
        <v>61</v>
      </c>
      <c r="Q599" s="3" t="str">
        <f t="shared" si="203"/>
        <v>South</v>
      </c>
      <c r="R599" t="s">
        <v>62</v>
      </c>
      <c r="S599" t="s">
        <v>63</v>
      </c>
      <c r="T599" t="s">
        <v>85</v>
      </c>
      <c r="U599" s="3" t="str">
        <f t="shared" si="204"/>
        <v>Technology</v>
      </c>
      <c r="V599" t="s">
        <v>93</v>
      </c>
      <c r="W599" t="s">
        <v>2854</v>
      </c>
      <c r="X599" t="s">
        <v>47</v>
      </c>
      <c r="Y599" s="3" t="str">
        <f t="shared" si="205"/>
        <v>Same Day</v>
      </c>
      <c r="Z599">
        <v>9</v>
      </c>
      <c r="AA599">
        <v>274.88</v>
      </c>
      <c r="AB599">
        <v>0.25</v>
      </c>
      <c r="AC599">
        <f t="shared" si="206"/>
        <v>0.25</v>
      </c>
      <c r="AD599" t="str">
        <f t="shared" si="209"/>
        <v>Valid</v>
      </c>
      <c r="AE599">
        <v>1855.44</v>
      </c>
      <c r="AF599">
        <v>1262.74</v>
      </c>
      <c r="AG599">
        <v>592.70000000000005</v>
      </c>
      <c r="AH599" t="s">
        <v>33</v>
      </c>
      <c r="AI599" t="str">
        <f t="shared" si="210"/>
        <v>Include</v>
      </c>
      <c r="AJ599" t="str">
        <f t="shared" si="211"/>
        <v/>
      </c>
      <c r="AK599" t="s">
        <v>34</v>
      </c>
      <c r="AL599" t="str">
        <f t="shared" si="207"/>
        <v>Completed</v>
      </c>
      <c r="AM599" t="str">
        <f t="shared" si="212"/>
        <v>Include</v>
      </c>
      <c r="AN599">
        <f t="shared" si="213"/>
        <v>1855.44</v>
      </c>
      <c r="AO599">
        <f t="shared" si="214"/>
        <v>592.70000000000005</v>
      </c>
      <c r="AP599">
        <f>IF(AN599=0,0,AO599/AN599)</f>
        <v>0.3194390548872505</v>
      </c>
      <c r="AQ599" t="str">
        <f t="shared" si="215"/>
        <v>July</v>
      </c>
      <c r="AR599">
        <f t="shared" si="216"/>
        <v>2025</v>
      </c>
      <c r="AS599" t="str">
        <f t="shared" si="217"/>
        <v>Clean</v>
      </c>
      <c r="AT599" t="str">
        <f>IF(OR(AC599&lt;0,AC599&gt;0.5),"Invalid Discount","Valid")</f>
        <v>Valid</v>
      </c>
      <c r="AU599" t="str">
        <f>IF(G599&lt;E599,"Invalid Shipping Record","Valid")</f>
        <v>Valid</v>
      </c>
      <c r="AV599" t="str">
        <f>IF(OR(AL599="Cancelled",AH599="Failed"),"Exclude","Include")</f>
        <v>Include</v>
      </c>
      <c r="AW599" t="str">
        <f t="shared" si="218"/>
        <v>Match</v>
      </c>
      <c r="AX599" t="str">
        <f t="shared" si="219"/>
        <v>Match</v>
      </c>
    </row>
    <row r="600" spans="1:50">
      <c r="A600" t="s">
        <v>2855</v>
      </c>
      <c r="B600">
        <f t="shared" si="198"/>
        <v>1</v>
      </c>
      <c r="C600" t="str">
        <f t="shared" si="208"/>
        <v/>
      </c>
      <c r="D600" s="3" t="s">
        <v>2438</v>
      </c>
      <c r="E600" s="7">
        <v>45521</v>
      </c>
      <c r="F600" s="3" t="s">
        <v>2856</v>
      </c>
      <c r="G600" s="7">
        <v>45528</v>
      </c>
      <c r="H600" s="7" t="str">
        <f t="shared" si="199"/>
        <v>Valid</v>
      </c>
      <c r="I600" s="9">
        <f t="shared" si="200"/>
        <v>7</v>
      </c>
      <c r="J600" s="9" t="str">
        <f t="shared" si="201"/>
        <v>Valid</v>
      </c>
      <c r="K600" t="s">
        <v>2857</v>
      </c>
      <c r="L600" t="s">
        <v>71</v>
      </c>
      <c r="M600" t="s">
        <v>71</v>
      </c>
      <c r="N600" t="s">
        <v>107</v>
      </c>
      <c r="O600" s="3" t="str">
        <f t="shared" si="202"/>
        <v>Corporate</v>
      </c>
      <c r="P600" t="s">
        <v>41</v>
      </c>
      <c r="Q600" s="3" t="str">
        <f t="shared" si="203"/>
        <v>East</v>
      </c>
      <c r="R600" t="s">
        <v>120</v>
      </c>
      <c r="S600" t="s">
        <v>121</v>
      </c>
      <c r="T600" t="s">
        <v>85</v>
      </c>
      <c r="U600" s="3" t="str">
        <f t="shared" si="204"/>
        <v>Technology</v>
      </c>
      <c r="V600" t="s">
        <v>93</v>
      </c>
      <c r="W600" t="s">
        <v>2858</v>
      </c>
      <c r="X600" t="s">
        <v>47</v>
      </c>
      <c r="Y600" s="3" t="str">
        <f t="shared" si="205"/>
        <v>Same Day</v>
      </c>
      <c r="Z600">
        <v>3</v>
      </c>
      <c r="AA600">
        <v>1490.69</v>
      </c>
      <c r="AB600">
        <v>0.25</v>
      </c>
      <c r="AC600">
        <f t="shared" si="206"/>
        <v>0.25</v>
      </c>
      <c r="AD600" t="str">
        <f t="shared" si="209"/>
        <v>Valid</v>
      </c>
      <c r="AE600">
        <v>3354.05</v>
      </c>
      <c r="AF600">
        <v>2672.67</v>
      </c>
      <c r="AG600">
        <v>681.38</v>
      </c>
      <c r="AH600" t="s">
        <v>33</v>
      </c>
      <c r="AI600" t="str">
        <f t="shared" si="210"/>
        <v>Include</v>
      </c>
      <c r="AJ600" t="str">
        <f t="shared" si="211"/>
        <v/>
      </c>
      <c r="AK600" t="s">
        <v>34</v>
      </c>
      <c r="AL600" t="str">
        <f t="shared" si="207"/>
        <v>Completed</v>
      </c>
      <c r="AM600" t="str">
        <f t="shared" si="212"/>
        <v>Include</v>
      </c>
      <c r="AN600">
        <f t="shared" si="213"/>
        <v>3354.0524999999998</v>
      </c>
      <c r="AO600">
        <f t="shared" si="214"/>
        <v>681.38249999999971</v>
      </c>
      <c r="AP600">
        <f>IF(AN600=0,0,AO600/AN600)</f>
        <v>0.20315200790685289</v>
      </c>
      <c r="AQ600" t="str">
        <f t="shared" si="215"/>
        <v>August</v>
      </c>
      <c r="AR600">
        <f t="shared" si="216"/>
        <v>2024</v>
      </c>
      <c r="AS600" t="str">
        <f t="shared" si="217"/>
        <v>Clean</v>
      </c>
      <c r="AT600" t="str">
        <f>IF(OR(AC600&lt;0,AC600&gt;0.5),"Invalid Discount","Valid")</f>
        <v>Valid</v>
      </c>
      <c r="AU600" t="str">
        <f>IF(G600&lt;E600,"Invalid Shipping Record","Valid")</f>
        <v>Valid</v>
      </c>
      <c r="AV600" t="str">
        <f>IF(OR(AL600="Cancelled",AH600="Failed"),"Exclude","Include")</f>
        <v>Include</v>
      </c>
      <c r="AW600" t="str">
        <f t="shared" si="218"/>
        <v>Match</v>
      </c>
      <c r="AX600" t="str">
        <f t="shared" si="219"/>
        <v>Match</v>
      </c>
    </row>
    <row r="601" spans="1:50">
      <c r="A601" t="s">
        <v>2859</v>
      </c>
      <c r="B601">
        <f t="shared" si="198"/>
        <v>1</v>
      </c>
      <c r="C601" t="str">
        <f t="shared" si="208"/>
        <v/>
      </c>
      <c r="D601" s="3" t="s">
        <v>2860</v>
      </c>
      <c r="E601" s="7">
        <v>45523</v>
      </c>
      <c r="F601" s="3" t="s">
        <v>1625</v>
      </c>
      <c r="G601" s="7">
        <v>45525</v>
      </c>
      <c r="H601" s="7" t="str">
        <f t="shared" si="199"/>
        <v>Valid</v>
      </c>
      <c r="I601" s="9">
        <f t="shared" si="200"/>
        <v>2</v>
      </c>
      <c r="J601" s="9" t="str">
        <f t="shared" si="201"/>
        <v>Valid</v>
      </c>
      <c r="K601" t="s">
        <v>2861</v>
      </c>
      <c r="L601" t="s">
        <v>60</v>
      </c>
      <c r="M601" t="s">
        <v>60</v>
      </c>
      <c r="N601" t="s">
        <v>25</v>
      </c>
      <c r="O601" s="3" t="str">
        <f t="shared" si="202"/>
        <v>Consumer</v>
      </c>
      <c r="P601" t="s">
        <v>26</v>
      </c>
      <c r="Q601" s="3" t="str">
        <f t="shared" si="203"/>
        <v>North</v>
      </c>
      <c r="R601" t="s">
        <v>153</v>
      </c>
      <c r="S601" t="s">
        <v>154</v>
      </c>
      <c r="T601" t="s">
        <v>85</v>
      </c>
      <c r="U601" s="3" t="str">
        <f t="shared" si="204"/>
        <v>Technology</v>
      </c>
      <c r="V601" t="s">
        <v>222</v>
      </c>
      <c r="W601" t="s">
        <v>2862</v>
      </c>
      <c r="X601" t="s">
        <v>55</v>
      </c>
      <c r="Y601" s="3" t="str">
        <f t="shared" si="205"/>
        <v>First Class</v>
      </c>
      <c r="Z601">
        <v>3</v>
      </c>
      <c r="AA601">
        <v>1103.54</v>
      </c>
      <c r="AB601">
        <v>0.25</v>
      </c>
      <c r="AC601">
        <f t="shared" si="206"/>
        <v>0.25</v>
      </c>
      <c r="AD601" t="str">
        <f t="shared" si="209"/>
        <v>Valid</v>
      </c>
      <c r="AE601">
        <v>2482.9699999999998</v>
      </c>
      <c r="AF601">
        <v>1621.72</v>
      </c>
      <c r="AG601">
        <v>861.25</v>
      </c>
      <c r="AH601" t="s">
        <v>33</v>
      </c>
      <c r="AI601" t="str">
        <f t="shared" si="210"/>
        <v>Include</v>
      </c>
      <c r="AJ601" t="str">
        <f t="shared" si="211"/>
        <v/>
      </c>
      <c r="AK601" t="s">
        <v>34</v>
      </c>
      <c r="AL601" t="str">
        <f t="shared" si="207"/>
        <v>Completed</v>
      </c>
      <c r="AM601" t="str">
        <f t="shared" si="212"/>
        <v>Include</v>
      </c>
      <c r="AN601">
        <f t="shared" si="213"/>
        <v>2482.9650000000001</v>
      </c>
      <c r="AO601">
        <f t="shared" si="214"/>
        <v>861.24500000000012</v>
      </c>
      <c r="AP601">
        <f>IF(AN601=0,0,AO601/AN601)</f>
        <v>0.34686151435884116</v>
      </c>
      <c r="AQ601" t="str">
        <f t="shared" si="215"/>
        <v>August</v>
      </c>
      <c r="AR601">
        <f t="shared" si="216"/>
        <v>2024</v>
      </c>
      <c r="AS601" t="str">
        <f t="shared" si="217"/>
        <v>Clean</v>
      </c>
      <c r="AT601" t="str">
        <f>IF(OR(AC601&lt;0,AC601&gt;0.5),"Invalid Discount","Valid")</f>
        <v>Valid</v>
      </c>
      <c r="AU601" t="str">
        <f>IF(G601&lt;E601,"Invalid Shipping Record","Valid")</f>
        <v>Valid</v>
      </c>
      <c r="AV601" t="str">
        <f>IF(OR(AL601="Cancelled",AH601="Failed"),"Exclude","Include")</f>
        <v>Include</v>
      </c>
      <c r="AW601" t="str">
        <f t="shared" si="218"/>
        <v>Match</v>
      </c>
      <c r="AX601" t="str">
        <f t="shared" si="219"/>
        <v>Match</v>
      </c>
    </row>
    <row r="602" spans="1:50">
      <c r="A602" t="s">
        <v>2863</v>
      </c>
      <c r="B602">
        <f t="shared" si="198"/>
        <v>1</v>
      </c>
      <c r="C602" t="str">
        <f t="shared" si="208"/>
        <v/>
      </c>
      <c r="D602" s="3" t="s">
        <v>2864</v>
      </c>
      <c r="E602" s="7">
        <v>45721</v>
      </c>
      <c r="F602" s="3" t="s">
        <v>2865</v>
      </c>
      <c r="G602" s="7">
        <v>45728</v>
      </c>
      <c r="H602" s="7" t="str">
        <f t="shared" si="199"/>
        <v>Valid</v>
      </c>
      <c r="I602" s="9">
        <f t="shared" si="200"/>
        <v>7</v>
      </c>
      <c r="J602" s="9" t="str">
        <f t="shared" si="201"/>
        <v>Valid</v>
      </c>
      <c r="K602" t="s">
        <v>2866</v>
      </c>
      <c r="L602" t="s">
        <v>71</v>
      </c>
      <c r="M602" t="s">
        <v>71</v>
      </c>
      <c r="N602" t="s">
        <v>107</v>
      </c>
      <c r="O602" s="3" t="str">
        <f t="shared" si="202"/>
        <v>Corporate</v>
      </c>
      <c r="P602" t="s">
        <v>72</v>
      </c>
      <c r="Q602" s="3" t="str">
        <f t="shared" si="203"/>
        <v>West</v>
      </c>
      <c r="R602" t="s">
        <v>83</v>
      </c>
      <c r="S602" t="s">
        <v>84</v>
      </c>
      <c r="T602" t="s">
        <v>29</v>
      </c>
      <c r="U602" s="3" t="str">
        <f t="shared" si="204"/>
        <v>Office Supplies</v>
      </c>
      <c r="V602" t="s">
        <v>155</v>
      </c>
      <c r="W602" t="s">
        <v>2867</v>
      </c>
      <c r="X602" t="s">
        <v>47</v>
      </c>
      <c r="Y602" s="3" t="str">
        <f t="shared" si="205"/>
        <v>Same Day</v>
      </c>
      <c r="Z602">
        <v>3</v>
      </c>
      <c r="AA602">
        <v>3682.75</v>
      </c>
      <c r="AC602">
        <f t="shared" si="206"/>
        <v>0</v>
      </c>
      <c r="AD602" t="str">
        <f t="shared" si="209"/>
        <v>Valid</v>
      </c>
      <c r="AE602">
        <v>11048.25</v>
      </c>
      <c r="AF602">
        <v>9062.7199999999993</v>
      </c>
      <c r="AG602">
        <v>1985.53</v>
      </c>
      <c r="AH602" t="s">
        <v>33</v>
      </c>
      <c r="AI602" t="str">
        <f t="shared" si="210"/>
        <v>Include</v>
      </c>
      <c r="AJ602" t="str">
        <f t="shared" si="211"/>
        <v/>
      </c>
      <c r="AK602" t="s">
        <v>34</v>
      </c>
      <c r="AL602" t="str">
        <f t="shared" si="207"/>
        <v>Completed</v>
      </c>
      <c r="AM602" t="str">
        <f t="shared" si="212"/>
        <v>Include</v>
      </c>
      <c r="AN602">
        <f t="shared" si="213"/>
        <v>11048.25</v>
      </c>
      <c r="AO602">
        <f t="shared" si="214"/>
        <v>1985.5300000000007</v>
      </c>
      <c r="AP602">
        <f>IF(AN602=0,0,AO602/AN602)</f>
        <v>0.17971443441268986</v>
      </c>
      <c r="AQ602" t="str">
        <f t="shared" si="215"/>
        <v>March</v>
      </c>
      <c r="AR602">
        <f t="shared" si="216"/>
        <v>2025</v>
      </c>
      <c r="AS602" t="str">
        <f t="shared" si="217"/>
        <v>Clean</v>
      </c>
      <c r="AT602" t="str">
        <f>IF(OR(AC602&lt;0,AC602&gt;0.5),"Invalid Discount","Valid")</f>
        <v>Valid</v>
      </c>
      <c r="AU602" t="str">
        <f>IF(G602&lt;E602,"Invalid Shipping Record","Valid")</f>
        <v>Valid</v>
      </c>
      <c r="AV602" t="str">
        <f>IF(OR(AL602="Cancelled",AH602="Failed"),"Exclude","Include")</f>
        <v>Include</v>
      </c>
      <c r="AW602" t="str">
        <f t="shared" si="218"/>
        <v>Match</v>
      </c>
      <c r="AX602" t="str">
        <f t="shared" si="219"/>
        <v>Match</v>
      </c>
    </row>
    <row r="603" spans="1:50">
      <c r="A603" t="s">
        <v>2868</v>
      </c>
      <c r="B603">
        <f t="shared" si="198"/>
        <v>1</v>
      </c>
      <c r="C603" t="str">
        <f t="shared" si="208"/>
        <v/>
      </c>
      <c r="D603" s="3" t="s">
        <v>2869</v>
      </c>
      <c r="E603" s="7">
        <v>45317</v>
      </c>
      <c r="F603" s="3" t="s">
        <v>2870</v>
      </c>
      <c r="G603" s="7">
        <v>45322</v>
      </c>
      <c r="H603" s="7" t="str">
        <f t="shared" si="199"/>
        <v>Valid</v>
      </c>
      <c r="I603" s="9">
        <f t="shared" si="200"/>
        <v>5</v>
      </c>
      <c r="J603" s="9" t="str">
        <f t="shared" si="201"/>
        <v>Valid</v>
      </c>
      <c r="K603" t="s">
        <v>2871</v>
      </c>
      <c r="L603" t="s">
        <v>71</v>
      </c>
      <c r="M603" t="s">
        <v>71</v>
      </c>
      <c r="N603" t="s">
        <v>114</v>
      </c>
      <c r="O603" s="3" t="str">
        <f t="shared" si="202"/>
        <v>Home Office</v>
      </c>
      <c r="P603" t="s">
        <v>41</v>
      </c>
      <c r="Q603" s="3" t="str">
        <f t="shared" si="203"/>
        <v>East</v>
      </c>
      <c r="R603" t="s">
        <v>120</v>
      </c>
      <c r="S603" t="s">
        <v>121</v>
      </c>
      <c r="T603" t="s">
        <v>29</v>
      </c>
      <c r="U603" s="3" t="str">
        <f t="shared" si="204"/>
        <v>Office Supplies</v>
      </c>
      <c r="V603" t="s">
        <v>30</v>
      </c>
      <c r="W603" t="s">
        <v>2872</v>
      </c>
      <c r="X603" t="s">
        <v>32</v>
      </c>
      <c r="Y603" s="3" t="str">
        <f t="shared" si="205"/>
        <v>Second Class</v>
      </c>
      <c r="Z603">
        <v>5</v>
      </c>
      <c r="AA603">
        <v>1615.03</v>
      </c>
      <c r="AB603">
        <v>0.2</v>
      </c>
      <c r="AC603">
        <f t="shared" si="206"/>
        <v>0.2</v>
      </c>
      <c r="AD603" t="str">
        <f t="shared" si="209"/>
        <v>Valid</v>
      </c>
      <c r="AE603">
        <v>6460.12</v>
      </c>
      <c r="AF603">
        <v>3604.03</v>
      </c>
      <c r="AG603">
        <v>2856.09</v>
      </c>
      <c r="AH603" t="s">
        <v>33</v>
      </c>
      <c r="AI603" t="str">
        <f t="shared" si="210"/>
        <v>Include</v>
      </c>
      <c r="AJ603" t="str">
        <f t="shared" si="211"/>
        <v/>
      </c>
      <c r="AK603" t="s">
        <v>34</v>
      </c>
      <c r="AL603" t="str">
        <f t="shared" si="207"/>
        <v>Completed</v>
      </c>
      <c r="AM603" t="str">
        <f t="shared" si="212"/>
        <v>Include</v>
      </c>
      <c r="AN603">
        <f t="shared" si="213"/>
        <v>6460.12</v>
      </c>
      <c r="AO603">
        <f t="shared" si="214"/>
        <v>2856.0899999999997</v>
      </c>
      <c r="AP603">
        <f>IF(AN603=0,0,AO603/AN603)</f>
        <v>0.44211098245853014</v>
      </c>
      <c r="AQ603" t="str">
        <f t="shared" si="215"/>
        <v>January</v>
      </c>
      <c r="AR603">
        <f t="shared" si="216"/>
        <v>2024</v>
      </c>
      <c r="AS603" t="str">
        <f t="shared" si="217"/>
        <v>Clean</v>
      </c>
      <c r="AT603" t="str">
        <f>IF(OR(AC603&lt;0,AC603&gt;0.5),"Invalid Discount","Valid")</f>
        <v>Valid</v>
      </c>
      <c r="AU603" t="str">
        <f>IF(G603&lt;E603,"Invalid Shipping Record","Valid")</f>
        <v>Valid</v>
      </c>
      <c r="AV603" t="str">
        <f>IF(OR(AL603="Cancelled",AH603="Failed"),"Exclude","Include")</f>
        <v>Include</v>
      </c>
      <c r="AW603" t="str">
        <f t="shared" si="218"/>
        <v>Match</v>
      </c>
      <c r="AX603" t="str">
        <f t="shared" si="219"/>
        <v>Match</v>
      </c>
    </row>
    <row r="604" spans="1:50">
      <c r="A604" t="s">
        <v>2873</v>
      </c>
      <c r="B604">
        <f t="shared" ref="B604:B667" si="220">COUNTIF($A:$A,A604)</f>
        <v>1</v>
      </c>
      <c r="C604" t="str">
        <f t="shared" si="208"/>
        <v/>
      </c>
      <c r="D604" s="3" t="s">
        <v>2874</v>
      </c>
      <c r="E604" s="7">
        <v>45588</v>
      </c>
      <c r="F604" s="3" t="s">
        <v>2875</v>
      </c>
      <c r="G604" s="7">
        <v>45595</v>
      </c>
      <c r="H604" s="7" t="str">
        <f t="shared" si="199"/>
        <v>Valid</v>
      </c>
      <c r="I604" s="9">
        <f t="shared" si="200"/>
        <v>7</v>
      </c>
      <c r="J604" s="9" t="str">
        <f t="shared" si="201"/>
        <v>Valid</v>
      </c>
      <c r="K604" t="s">
        <v>2876</v>
      </c>
      <c r="L604" t="s">
        <v>161</v>
      </c>
      <c r="M604" t="s">
        <v>161</v>
      </c>
      <c r="N604" t="s">
        <v>25</v>
      </c>
      <c r="O604" s="3" t="str">
        <f t="shared" si="202"/>
        <v>Consumer</v>
      </c>
      <c r="P604" t="s">
        <v>41</v>
      </c>
      <c r="Q604" s="3" t="str">
        <f t="shared" si="203"/>
        <v>East</v>
      </c>
      <c r="R604" t="s">
        <v>310</v>
      </c>
      <c r="S604" t="s">
        <v>311</v>
      </c>
      <c r="T604" t="s">
        <v>85</v>
      </c>
      <c r="U604" s="3" t="str">
        <f t="shared" si="204"/>
        <v>Technology</v>
      </c>
      <c r="V604" t="s">
        <v>93</v>
      </c>
      <c r="W604" t="s">
        <v>2877</v>
      </c>
      <c r="X604" t="s">
        <v>32</v>
      </c>
      <c r="Y604" s="3" t="str">
        <f t="shared" si="205"/>
        <v>Second Class</v>
      </c>
      <c r="Z604">
        <v>9</v>
      </c>
      <c r="AA604">
        <v>3423.82</v>
      </c>
      <c r="AB604">
        <v>0.15</v>
      </c>
      <c r="AC604">
        <f t="shared" si="206"/>
        <v>0.15</v>
      </c>
      <c r="AD604" t="str">
        <f t="shared" si="209"/>
        <v>Valid</v>
      </c>
      <c r="AE604">
        <v>26192.22</v>
      </c>
      <c r="AF604">
        <v>20795.55</v>
      </c>
      <c r="AG604">
        <v>5396.67</v>
      </c>
      <c r="AH604" t="s">
        <v>33</v>
      </c>
      <c r="AI604" t="str">
        <f t="shared" si="210"/>
        <v>Include</v>
      </c>
      <c r="AJ604" t="str">
        <f t="shared" si="211"/>
        <v/>
      </c>
      <c r="AK604" t="s">
        <v>34</v>
      </c>
      <c r="AL604" t="str">
        <f t="shared" si="207"/>
        <v>Completed</v>
      </c>
      <c r="AM604" t="str">
        <f t="shared" si="212"/>
        <v>Include</v>
      </c>
      <c r="AN604">
        <f t="shared" si="213"/>
        <v>26192.223000000002</v>
      </c>
      <c r="AO604">
        <f t="shared" si="214"/>
        <v>5396.6730000000025</v>
      </c>
      <c r="AP604">
        <f>IF(AN604=0,0,AO604/AN604)</f>
        <v>0.20604104508426041</v>
      </c>
      <c r="AQ604" t="str">
        <f t="shared" si="215"/>
        <v>October</v>
      </c>
      <c r="AR604">
        <f t="shared" si="216"/>
        <v>2024</v>
      </c>
      <c r="AS604" t="str">
        <f t="shared" si="217"/>
        <v>Clean</v>
      </c>
      <c r="AT604" t="str">
        <f>IF(OR(AC604&lt;0,AC604&gt;0.5),"Invalid Discount","Valid")</f>
        <v>Valid</v>
      </c>
      <c r="AU604" t="str">
        <f>IF(G604&lt;E604,"Invalid Shipping Record","Valid")</f>
        <v>Valid</v>
      </c>
      <c r="AV604" t="str">
        <f>IF(OR(AL604="Cancelled",AH604="Failed"),"Exclude","Include")</f>
        <v>Include</v>
      </c>
      <c r="AW604" t="str">
        <f t="shared" si="218"/>
        <v>Match</v>
      </c>
      <c r="AX604" t="str">
        <f t="shared" si="219"/>
        <v>Match</v>
      </c>
    </row>
    <row r="605" spans="1:50">
      <c r="A605" t="s">
        <v>2878</v>
      </c>
      <c r="B605">
        <f t="shared" si="220"/>
        <v>1</v>
      </c>
      <c r="C605" t="str">
        <f t="shared" si="208"/>
        <v/>
      </c>
      <c r="D605" s="3" t="s">
        <v>2879</v>
      </c>
      <c r="E605" s="7">
        <v>45660</v>
      </c>
      <c r="F605" s="3" t="s">
        <v>591</v>
      </c>
      <c r="G605" s="7">
        <v>45668</v>
      </c>
      <c r="H605" s="7" t="str">
        <f t="shared" si="199"/>
        <v>Valid</v>
      </c>
      <c r="I605" s="9">
        <f t="shared" si="200"/>
        <v>8</v>
      </c>
      <c r="J605" s="9" t="str">
        <f t="shared" si="201"/>
        <v>Valid</v>
      </c>
      <c r="K605" t="s">
        <v>479</v>
      </c>
      <c r="L605" t="s">
        <v>82</v>
      </c>
      <c r="M605" t="s">
        <v>82</v>
      </c>
      <c r="N605" t="s">
        <v>107</v>
      </c>
      <c r="O605" s="3" t="str">
        <f t="shared" si="202"/>
        <v>Corporate</v>
      </c>
      <c r="P605" t="s">
        <v>41</v>
      </c>
      <c r="Q605" s="3" t="str">
        <f t="shared" si="203"/>
        <v>East</v>
      </c>
      <c r="R605" t="s">
        <v>185</v>
      </c>
      <c r="S605" t="s">
        <v>186</v>
      </c>
      <c r="T605" t="s">
        <v>85</v>
      </c>
      <c r="U605" s="3" t="str">
        <f t="shared" si="204"/>
        <v>Technology</v>
      </c>
      <c r="V605" t="s">
        <v>86</v>
      </c>
      <c r="W605" t="s">
        <v>2880</v>
      </c>
      <c r="X605" t="s">
        <v>55</v>
      </c>
      <c r="Y605" s="3" t="str">
        <f t="shared" si="205"/>
        <v>First Class</v>
      </c>
      <c r="Z605">
        <v>8</v>
      </c>
      <c r="AA605">
        <v>2574.29</v>
      </c>
      <c r="AB605">
        <v>0.05</v>
      </c>
      <c r="AC605">
        <f t="shared" si="206"/>
        <v>0.05</v>
      </c>
      <c r="AD605" t="str">
        <f t="shared" si="209"/>
        <v>Valid</v>
      </c>
      <c r="AE605">
        <v>19564.599999999999</v>
      </c>
      <c r="AF605">
        <v>11154.59</v>
      </c>
      <c r="AG605">
        <v>8410.01</v>
      </c>
      <c r="AH605" t="s">
        <v>136</v>
      </c>
      <c r="AI605" t="str">
        <f t="shared" si="210"/>
        <v>Exclude</v>
      </c>
      <c r="AJ605" t="str">
        <f t="shared" si="211"/>
        <v/>
      </c>
      <c r="AK605" t="s">
        <v>77</v>
      </c>
      <c r="AL605" t="str">
        <f t="shared" si="207"/>
        <v>Cancelled</v>
      </c>
      <c r="AM605" t="str">
        <f t="shared" si="212"/>
        <v>Exclude</v>
      </c>
      <c r="AN605">
        <f t="shared" si="213"/>
        <v>19564.603999999999</v>
      </c>
      <c r="AO605">
        <f t="shared" si="214"/>
        <v>8410.0139999999992</v>
      </c>
      <c r="AP605">
        <f>IF(AN605=0,0,AO605/AN605)</f>
        <v>0.42985863654587642</v>
      </c>
      <c r="AQ605" t="str">
        <f t="shared" si="215"/>
        <v>January</v>
      </c>
      <c r="AR605">
        <f t="shared" si="216"/>
        <v>2025</v>
      </c>
      <c r="AS605" t="str">
        <f t="shared" si="217"/>
        <v>Clean</v>
      </c>
      <c r="AT605" t="str">
        <f>IF(OR(AC605&lt;0,AC605&gt;0.5),"Invalid Discount","Valid")</f>
        <v>Valid</v>
      </c>
      <c r="AU605" t="str">
        <f>IF(G605&lt;E605,"Invalid Shipping Record","Valid")</f>
        <v>Valid</v>
      </c>
      <c r="AV605" t="str">
        <f>IF(OR(AL605="Cancelled",AH605="Failed"),"Exclude","Include")</f>
        <v>Exclude</v>
      </c>
      <c r="AW605" t="str">
        <f t="shared" si="218"/>
        <v>Match</v>
      </c>
      <c r="AX605" t="str">
        <f t="shared" si="219"/>
        <v>Match</v>
      </c>
    </row>
    <row r="606" spans="1:50">
      <c r="A606" t="s">
        <v>2881</v>
      </c>
      <c r="B606">
        <f t="shared" si="220"/>
        <v>1</v>
      </c>
      <c r="C606" t="str">
        <f t="shared" si="208"/>
        <v/>
      </c>
      <c r="D606" s="3" t="s">
        <v>2882</v>
      </c>
      <c r="E606" s="7">
        <v>45693</v>
      </c>
      <c r="F606" s="3" t="s">
        <v>2883</v>
      </c>
      <c r="G606" s="7">
        <v>45694</v>
      </c>
      <c r="H606" s="7" t="str">
        <f t="shared" si="199"/>
        <v>Valid</v>
      </c>
      <c r="I606" s="9">
        <f t="shared" si="200"/>
        <v>1</v>
      </c>
      <c r="J606" s="9" t="str">
        <f t="shared" si="201"/>
        <v>Valid</v>
      </c>
      <c r="K606" t="s">
        <v>2884</v>
      </c>
      <c r="L606" t="s">
        <v>71</v>
      </c>
      <c r="M606" t="s">
        <v>71</v>
      </c>
      <c r="N606" t="s">
        <v>25</v>
      </c>
      <c r="O606" s="3" t="str">
        <f t="shared" si="202"/>
        <v>Consumer</v>
      </c>
      <c r="P606" t="s">
        <v>72</v>
      </c>
      <c r="Q606" s="3" t="str">
        <f t="shared" si="203"/>
        <v>West</v>
      </c>
      <c r="R606" t="s">
        <v>83</v>
      </c>
      <c r="S606" t="s">
        <v>84</v>
      </c>
      <c r="T606" t="s">
        <v>29</v>
      </c>
      <c r="U606" s="3" t="str">
        <f t="shared" si="204"/>
        <v>Office Supplies</v>
      </c>
      <c r="V606" t="s">
        <v>197</v>
      </c>
      <c r="W606" t="s">
        <v>2885</v>
      </c>
      <c r="X606" t="s">
        <v>47</v>
      </c>
      <c r="Y606" s="3" t="str">
        <f t="shared" si="205"/>
        <v>Same Day</v>
      </c>
      <c r="Z606">
        <v>3</v>
      </c>
      <c r="AA606">
        <v>1076.3</v>
      </c>
      <c r="AB606">
        <v>0</v>
      </c>
      <c r="AC606">
        <f t="shared" si="206"/>
        <v>0</v>
      </c>
      <c r="AD606" t="str">
        <f t="shared" si="209"/>
        <v>Valid</v>
      </c>
      <c r="AE606">
        <v>3228.9</v>
      </c>
      <c r="AF606">
        <v>1853.23</v>
      </c>
      <c r="AG606">
        <v>1375.67</v>
      </c>
      <c r="AH606" t="s">
        <v>33</v>
      </c>
      <c r="AI606" t="str">
        <f t="shared" si="210"/>
        <v>Include</v>
      </c>
      <c r="AJ606" t="str">
        <f t="shared" si="211"/>
        <v/>
      </c>
      <c r="AK606" t="s">
        <v>34</v>
      </c>
      <c r="AL606" t="str">
        <f t="shared" si="207"/>
        <v>Completed</v>
      </c>
      <c r="AM606" t="str">
        <f t="shared" si="212"/>
        <v>Include</v>
      </c>
      <c r="AN606">
        <f t="shared" si="213"/>
        <v>3228.8999999999996</v>
      </c>
      <c r="AO606">
        <f t="shared" si="214"/>
        <v>1375.6699999999996</v>
      </c>
      <c r="AP606">
        <f>IF(AN606=0,0,AO606/AN606)</f>
        <v>0.42604911889497965</v>
      </c>
      <c r="AQ606" t="str">
        <f t="shared" si="215"/>
        <v>February</v>
      </c>
      <c r="AR606">
        <f t="shared" si="216"/>
        <v>2025</v>
      </c>
      <c r="AS606" t="str">
        <f t="shared" si="217"/>
        <v>Clean</v>
      </c>
      <c r="AT606" t="str">
        <f>IF(OR(AC606&lt;0,AC606&gt;0.5),"Invalid Discount","Valid")</f>
        <v>Valid</v>
      </c>
      <c r="AU606" t="str">
        <f>IF(G606&lt;E606,"Invalid Shipping Record","Valid")</f>
        <v>Valid</v>
      </c>
      <c r="AV606" t="str">
        <f>IF(OR(AL606="Cancelled",AH606="Failed"),"Exclude","Include")</f>
        <v>Include</v>
      </c>
      <c r="AW606" t="str">
        <f t="shared" si="218"/>
        <v>Match</v>
      </c>
      <c r="AX606" t="str">
        <f t="shared" si="219"/>
        <v>Match</v>
      </c>
    </row>
    <row r="607" spans="1:50">
      <c r="A607" t="s">
        <v>2886</v>
      </c>
      <c r="B607">
        <f t="shared" si="220"/>
        <v>1</v>
      </c>
      <c r="C607" t="str">
        <f t="shared" si="208"/>
        <v/>
      </c>
      <c r="D607" s="3" t="s">
        <v>2612</v>
      </c>
      <c r="E607" s="7">
        <v>45847</v>
      </c>
      <c r="F607" s="3" t="s">
        <v>2887</v>
      </c>
      <c r="G607" s="7">
        <v>45851</v>
      </c>
      <c r="H607" s="7" t="str">
        <f t="shared" si="199"/>
        <v>Valid</v>
      </c>
      <c r="I607" s="9">
        <f t="shared" si="200"/>
        <v>4</v>
      </c>
      <c r="J607" s="9" t="str">
        <f t="shared" si="201"/>
        <v>Valid</v>
      </c>
      <c r="K607" t="s">
        <v>2888</v>
      </c>
      <c r="L607" t="s">
        <v>365</v>
      </c>
      <c r="M607" t="s">
        <v>365</v>
      </c>
      <c r="N607" t="s">
        <v>107</v>
      </c>
      <c r="O607" s="3" t="str">
        <f t="shared" si="202"/>
        <v>Corporate</v>
      </c>
      <c r="P607" t="s">
        <v>72</v>
      </c>
      <c r="Q607" s="3" t="str">
        <f t="shared" si="203"/>
        <v>West</v>
      </c>
      <c r="R607" t="s">
        <v>248</v>
      </c>
      <c r="S607" t="s">
        <v>249</v>
      </c>
      <c r="T607" t="s">
        <v>44</v>
      </c>
      <c r="U607" s="3" t="str">
        <f t="shared" si="204"/>
        <v>Furniture</v>
      </c>
      <c r="V607" t="s">
        <v>64</v>
      </c>
      <c r="W607" t="s">
        <v>2889</v>
      </c>
      <c r="X607" t="s">
        <v>32</v>
      </c>
      <c r="Y607" s="3" t="str">
        <f t="shared" si="205"/>
        <v>Second Class</v>
      </c>
      <c r="Z607">
        <v>5</v>
      </c>
      <c r="AA607">
        <v>1680.01</v>
      </c>
      <c r="AB607" t="s">
        <v>1169</v>
      </c>
      <c r="AC607" t="str">
        <f t="shared" si="206"/>
        <v>85%</v>
      </c>
      <c r="AD607" t="str">
        <f t="shared" si="209"/>
        <v>Valid</v>
      </c>
      <c r="AE607">
        <v>7560.04</v>
      </c>
      <c r="AF607">
        <v>6448.05</v>
      </c>
      <c r="AG607">
        <v>1111.99</v>
      </c>
      <c r="AH607" t="s">
        <v>33</v>
      </c>
      <c r="AI607" t="str">
        <f t="shared" si="210"/>
        <v>Exclude</v>
      </c>
      <c r="AJ607" t="str">
        <f t="shared" si="211"/>
        <v/>
      </c>
      <c r="AK607" t="s">
        <v>77</v>
      </c>
      <c r="AL607" t="str">
        <f t="shared" si="207"/>
        <v>Cancelled</v>
      </c>
      <c r="AM607" t="str">
        <f t="shared" si="212"/>
        <v>Exclude</v>
      </c>
      <c r="AN607">
        <f t="shared" si="213"/>
        <v>1260.0075000000002</v>
      </c>
      <c r="AO607">
        <f t="shared" si="214"/>
        <v>-5188.0424999999996</v>
      </c>
      <c r="AP607">
        <f>IF(AN607=0,0,AO607/AN607)</f>
        <v>-4.1174695388717915</v>
      </c>
      <c r="AQ607" t="str">
        <f t="shared" si="215"/>
        <v>July</v>
      </c>
      <c r="AR607">
        <f t="shared" si="216"/>
        <v>2025</v>
      </c>
      <c r="AS607" t="str">
        <f t="shared" si="217"/>
        <v>Invalid</v>
      </c>
      <c r="AT607" t="str">
        <f>IF(OR(AC607&lt;0,AC607&gt;0.5),"Invalid Discount","Valid")</f>
        <v>Invalid Discount</v>
      </c>
      <c r="AU607" t="str">
        <f>IF(G607&lt;E607,"Invalid Shipping Record","Valid")</f>
        <v>Valid</v>
      </c>
      <c r="AV607" t="str">
        <f>IF(OR(AL607="Cancelled",AH607="Failed"),"Exclude","Include")</f>
        <v>Exclude</v>
      </c>
      <c r="AW607" t="str">
        <f t="shared" si="218"/>
        <v>Mismatch</v>
      </c>
      <c r="AX607" t="str">
        <f t="shared" si="219"/>
        <v>Mismatch</v>
      </c>
    </row>
    <row r="608" spans="1:50">
      <c r="A608" t="s">
        <v>2890</v>
      </c>
      <c r="B608">
        <f t="shared" si="220"/>
        <v>1</v>
      </c>
      <c r="C608" t="str">
        <f t="shared" si="208"/>
        <v/>
      </c>
      <c r="D608" s="3" t="s">
        <v>2891</v>
      </c>
      <c r="E608" s="7">
        <v>45710</v>
      </c>
      <c r="F608" s="3" t="s">
        <v>2527</v>
      </c>
      <c r="G608" s="7">
        <v>45716</v>
      </c>
      <c r="H608" s="7" t="str">
        <f t="shared" si="199"/>
        <v>Valid</v>
      </c>
      <c r="I608" s="9">
        <f t="shared" si="200"/>
        <v>6</v>
      </c>
      <c r="J608" s="9" t="str">
        <f t="shared" si="201"/>
        <v>Valid</v>
      </c>
      <c r="K608" t="s">
        <v>2892</v>
      </c>
      <c r="L608" t="s">
        <v>147</v>
      </c>
      <c r="M608" t="s">
        <v>147</v>
      </c>
      <c r="N608" t="s">
        <v>114</v>
      </c>
      <c r="O608" s="3" t="str">
        <f t="shared" si="202"/>
        <v>Home Office</v>
      </c>
      <c r="P608" t="s">
        <v>72</v>
      </c>
      <c r="Q608" s="3" t="str">
        <f t="shared" si="203"/>
        <v>West</v>
      </c>
      <c r="R608" t="s">
        <v>83</v>
      </c>
      <c r="S608" t="s">
        <v>84</v>
      </c>
      <c r="T608" t="s">
        <v>85</v>
      </c>
      <c r="U608" s="3" t="str">
        <f t="shared" si="204"/>
        <v>Technology</v>
      </c>
      <c r="V608" t="s">
        <v>93</v>
      </c>
      <c r="W608" t="s">
        <v>2893</v>
      </c>
      <c r="X608" t="s">
        <v>47</v>
      </c>
      <c r="Y608" s="3" t="str">
        <f t="shared" si="205"/>
        <v>Same Day</v>
      </c>
      <c r="Z608">
        <v>3</v>
      </c>
      <c r="AA608">
        <v>3890.81</v>
      </c>
      <c r="AB608">
        <v>0.25</v>
      </c>
      <c r="AC608">
        <f t="shared" si="206"/>
        <v>0.25</v>
      </c>
      <c r="AD608" t="str">
        <f t="shared" si="209"/>
        <v>Valid</v>
      </c>
      <c r="AE608">
        <v>8754.32</v>
      </c>
      <c r="AF608">
        <v>6238.9</v>
      </c>
      <c r="AG608">
        <v>2515.42</v>
      </c>
      <c r="AH608" t="s">
        <v>33</v>
      </c>
      <c r="AI608" t="str">
        <f t="shared" si="210"/>
        <v>Include</v>
      </c>
      <c r="AJ608" t="str">
        <f t="shared" si="211"/>
        <v/>
      </c>
      <c r="AK608" t="s">
        <v>34</v>
      </c>
      <c r="AL608" t="str">
        <f t="shared" si="207"/>
        <v>Completed</v>
      </c>
      <c r="AM608" t="str">
        <f t="shared" si="212"/>
        <v>Include</v>
      </c>
      <c r="AN608">
        <f t="shared" si="213"/>
        <v>8754.3225000000002</v>
      </c>
      <c r="AO608">
        <f t="shared" si="214"/>
        <v>2515.4225000000006</v>
      </c>
      <c r="AP608">
        <f>IF(AN608=0,0,AO608/AN608)</f>
        <v>0.28733491369549163</v>
      </c>
      <c r="AQ608" t="str">
        <f t="shared" si="215"/>
        <v>February</v>
      </c>
      <c r="AR608">
        <f t="shared" si="216"/>
        <v>2025</v>
      </c>
      <c r="AS608" t="str">
        <f t="shared" si="217"/>
        <v>Clean</v>
      </c>
      <c r="AT608" t="str">
        <f>IF(OR(AC608&lt;0,AC608&gt;0.5),"Invalid Discount","Valid")</f>
        <v>Valid</v>
      </c>
      <c r="AU608" t="str">
        <f>IF(G608&lt;E608,"Invalid Shipping Record","Valid")</f>
        <v>Valid</v>
      </c>
      <c r="AV608" t="str">
        <f>IF(OR(AL608="Cancelled",AH608="Failed"),"Exclude","Include")</f>
        <v>Include</v>
      </c>
      <c r="AW608" t="str">
        <f t="shared" si="218"/>
        <v>Match</v>
      </c>
      <c r="AX608" t="str">
        <f t="shared" si="219"/>
        <v>Match</v>
      </c>
    </row>
    <row r="609" spans="1:50">
      <c r="A609" t="s">
        <v>2894</v>
      </c>
      <c r="B609">
        <f t="shared" si="220"/>
        <v>1</v>
      </c>
      <c r="C609" t="str">
        <f t="shared" si="208"/>
        <v/>
      </c>
      <c r="D609" s="3" t="s">
        <v>2845</v>
      </c>
      <c r="E609" s="7">
        <v>45704</v>
      </c>
      <c r="F609" s="3" t="s">
        <v>2891</v>
      </c>
      <c r="G609" s="7">
        <v>45710</v>
      </c>
      <c r="H609" s="7" t="str">
        <f t="shared" si="199"/>
        <v>Valid</v>
      </c>
      <c r="I609" s="9">
        <f t="shared" si="200"/>
        <v>6</v>
      </c>
      <c r="J609" s="9" t="str">
        <f t="shared" si="201"/>
        <v>Valid</v>
      </c>
      <c r="K609" t="s">
        <v>2895</v>
      </c>
      <c r="L609" t="s">
        <v>167</v>
      </c>
      <c r="M609" t="s">
        <v>167</v>
      </c>
      <c r="N609" t="s">
        <v>114</v>
      </c>
      <c r="O609" s="3" t="str">
        <f t="shared" si="202"/>
        <v>Home Office</v>
      </c>
      <c r="P609" t="s">
        <v>41</v>
      </c>
      <c r="Q609" s="3" t="str">
        <f t="shared" si="203"/>
        <v>East</v>
      </c>
      <c r="R609" t="s">
        <v>185</v>
      </c>
      <c r="S609" t="s">
        <v>186</v>
      </c>
      <c r="T609" t="s">
        <v>29</v>
      </c>
      <c r="U609" s="3" t="str">
        <f t="shared" si="204"/>
        <v>Office Supplies</v>
      </c>
      <c r="V609" t="s">
        <v>155</v>
      </c>
      <c r="W609" t="s">
        <v>2896</v>
      </c>
      <c r="X609" t="s">
        <v>47</v>
      </c>
      <c r="Y609" s="3" t="str">
        <f t="shared" si="205"/>
        <v>Same Day</v>
      </c>
      <c r="Z609">
        <v>5</v>
      </c>
      <c r="AA609">
        <v>954.67</v>
      </c>
      <c r="AB609">
        <v>0.15</v>
      </c>
      <c r="AC609">
        <f t="shared" si="206"/>
        <v>0.15</v>
      </c>
      <c r="AD609" t="str">
        <f t="shared" si="209"/>
        <v>Valid</v>
      </c>
      <c r="AE609">
        <v>4057.35</v>
      </c>
      <c r="AF609">
        <v>2862.03</v>
      </c>
      <c r="AG609">
        <v>1195.32</v>
      </c>
      <c r="AH609" t="s">
        <v>33</v>
      </c>
      <c r="AI609" t="str">
        <f t="shared" si="210"/>
        <v>Include</v>
      </c>
      <c r="AJ609" t="str">
        <f t="shared" si="211"/>
        <v/>
      </c>
      <c r="AK609" t="s">
        <v>34</v>
      </c>
      <c r="AL609" t="str">
        <f t="shared" si="207"/>
        <v>Completed</v>
      </c>
      <c r="AM609" t="str">
        <f t="shared" si="212"/>
        <v>Include</v>
      </c>
      <c r="AN609">
        <f t="shared" si="213"/>
        <v>4057.3474999999994</v>
      </c>
      <c r="AO609">
        <f t="shared" si="214"/>
        <v>1195.3174999999992</v>
      </c>
      <c r="AP609">
        <f>IF(AN609=0,0,AO609/AN609)</f>
        <v>0.29460565061286947</v>
      </c>
      <c r="AQ609" t="str">
        <f t="shared" si="215"/>
        <v>February</v>
      </c>
      <c r="AR609">
        <f t="shared" si="216"/>
        <v>2025</v>
      </c>
      <c r="AS609" t="str">
        <f t="shared" si="217"/>
        <v>Clean</v>
      </c>
      <c r="AT609" t="str">
        <f>IF(OR(AC609&lt;0,AC609&gt;0.5),"Invalid Discount","Valid")</f>
        <v>Valid</v>
      </c>
      <c r="AU609" t="str">
        <f>IF(G609&lt;E609,"Invalid Shipping Record","Valid")</f>
        <v>Valid</v>
      </c>
      <c r="AV609" t="str">
        <f>IF(OR(AL609="Cancelled",AH609="Failed"),"Exclude","Include")</f>
        <v>Include</v>
      </c>
      <c r="AW609" t="str">
        <f t="shared" si="218"/>
        <v>Match</v>
      </c>
      <c r="AX609" t="str">
        <f t="shared" si="219"/>
        <v>Match</v>
      </c>
    </row>
    <row r="610" spans="1:50">
      <c r="A610" t="s">
        <v>2897</v>
      </c>
      <c r="B610">
        <f t="shared" si="220"/>
        <v>1</v>
      </c>
      <c r="C610" t="str">
        <f t="shared" si="208"/>
        <v/>
      </c>
      <c r="D610" s="3" t="s">
        <v>2151</v>
      </c>
      <c r="E610" s="7">
        <v>45464</v>
      </c>
      <c r="F610" s="3" t="s">
        <v>1552</v>
      </c>
      <c r="G610" s="7">
        <v>45466</v>
      </c>
      <c r="H610" s="7" t="str">
        <f t="shared" si="199"/>
        <v>Valid</v>
      </c>
      <c r="I610" s="9">
        <f t="shared" si="200"/>
        <v>2</v>
      </c>
      <c r="J610" s="9" t="str">
        <f t="shared" si="201"/>
        <v>Valid</v>
      </c>
      <c r="K610" t="s">
        <v>2573</v>
      </c>
      <c r="L610" t="s">
        <v>24</v>
      </c>
      <c r="M610" t="s">
        <v>24</v>
      </c>
      <c r="N610" t="s">
        <v>114</v>
      </c>
      <c r="O610" s="3" t="str">
        <f t="shared" si="202"/>
        <v>Home Office</v>
      </c>
      <c r="P610" t="s">
        <v>72</v>
      </c>
      <c r="Q610" s="3" t="str">
        <f t="shared" si="203"/>
        <v>West</v>
      </c>
      <c r="R610" t="s">
        <v>248</v>
      </c>
      <c r="S610" t="s">
        <v>249</v>
      </c>
      <c r="T610" t="s">
        <v>44</v>
      </c>
      <c r="U610" s="3" t="str">
        <f t="shared" si="204"/>
        <v>Furniture</v>
      </c>
      <c r="V610" t="s">
        <v>64</v>
      </c>
      <c r="W610" t="s">
        <v>2898</v>
      </c>
      <c r="X610" t="s">
        <v>32</v>
      </c>
      <c r="Y610" s="3" t="str">
        <f t="shared" si="205"/>
        <v>Second Class</v>
      </c>
      <c r="Z610">
        <v>9</v>
      </c>
      <c r="AA610">
        <v>2153.75</v>
      </c>
      <c r="AB610">
        <v>0</v>
      </c>
      <c r="AC610">
        <f t="shared" si="206"/>
        <v>0</v>
      </c>
      <c r="AD610" t="str">
        <f t="shared" si="209"/>
        <v>Valid</v>
      </c>
      <c r="AE610">
        <v>19383.75</v>
      </c>
      <c r="AF610">
        <v>11667.43</v>
      </c>
      <c r="AG610">
        <v>7716.32</v>
      </c>
      <c r="AH610" t="s">
        <v>33</v>
      </c>
      <c r="AI610" t="str">
        <f t="shared" si="210"/>
        <v>Include</v>
      </c>
      <c r="AJ610" t="str">
        <f t="shared" si="211"/>
        <v/>
      </c>
      <c r="AK610" t="s">
        <v>34</v>
      </c>
      <c r="AL610" t="str">
        <f t="shared" si="207"/>
        <v>Completed</v>
      </c>
      <c r="AM610" t="str">
        <f t="shared" si="212"/>
        <v>Include</v>
      </c>
      <c r="AN610">
        <f t="shared" si="213"/>
        <v>19383.75</v>
      </c>
      <c r="AO610">
        <f t="shared" si="214"/>
        <v>7716.32</v>
      </c>
      <c r="AP610">
        <f>IF(AN610=0,0,AO610/AN610)</f>
        <v>0.39808189849745274</v>
      </c>
      <c r="AQ610" t="str">
        <f t="shared" si="215"/>
        <v>June</v>
      </c>
      <c r="AR610">
        <f t="shared" si="216"/>
        <v>2024</v>
      </c>
      <c r="AS610" t="str">
        <f t="shared" si="217"/>
        <v>Clean</v>
      </c>
      <c r="AT610" t="str">
        <f>IF(OR(AC610&lt;0,AC610&gt;0.5),"Invalid Discount","Valid")</f>
        <v>Valid</v>
      </c>
      <c r="AU610" t="str">
        <f>IF(G610&lt;E610,"Invalid Shipping Record","Valid")</f>
        <v>Valid</v>
      </c>
      <c r="AV610" t="str">
        <f>IF(OR(AL610="Cancelled",AH610="Failed"),"Exclude","Include")</f>
        <v>Include</v>
      </c>
      <c r="AW610" t="str">
        <f t="shared" si="218"/>
        <v>Match</v>
      </c>
      <c r="AX610" t="str">
        <f t="shared" si="219"/>
        <v>Match</v>
      </c>
    </row>
    <row r="611" spans="1:50">
      <c r="A611" t="s">
        <v>2899</v>
      </c>
      <c r="B611">
        <f t="shared" si="220"/>
        <v>1</v>
      </c>
      <c r="C611" t="str">
        <f t="shared" si="208"/>
        <v/>
      </c>
      <c r="D611" s="3" t="s">
        <v>2054</v>
      </c>
      <c r="E611" s="7">
        <v>45665</v>
      </c>
      <c r="F611" s="3" t="s">
        <v>1175</v>
      </c>
      <c r="G611" s="7">
        <v>45669</v>
      </c>
      <c r="H611" s="7" t="str">
        <f t="shared" si="199"/>
        <v>Valid</v>
      </c>
      <c r="I611" s="9">
        <f t="shared" si="200"/>
        <v>4</v>
      </c>
      <c r="J611" s="9" t="str">
        <f t="shared" si="201"/>
        <v>Valid</v>
      </c>
      <c r="K611" t="s">
        <v>2900</v>
      </c>
      <c r="L611" t="s">
        <v>167</v>
      </c>
      <c r="M611" t="s">
        <v>167</v>
      </c>
      <c r="N611" t="s">
        <v>114</v>
      </c>
      <c r="O611" s="3" t="str">
        <f t="shared" si="202"/>
        <v>Home Office</v>
      </c>
      <c r="P611" t="s">
        <v>61</v>
      </c>
      <c r="Q611" s="3" t="str">
        <f t="shared" si="203"/>
        <v>South</v>
      </c>
      <c r="R611" t="s">
        <v>228</v>
      </c>
      <c r="S611" t="s">
        <v>229</v>
      </c>
      <c r="T611" t="s">
        <v>44</v>
      </c>
      <c r="U611" s="3" t="str">
        <f t="shared" si="204"/>
        <v>Furniture</v>
      </c>
      <c r="V611" t="s">
        <v>75</v>
      </c>
      <c r="W611" t="s">
        <v>2901</v>
      </c>
      <c r="X611" t="s">
        <v>66</v>
      </c>
      <c r="Y611" s="3" t="str">
        <f t="shared" si="205"/>
        <v>Standard Class</v>
      </c>
      <c r="Z611">
        <v>7</v>
      </c>
      <c r="AA611">
        <v>4337.4799999999996</v>
      </c>
      <c r="AB611">
        <v>0</v>
      </c>
      <c r="AC611">
        <f t="shared" si="206"/>
        <v>0</v>
      </c>
      <c r="AD611" t="str">
        <f t="shared" si="209"/>
        <v>Valid</v>
      </c>
      <c r="AE611">
        <v>30362.36</v>
      </c>
      <c r="AF611">
        <v>25065.4</v>
      </c>
      <c r="AG611">
        <v>5296.96</v>
      </c>
      <c r="AH611" t="s">
        <v>33</v>
      </c>
      <c r="AI611" t="str">
        <f t="shared" si="210"/>
        <v>Include</v>
      </c>
      <c r="AJ611" t="str">
        <f t="shared" si="211"/>
        <v/>
      </c>
      <c r="AK611" t="s">
        <v>34</v>
      </c>
      <c r="AL611" t="str">
        <f t="shared" si="207"/>
        <v>Completed</v>
      </c>
      <c r="AM611" t="str">
        <f t="shared" si="212"/>
        <v>Include</v>
      </c>
      <c r="AN611">
        <f t="shared" si="213"/>
        <v>30362.359999999997</v>
      </c>
      <c r="AO611">
        <f t="shared" si="214"/>
        <v>5296.9599999999955</v>
      </c>
      <c r="AP611">
        <f>IF(AN611=0,0,AO611/AN611)</f>
        <v>0.17445811195177174</v>
      </c>
      <c r="AQ611" t="str">
        <f t="shared" si="215"/>
        <v>January</v>
      </c>
      <c r="AR611">
        <f t="shared" si="216"/>
        <v>2025</v>
      </c>
      <c r="AS611" t="str">
        <f t="shared" si="217"/>
        <v>Clean</v>
      </c>
      <c r="AT611" t="str">
        <f>IF(OR(AC611&lt;0,AC611&gt;0.5),"Invalid Discount","Valid")</f>
        <v>Valid</v>
      </c>
      <c r="AU611" t="str">
        <f>IF(G611&lt;E611,"Invalid Shipping Record","Valid")</f>
        <v>Valid</v>
      </c>
      <c r="AV611" t="str">
        <f>IF(OR(AL611="Cancelled",AH611="Failed"),"Exclude","Include")</f>
        <v>Include</v>
      </c>
      <c r="AW611" t="str">
        <f t="shared" si="218"/>
        <v>Match</v>
      </c>
      <c r="AX611" t="str">
        <f t="shared" si="219"/>
        <v>Match</v>
      </c>
    </row>
    <row r="612" spans="1:50">
      <c r="A612" t="s">
        <v>2902</v>
      </c>
      <c r="B612">
        <f t="shared" si="220"/>
        <v>1</v>
      </c>
      <c r="C612" t="str">
        <f t="shared" si="208"/>
        <v/>
      </c>
      <c r="D612" s="3" t="s">
        <v>2903</v>
      </c>
      <c r="E612" s="7">
        <v>45432</v>
      </c>
      <c r="F612" s="3" t="s">
        <v>2904</v>
      </c>
      <c r="G612" s="7">
        <v>45432</v>
      </c>
      <c r="H612" s="7" t="str">
        <f t="shared" si="199"/>
        <v>Valid</v>
      </c>
      <c r="I612" s="9">
        <f t="shared" si="200"/>
        <v>0</v>
      </c>
      <c r="J612" s="9" t="str">
        <f t="shared" si="201"/>
        <v>Valid</v>
      </c>
      <c r="K612" t="s">
        <v>2079</v>
      </c>
      <c r="L612" t="s">
        <v>24</v>
      </c>
      <c r="M612" t="s">
        <v>24</v>
      </c>
      <c r="N612" t="s">
        <v>114</v>
      </c>
      <c r="O612" s="3" t="str">
        <f t="shared" si="202"/>
        <v>Home Office</v>
      </c>
      <c r="P612" t="s">
        <v>72</v>
      </c>
      <c r="Q612" s="3" t="str">
        <f t="shared" si="203"/>
        <v>West</v>
      </c>
      <c r="R612" t="s">
        <v>83</v>
      </c>
      <c r="S612" t="s">
        <v>84</v>
      </c>
      <c r="T612" t="s">
        <v>44</v>
      </c>
      <c r="U612" s="3" t="str">
        <f t="shared" si="204"/>
        <v>Furniture</v>
      </c>
      <c r="V612" t="s">
        <v>75</v>
      </c>
      <c r="W612" t="s">
        <v>2905</v>
      </c>
      <c r="X612" t="s">
        <v>66</v>
      </c>
      <c r="Y612" s="3" t="str">
        <f t="shared" si="205"/>
        <v>Standard Class</v>
      </c>
      <c r="Z612">
        <v>1</v>
      </c>
      <c r="AA612">
        <v>3032.95</v>
      </c>
      <c r="AB612">
        <v>0.1</v>
      </c>
      <c r="AC612">
        <f t="shared" si="206"/>
        <v>0.1</v>
      </c>
      <c r="AD612" t="str">
        <f t="shared" si="209"/>
        <v>Valid</v>
      </c>
      <c r="AE612">
        <v>2729.65</v>
      </c>
      <c r="AF612">
        <v>1715.36</v>
      </c>
      <c r="AG612">
        <v>1014.29</v>
      </c>
      <c r="AH612" t="s">
        <v>33</v>
      </c>
      <c r="AI612" t="str">
        <f t="shared" si="210"/>
        <v>Include</v>
      </c>
      <c r="AJ612" t="str">
        <f t="shared" si="211"/>
        <v/>
      </c>
      <c r="AK612" t="s">
        <v>34</v>
      </c>
      <c r="AL612" t="str">
        <f t="shared" si="207"/>
        <v>Completed</v>
      </c>
      <c r="AM612" t="str">
        <f t="shared" si="212"/>
        <v>Include</v>
      </c>
      <c r="AN612">
        <f t="shared" si="213"/>
        <v>2729.6549999999997</v>
      </c>
      <c r="AO612">
        <f t="shared" si="214"/>
        <v>1014.2949999999998</v>
      </c>
      <c r="AP612">
        <f>IF(AN612=0,0,AO612/AN612)</f>
        <v>0.37158358840219735</v>
      </c>
      <c r="AQ612" t="str">
        <f t="shared" si="215"/>
        <v>May</v>
      </c>
      <c r="AR612">
        <f t="shared" si="216"/>
        <v>2024</v>
      </c>
      <c r="AS612" t="str">
        <f t="shared" si="217"/>
        <v>Clean</v>
      </c>
      <c r="AT612" t="str">
        <f>IF(OR(AC612&lt;0,AC612&gt;0.5),"Invalid Discount","Valid")</f>
        <v>Valid</v>
      </c>
      <c r="AU612" t="str">
        <f>IF(G612&lt;E612,"Invalid Shipping Record","Valid")</f>
        <v>Valid</v>
      </c>
      <c r="AV612" t="str">
        <f>IF(OR(AL612="Cancelled",AH612="Failed"),"Exclude","Include")</f>
        <v>Include</v>
      </c>
      <c r="AW612" t="str">
        <f t="shared" si="218"/>
        <v>Mismatch</v>
      </c>
      <c r="AX612" t="str">
        <f t="shared" si="219"/>
        <v>Mismatch</v>
      </c>
    </row>
    <row r="613" spans="1:50">
      <c r="A613" t="s">
        <v>2906</v>
      </c>
      <c r="B613">
        <f t="shared" si="220"/>
        <v>1</v>
      </c>
      <c r="C613" t="str">
        <f t="shared" si="208"/>
        <v/>
      </c>
      <c r="D613" s="3" t="s">
        <v>2611</v>
      </c>
      <c r="E613" s="7">
        <v>45846</v>
      </c>
      <c r="F613" s="3" t="s">
        <v>2907</v>
      </c>
      <c r="G613" s="7">
        <v>45853</v>
      </c>
      <c r="H613" s="7" t="str">
        <f t="shared" si="199"/>
        <v>Valid</v>
      </c>
      <c r="I613" s="9">
        <f t="shared" si="200"/>
        <v>7</v>
      </c>
      <c r="J613" s="9" t="str">
        <f t="shared" si="201"/>
        <v>Valid</v>
      </c>
      <c r="K613" t="s">
        <v>2908</v>
      </c>
      <c r="L613" t="s">
        <v>71</v>
      </c>
      <c r="M613" t="s">
        <v>71</v>
      </c>
      <c r="N613" t="s">
        <v>40</v>
      </c>
      <c r="O613" s="3" t="str">
        <f t="shared" si="202"/>
        <v>Small Business</v>
      </c>
      <c r="P613" t="s">
        <v>26</v>
      </c>
      <c r="Q613" s="3" t="str">
        <f t="shared" si="203"/>
        <v>North</v>
      </c>
      <c r="R613" t="s">
        <v>27</v>
      </c>
      <c r="S613" t="s">
        <v>28</v>
      </c>
      <c r="T613" t="s">
        <v>29</v>
      </c>
      <c r="U613" s="3" t="str">
        <f t="shared" si="204"/>
        <v>Office Supplies</v>
      </c>
      <c r="V613" t="s">
        <v>197</v>
      </c>
      <c r="W613" t="s">
        <v>2909</v>
      </c>
      <c r="X613" t="s">
        <v>47</v>
      </c>
      <c r="Y613" s="3" t="str">
        <f t="shared" si="205"/>
        <v>Same Day</v>
      </c>
      <c r="Z613">
        <v>8</v>
      </c>
      <c r="AA613">
        <v>655.28</v>
      </c>
      <c r="AB613">
        <v>0.1</v>
      </c>
      <c r="AC613">
        <f t="shared" si="206"/>
        <v>0.1</v>
      </c>
      <c r="AD613" t="str">
        <f t="shared" si="209"/>
        <v>Valid</v>
      </c>
      <c r="AE613">
        <v>4718.0200000000004</v>
      </c>
      <c r="AF613">
        <v>3908.23</v>
      </c>
      <c r="AG613">
        <v>809.79</v>
      </c>
      <c r="AH613" t="s">
        <v>33</v>
      </c>
      <c r="AI613" t="str">
        <f t="shared" si="210"/>
        <v>Include</v>
      </c>
      <c r="AJ613" t="str">
        <f t="shared" si="211"/>
        <v/>
      </c>
      <c r="AK613" t="s">
        <v>34</v>
      </c>
      <c r="AL613" t="str">
        <f t="shared" si="207"/>
        <v>Completed</v>
      </c>
      <c r="AM613" t="str">
        <f t="shared" si="212"/>
        <v>Include</v>
      </c>
      <c r="AN613">
        <f t="shared" si="213"/>
        <v>4718.0159999999996</v>
      </c>
      <c r="AO613">
        <f t="shared" si="214"/>
        <v>809.7859999999996</v>
      </c>
      <c r="AP613">
        <f>IF(AN613=0,0,AO613/AN613)</f>
        <v>0.17163697622051297</v>
      </c>
      <c r="AQ613" t="str">
        <f t="shared" si="215"/>
        <v>July</v>
      </c>
      <c r="AR613">
        <f t="shared" si="216"/>
        <v>2025</v>
      </c>
      <c r="AS613" t="str">
        <f t="shared" si="217"/>
        <v>Clean</v>
      </c>
      <c r="AT613" t="str">
        <f>IF(OR(AC613&lt;0,AC613&gt;0.5),"Invalid Discount","Valid")</f>
        <v>Valid</v>
      </c>
      <c r="AU613" t="str">
        <f>IF(G613&lt;E613,"Invalid Shipping Record","Valid")</f>
        <v>Valid</v>
      </c>
      <c r="AV613" t="str">
        <f>IF(OR(AL613="Cancelled",AH613="Failed"),"Exclude","Include")</f>
        <v>Include</v>
      </c>
      <c r="AW613" t="str">
        <f t="shared" si="218"/>
        <v>Match</v>
      </c>
      <c r="AX613" t="str">
        <f t="shared" si="219"/>
        <v>Match</v>
      </c>
    </row>
    <row r="614" spans="1:50">
      <c r="A614" t="s">
        <v>2910</v>
      </c>
      <c r="B614">
        <f t="shared" si="220"/>
        <v>1</v>
      </c>
      <c r="C614" t="str">
        <f t="shared" si="208"/>
        <v/>
      </c>
      <c r="D614" s="3" t="s">
        <v>2911</v>
      </c>
      <c r="E614" s="7">
        <v>45753</v>
      </c>
      <c r="F614" s="3" t="s">
        <v>2912</v>
      </c>
      <c r="G614" s="7">
        <v>45760</v>
      </c>
      <c r="H614" s="7" t="str">
        <f t="shared" si="199"/>
        <v>Valid</v>
      </c>
      <c r="I614" s="9">
        <f t="shared" si="200"/>
        <v>7</v>
      </c>
      <c r="J614" s="9" t="str">
        <f t="shared" si="201"/>
        <v>Valid</v>
      </c>
      <c r="K614" t="s">
        <v>2913</v>
      </c>
      <c r="L614" t="s">
        <v>106</v>
      </c>
      <c r="M614" t="s">
        <v>106</v>
      </c>
      <c r="N614" t="s">
        <v>25</v>
      </c>
      <c r="O614" s="3" t="str">
        <f t="shared" si="202"/>
        <v>Consumer</v>
      </c>
      <c r="Q614" s="3" t="str">
        <f t="shared" si="203"/>
        <v>Unknown</v>
      </c>
      <c r="R614" t="s">
        <v>42</v>
      </c>
      <c r="S614" t="s">
        <v>43</v>
      </c>
      <c r="T614" t="s">
        <v>85</v>
      </c>
      <c r="U614" s="3" t="str">
        <f t="shared" si="204"/>
        <v>Technology</v>
      </c>
      <c r="V614" t="s">
        <v>222</v>
      </c>
      <c r="W614" t="s">
        <v>2914</v>
      </c>
      <c r="X614" t="s">
        <v>66</v>
      </c>
      <c r="Y614" s="3" t="str">
        <f t="shared" si="205"/>
        <v>Standard Class</v>
      </c>
      <c r="Z614">
        <v>1</v>
      </c>
      <c r="AA614">
        <v>3844.01</v>
      </c>
      <c r="AB614">
        <v>0</v>
      </c>
      <c r="AC614">
        <f t="shared" si="206"/>
        <v>0</v>
      </c>
      <c r="AD614" t="str">
        <f t="shared" si="209"/>
        <v>Valid</v>
      </c>
      <c r="AE614">
        <v>3844.01</v>
      </c>
      <c r="AF614">
        <v>2195.79</v>
      </c>
      <c r="AG614">
        <v>1648.22</v>
      </c>
      <c r="AH614" t="s">
        <v>33</v>
      </c>
      <c r="AI614" t="str">
        <f t="shared" si="210"/>
        <v>Include</v>
      </c>
      <c r="AJ614" t="str">
        <f t="shared" si="211"/>
        <v/>
      </c>
      <c r="AK614" t="s">
        <v>34</v>
      </c>
      <c r="AL614" t="str">
        <f t="shared" si="207"/>
        <v>Completed</v>
      </c>
      <c r="AM614" t="str">
        <f t="shared" si="212"/>
        <v>Include</v>
      </c>
      <c r="AN614">
        <f t="shared" si="213"/>
        <v>3844.01</v>
      </c>
      <c r="AO614">
        <f t="shared" si="214"/>
        <v>1648.2200000000003</v>
      </c>
      <c r="AP614">
        <f>IF(AN614=0,0,AO614/AN614)</f>
        <v>0.42877619985379856</v>
      </c>
      <c r="AQ614" t="str">
        <f t="shared" si="215"/>
        <v>April</v>
      </c>
      <c r="AR614">
        <f t="shared" si="216"/>
        <v>2025</v>
      </c>
      <c r="AS614" t="str">
        <f t="shared" si="217"/>
        <v>Warning</v>
      </c>
      <c r="AT614" t="str">
        <f>IF(OR(AC614&lt;0,AC614&gt;0.5),"Invalid Discount","Valid")</f>
        <v>Valid</v>
      </c>
      <c r="AU614" t="str">
        <f>IF(G614&lt;E614,"Invalid Shipping Record","Valid")</f>
        <v>Valid</v>
      </c>
      <c r="AV614" t="str">
        <f>IF(OR(AL614="Cancelled",AH614="Failed"),"Exclude","Include")</f>
        <v>Include</v>
      </c>
      <c r="AW614" t="str">
        <f t="shared" si="218"/>
        <v>Match</v>
      </c>
      <c r="AX614" t="str">
        <f t="shared" si="219"/>
        <v>Match</v>
      </c>
    </row>
    <row r="615" spans="1:50">
      <c r="A615" t="s">
        <v>2915</v>
      </c>
      <c r="B615">
        <f t="shared" si="220"/>
        <v>1</v>
      </c>
      <c r="C615" t="str">
        <f t="shared" si="208"/>
        <v/>
      </c>
      <c r="D615" s="3" t="s">
        <v>2447</v>
      </c>
      <c r="E615" s="7">
        <v>45570</v>
      </c>
      <c r="F615" s="3" t="s">
        <v>2916</v>
      </c>
      <c r="G615" s="7">
        <v>45575</v>
      </c>
      <c r="H615" s="7" t="str">
        <f t="shared" si="199"/>
        <v>Valid</v>
      </c>
      <c r="I615" s="9">
        <f t="shared" si="200"/>
        <v>5</v>
      </c>
      <c r="J615" s="9" t="str">
        <f t="shared" si="201"/>
        <v>Valid</v>
      </c>
      <c r="K615" t="s">
        <v>2917</v>
      </c>
      <c r="L615" t="s">
        <v>209</v>
      </c>
      <c r="M615" t="s">
        <v>209</v>
      </c>
      <c r="N615" t="s">
        <v>114</v>
      </c>
      <c r="O615" s="3" t="str">
        <f t="shared" si="202"/>
        <v>Home Office</v>
      </c>
      <c r="P615" t="s">
        <v>72</v>
      </c>
      <c r="Q615" s="3" t="str">
        <f t="shared" si="203"/>
        <v>West</v>
      </c>
      <c r="R615" t="s">
        <v>234</v>
      </c>
      <c r="S615" t="s">
        <v>235</v>
      </c>
      <c r="T615" t="s">
        <v>85</v>
      </c>
      <c r="U615" s="3" t="str">
        <f t="shared" si="204"/>
        <v>Technology</v>
      </c>
      <c r="V615" t="s">
        <v>381</v>
      </c>
      <c r="W615" t="s">
        <v>2918</v>
      </c>
      <c r="X615" t="s">
        <v>47</v>
      </c>
      <c r="Y615" s="3" t="str">
        <f t="shared" si="205"/>
        <v>Same Day</v>
      </c>
      <c r="Z615">
        <v>9</v>
      </c>
      <c r="AA615">
        <v>3361.3</v>
      </c>
      <c r="AB615">
        <v>0.25</v>
      </c>
      <c r="AC615">
        <f t="shared" si="206"/>
        <v>0.25</v>
      </c>
      <c r="AD615" t="str">
        <f t="shared" si="209"/>
        <v>Valid</v>
      </c>
      <c r="AE615">
        <v>22688.78</v>
      </c>
      <c r="AF615">
        <v>14672.41</v>
      </c>
      <c r="AG615">
        <v>8016.37</v>
      </c>
      <c r="AH615" t="s">
        <v>33</v>
      </c>
      <c r="AI615" t="str">
        <f t="shared" si="210"/>
        <v>Include</v>
      </c>
      <c r="AJ615" t="str">
        <f t="shared" si="211"/>
        <v/>
      </c>
      <c r="AK615" t="s">
        <v>34</v>
      </c>
      <c r="AL615" t="str">
        <f t="shared" si="207"/>
        <v>Completed</v>
      </c>
      <c r="AM615" t="str">
        <f t="shared" si="212"/>
        <v>Include</v>
      </c>
      <c r="AN615">
        <f t="shared" si="213"/>
        <v>22688.775000000001</v>
      </c>
      <c r="AO615">
        <f t="shared" si="214"/>
        <v>8016.3650000000016</v>
      </c>
      <c r="AP615">
        <f>IF(AN615=0,0,AO615/AN615)</f>
        <v>0.35331854628555315</v>
      </c>
      <c r="AQ615" t="str">
        <f t="shared" si="215"/>
        <v>October</v>
      </c>
      <c r="AR615">
        <f t="shared" si="216"/>
        <v>2024</v>
      </c>
      <c r="AS615" t="str">
        <f t="shared" si="217"/>
        <v>Clean</v>
      </c>
      <c r="AT615" t="str">
        <f>IF(OR(AC615&lt;0,AC615&gt;0.5),"Invalid Discount","Valid")</f>
        <v>Valid</v>
      </c>
      <c r="AU615" t="str">
        <f>IF(G615&lt;E615,"Invalid Shipping Record","Valid")</f>
        <v>Valid</v>
      </c>
      <c r="AV615" t="str">
        <f>IF(OR(AL615="Cancelled",AH615="Failed"),"Exclude","Include")</f>
        <v>Include</v>
      </c>
      <c r="AW615" t="str">
        <f t="shared" si="218"/>
        <v>Match</v>
      </c>
      <c r="AX615" t="str">
        <f t="shared" si="219"/>
        <v>Match</v>
      </c>
    </row>
    <row r="616" spans="1:50">
      <c r="A616" t="s">
        <v>2919</v>
      </c>
      <c r="B616">
        <f t="shared" si="220"/>
        <v>1</v>
      </c>
      <c r="C616" t="str">
        <f t="shared" si="208"/>
        <v/>
      </c>
      <c r="D616" s="3" t="s">
        <v>2305</v>
      </c>
      <c r="E616" s="7">
        <v>45333</v>
      </c>
      <c r="F616" s="3" t="s">
        <v>2920</v>
      </c>
      <c r="G616" s="7">
        <v>45341</v>
      </c>
      <c r="H616" s="7" t="str">
        <f t="shared" si="199"/>
        <v>Valid</v>
      </c>
      <c r="I616" s="9">
        <f t="shared" si="200"/>
        <v>8</v>
      </c>
      <c r="J616" s="9" t="str">
        <f t="shared" si="201"/>
        <v>Valid</v>
      </c>
      <c r="K616" t="s">
        <v>2921</v>
      </c>
      <c r="L616" t="s">
        <v>71</v>
      </c>
      <c r="M616" t="s">
        <v>71</v>
      </c>
      <c r="N616" t="s">
        <v>114</v>
      </c>
      <c r="O616" s="3" t="str">
        <f t="shared" si="202"/>
        <v>Home Office</v>
      </c>
      <c r="P616" t="s">
        <v>61</v>
      </c>
      <c r="Q616" s="3" t="str">
        <f t="shared" si="203"/>
        <v>South</v>
      </c>
      <c r="R616" t="s">
        <v>62</v>
      </c>
      <c r="S616" t="s">
        <v>63</v>
      </c>
      <c r="T616" t="s">
        <v>44</v>
      </c>
      <c r="U616" s="3" t="str">
        <f t="shared" si="204"/>
        <v>Furniture</v>
      </c>
      <c r="V616" t="s">
        <v>75</v>
      </c>
      <c r="W616" t="s">
        <v>2922</v>
      </c>
      <c r="X616" t="s">
        <v>66</v>
      </c>
      <c r="Y616" s="3" t="str">
        <f t="shared" si="205"/>
        <v>Standard Class</v>
      </c>
      <c r="Z616">
        <v>8</v>
      </c>
      <c r="AA616">
        <v>3398.32</v>
      </c>
      <c r="AB616">
        <v>0.25</v>
      </c>
      <c r="AC616">
        <f t="shared" si="206"/>
        <v>0.25</v>
      </c>
      <c r="AD616" t="str">
        <f t="shared" si="209"/>
        <v>Valid</v>
      </c>
      <c r="AE616">
        <v>20389.919999999998</v>
      </c>
      <c r="AF616">
        <v>16661.080000000002</v>
      </c>
      <c r="AG616">
        <v>3728.84</v>
      </c>
      <c r="AH616" t="s">
        <v>123</v>
      </c>
      <c r="AI616" t="str">
        <f t="shared" si="210"/>
        <v>Exclude</v>
      </c>
      <c r="AJ616" t="str">
        <f t="shared" si="211"/>
        <v>Refunded Order</v>
      </c>
      <c r="AK616" t="s">
        <v>77</v>
      </c>
      <c r="AL616" t="str">
        <f t="shared" si="207"/>
        <v>Cancelled</v>
      </c>
      <c r="AM616" t="str">
        <f t="shared" si="212"/>
        <v>Exclude</v>
      </c>
      <c r="AN616">
        <f t="shared" si="213"/>
        <v>20389.920000000002</v>
      </c>
      <c r="AO616">
        <f t="shared" si="214"/>
        <v>3728.84</v>
      </c>
      <c r="AP616">
        <f>IF(AN616=0,0,AO616/AN616)</f>
        <v>0.18287663708342161</v>
      </c>
      <c r="AQ616" t="str">
        <f t="shared" si="215"/>
        <v>February</v>
      </c>
      <c r="AR616">
        <f t="shared" si="216"/>
        <v>2024</v>
      </c>
      <c r="AS616" t="str">
        <f t="shared" si="217"/>
        <v>Clean</v>
      </c>
      <c r="AT616" t="str">
        <f>IF(OR(AC616&lt;0,AC616&gt;0.5),"Invalid Discount","Valid")</f>
        <v>Valid</v>
      </c>
      <c r="AU616" t="str">
        <f>IF(G616&lt;E616,"Invalid Shipping Record","Valid")</f>
        <v>Valid</v>
      </c>
      <c r="AV616" t="str">
        <f>IF(OR(AL616="Cancelled",AH616="Failed"),"Exclude","Include")</f>
        <v>Exclude</v>
      </c>
      <c r="AW616" t="str">
        <f t="shared" si="218"/>
        <v>Match</v>
      </c>
      <c r="AX616" t="str">
        <f t="shared" si="219"/>
        <v>Match</v>
      </c>
    </row>
    <row r="617" spans="1:50">
      <c r="A617" t="s">
        <v>2923</v>
      </c>
      <c r="B617">
        <f t="shared" si="220"/>
        <v>1</v>
      </c>
      <c r="C617" t="str">
        <f t="shared" si="208"/>
        <v/>
      </c>
      <c r="D617" s="3" t="s">
        <v>2924</v>
      </c>
      <c r="E617" s="7">
        <v>45569</v>
      </c>
      <c r="F617" s="3" t="s">
        <v>2925</v>
      </c>
      <c r="G617" s="7">
        <v>45572</v>
      </c>
      <c r="H617" s="7" t="str">
        <f t="shared" si="199"/>
        <v>Valid</v>
      </c>
      <c r="I617" s="9">
        <f t="shared" si="200"/>
        <v>3</v>
      </c>
      <c r="J617" s="9" t="str">
        <f t="shared" si="201"/>
        <v>Valid</v>
      </c>
      <c r="K617" t="s">
        <v>2926</v>
      </c>
      <c r="L617" t="s">
        <v>147</v>
      </c>
      <c r="M617" t="s">
        <v>147</v>
      </c>
      <c r="N617" t="s">
        <v>107</v>
      </c>
      <c r="O617" s="3" t="str">
        <f t="shared" si="202"/>
        <v>Corporate</v>
      </c>
      <c r="P617" t="s">
        <v>61</v>
      </c>
      <c r="Q617" s="3" t="str">
        <f t="shared" si="203"/>
        <v>South</v>
      </c>
      <c r="R617" t="s">
        <v>241</v>
      </c>
      <c r="S617" t="s">
        <v>242</v>
      </c>
      <c r="T617" t="s">
        <v>29</v>
      </c>
      <c r="U617" s="3" t="str">
        <f t="shared" si="204"/>
        <v>Office Supplies</v>
      </c>
      <c r="V617" t="s">
        <v>53</v>
      </c>
      <c r="W617" t="s">
        <v>2927</v>
      </c>
      <c r="X617" t="s">
        <v>32</v>
      </c>
      <c r="Y617" s="3" t="str">
        <f t="shared" si="205"/>
        <v>Second Class</v>
      </c>
      <c r="Z617">
        <v>2</v>
      </c>
      <c r="AA617">
        <v>3144.38</v>
      </c>
      <c r="AB617">
        <v>0.1</v>
      </c>
      <c r="AC617">
        <f t="shared" si="206"/>
        <v>0.1</v>
      </c>
      <c r="AD617" t="str">
        <f t="shared" si="209"/>
        <v>Valid</v>
      </c>
      <c r="AE617">
        <v>5904.57</v>
      </c>
      <c r="AF617">
        <v>4337.79</v>
      </c>
      <c r="AG617">
        <v>1322.09</v>
      </c>
      <c r="AH617" t="s">
        <v>33</v>
      </c>
      <c r="AI617" t="str">
        <f t="shared" si="210"/>
        <v>Include</v>
      </c>
      <c r="AJ617" t="str">
        <f t="shared" si="211"/>
        <v/>
      </c>
      <c r="AK617" t="s">
        <v>34</v>
      </c>
      <c r="AL617" t="str">
        <f t="shared" si="207"/>
        <v>Completed</v>
      </c>
      <c r="AM617" t="str">
        <f t="shared" si="212"/>
        <v>Include</v>
      </c>
      <c r="AN617">
        <f t="shared" si="213"/>
        <v>5659.884</v>
      </c>
      <c r="AO617">
        <f t="shared" si="214"/>
        <v>1322.0940000000001</v>
      </c>
      <c r="AP617">
        <f>IF(AN617=0,0,AO617/AN617)</f>
        <v>0.23359029973052453</v>
      </c>
      <c r="AQ617" t="str">
        <f t="shared" si="215"/>
        <v>October</v>
      </c>
      <c r="AR617">
        <f t="shared" si="216"/>
        <v>2024</v>
      </c>
      <c r="AS617" t="str">
        <f t="shared" si="217"/>
        <v>Clean</v>
      </c>
      <c r="AT617" t="str">
        <f>IF(OR(AC617&lt;0,AC617&gt;0.5),"Invalid Discount","Valid")</f>
        <v>Valid</v>
      </c>
      <c r="AU617" t="str">
        <f>IF(G617&lt;E617,"Invalid Shipping Record","Valid")</f>
        <v>Valid</v>
      </c>
      <c r="AV617" t="str">
        <f>IF(OR(AL617="Cancelled",AH617="Failed"),"Exclude","Include")</f>
        <v>Include</v>
      </c>
      <c r="AW617" t="str">
        <f t="shared" si="218"/>
        <v>Mismatch</v>
      </c>
      <c r="AX617" t="str">
        <f t="shared" si="219"/>
        <v>Match</v>
      </c>
    </row>
    <row r="618" spans="1:50">
      <c r="A618" t="s">
        <v>2928</v>
      </c>
      <c r="B618">
        <f t="shared" si="220"/>
        <v>1</v>
      </c>
      <c r="C618" t="str">
        <f t="shared" si="208"/>
        <v/>
      </c>
      <c r="D618" s="3" t="s">
        <v>2929</v>
      </c>
      <c r="E618" s="7">
        <v>45520</v>
      </c>
      <c r="F618" s="3" t="s">
        <v>2860</v>
      </c>
      <c r="G618" s="7">
        <v>45523</v>
      </c>
      <c r="H618" s="7" t="str">
        <f t="shared" si="199"/>
        <v>Valid</v>
      </c>
      <c r="I618" s="9">
        <f t="shared" si="200"/>
        <v>3</v>
      </c>
      <c r="J618" s="9" t="str">
        <f t="shared" si="201"/>
        <v>Valid</v>
      </c>
      <c r="K618" t="s">
        <v>2930</v>
      </c>
      <c r="L618" t="s">
        <v>365</v>
      </c>
      <c r="M618" t="s">
        <v>365</v>
      </c>
      <c r="N618" t="s">
        <v>25</v>
      </c>
      <c r="O618" s="3" t="str">
        <f t="shared" si="202"/>
        <v>Consumer</v>
      </c>
      <c r="P618" t="s">
        <v>61</v>
      </c>
      <c r="Q618" s="3" t="str">
        <f t="shared" si="203"/>
        <v>South</v>
      </c>
      <c r="R618" t="s">
        <v>62</v>
      </c>
      <c r="S618" t="s">
        <v>63</v>
      </c>
      <c r="T618" t="s">
        <v>29</v>
      </c>
      <c r="U618" s="3" t="str">
        <f t="shared" si="204"/>
        <v>Office Supplies</v>
      </c>
      <c r="V618" t="s">
        <v>30</v>
      </c>
      <c r="W618" t="s">
        <v>2931</v>
      </c>
      <c r="X618" t="s">
        <v>66</v>
      </c>
      <c r="Y618" s="3" t="str">
        <f t="shared" si="205"/>
        <v>Standard Class</v>
      </c>
      <c r="Z618">
        <v>6</v>
      </c>
      <c r="AA618">
        <v>3925.55</v>
      </c>
      <c r="AB618">
        <v>0.2</v>
      </c>
      <c r="AC618">
        <f t="shared" si="206"/>
        <v>0.2</v>
      </c>
      <c r="AD618" t="str">
        <f t="shared" si="209"/>
        <v>Valid</v>
      </c>
      <c r="AE618">
        <v>18842.64</v>
      </c>
      <c r="AF618">
        <v>11840.58</v>
      </c>
      <c r="AG618">
        <v>7002.06</v>
      </c>
      <c r="AH618" t="s">
        <v>33</v>
      </c>
      <c r="AI618" t="str">
        <f t="shared" si="210"/>
        <v>Include</v>
      </c>
      <c r="AJ618" t="str">
        <f t="shared" si="211"/>
        <v/>
      </c>
      <c r="AK618" t="s">
        <v>34</v>
      </c>
      <c r="AL618" t="str">
        <f t="shared" si="207"/>
        <v>Completed</v>
      </c>
      <c r="AM618" t="str">
        <f t="shared" si="212"/>
        <v>Include</v>
      </c>
      <c r="AN618">
        <f t="shared" si="213"/>
        <v>18842.640000000003</v>
      </c>
      <c r="AO618">
        <f t="shared" si="214"/>
        <v>7002.0600000000031</v>
      </c>
      <c r="AP618">
        <f>IF(AN618=0,0,AO618/AN618)</f>
        <v>0.37160716332743193</v>
      </c>
      <c r="AQ618" t="str">
        <f t="shared" si="215"/>
        <v>August</v>
      </c>
      <c r="AR618">
        <f t="shared" si="216"/>
        <v>2024</v>
      </c>
      <c r="AS618" t="str">
        <f t="shared" si="217"/>
        <v>Clean</v>
      </c>
      <c r="AT618" t="str">
        <f>IF(OR(AC618&lt;0,AC618&gt;0.5),"Invalid Discount","Valid")</f>
        <v>Valid</v>
      </c>
      <c r="AU618" t="str">
        <f>IF(G618&lt;E618,"Invalid Shipping Record","Valid")</f>
        <v>Valid</v>
      </c>
      <c r="AV618" t="str">
        <f>IF(OR(AL618="Cancelled",AH618="Failed"),"Exclude","Include")</f>
        <v>Include</v>
      </c>
      <c r="AW618" t="str">
        <f t="shared" si="218"/>
        <v>Match</v>
      </c>
      <c r="AX618" t="str">
        <f t="shared" si="219"/>
        <v>Match</v>
      </c>
    </row>
    <row r="619" spans="1:50">
      <c r="A619" t="s">
        <v>2932</v>
      </c>
      <c r="B619">
        <f t="shared" si="220"/>
        <v>1</v>
      </c>
      <c r="C619" t="str">
        <f t="shared" si="208"/>
        <v/>
      </c>
      <c r="D619" s="3" t="s">
        <v>2933</v>
      </c>
      <c r="E619" s="7">
        <v>45564</v>
      </c>
      <c r="F619" s="3" t="s">
        <v>973</v>
      </c>
      <c r="G619" s="7">
        <v>45565</v>
      </c>
      <c r="H619" s="7" t="str">
        <f t="shared" si="199"/>
        <v>Valid</v>
      </c>
      <c r="I619" s="9">
        <f t="shared" si="200"/>
        <v>1</v>
      </c>
      <c r="J619" s="9" t="str">
        <f t="shared" si="201"/>
        <v>Valid</v>
      </c>
      <c r="K619" t="s">
        <v>2934</v>
      </c>
      <c r="L619" t="s">
        <v>39</v>
      </c>
      <c r="M619" t="s">
        <v>39</v>
      </c>
      <c r="N619" t="s">
        <v>114</v>
      </c>
      <c r="O619" s="3" t="str">
        <f t="shared" si="202"/>
        <v>Home Office</v>
      </c>
      <c r="P619" t="s">
        <v>61</v>
      </c>
      <c r="Q619" s="3" t="str">
        <f t="shared" si="203"/>
        <v>South</v>
      </c>
      <c r="R619" t="s">
        <v>62</v>
      </c>
      <c r="S619" t="s">
        <v>63</v>
      </c>
      <c r="T619" t="s">
        <v>85</v>
      </c>
      <c r="U619" s="3" t="str">
        <f t="shared" si="204"/>
        <v>Technology</v>
      </c>
      <c r="V619" t="s">
        <v>222</v>
      </c>
      <c r="W619" t="s">
        <v>2935</v>
      </c>
      <c r="X619" t="s">
        <v>66</v>
      </c>
      <c r="Y619" s="3" t="str">
        <f t="shared" si="205"/>
        <v>Standard Class</v>
      </c>
      <c r="Z619">
        <v>9</v>
      </c>
      <c r="AA619">
        <v>2741.91</v>
      </c>
      <c r="AB619">
        <v>0</v>
      </c>
      <c r="AC619">
        <f t="shared" si="206"/>
        <v>0</v>
      </c>
      <c r="AD619" t="str">
        <f t="shared" si="209"/>
        <v>Valid</v>
      </c>
      <c r="AE619">
        <v>24677.19</v>
      </c>
      <c r="AF619">
        <v>20350.849999999999</v>
      </c>
      <c r="AG619">
        <v>4326.34</v>
      </c>
      <c r="AH619" t="s">
        <v>33</v>
      </c>
      <c r="AI619" t="str">
        <f t="shared" si="210"/>
        <v>Include</v>
      </c>
      <c r="AJ619" t="str">
        <f t="shared" si="211"/>
        <v/>
      </c>
      <c r="AK619" t="s">
        <v>34</v>
      </c>
      <c r="AL619" t="str">
        <f t="shared" si="207"/>
        <v>Completed</v>
      </c>
      <c r="AM619" t="str">
        <f t="shared" si="212"/>
        <v>Include</v>
      </c>
      <c r="AN619">
        <f t="shared" si="213"/>
        <v>24677.19</v>
      </c>
      <c r="AO619">
        <f t="shared" si="214"/>
        <v>4326.34</v>
      </c>
      <c r="AP619">
        <f>IF(AN619=0,0,AO619/AN619)</f>
        <v>0.17531736798233513</v>
      </c>
      <c r="AQ619" t="str">
        <f t="shared" si="215"/>
        <v>September</v>
      </c>
      <c r="AR619">
        <f t="shared" si="216"/>
        <v>2024</v>
      </c>
      <c r="AS619" t="str">
        <f t="shared" si="217"/>
        <v>Clean</v>
      </c>
      <c r="AT619" t="str">
        <f>IF(OR(AC619&lt;0,AC619&gt;0.5),"Invalid Discount","Valid")</f>
        <v>Valid</v>
      </c>
      <c r="AU619" t="str">
        <f>IF(G619&lt;E619,"Invalid Shipping Record","Valid")</f>
        <v>Valid</v>
      </c>
      <c r="AV619" t="str">
        <f>IF(OR(AL619="Cancelled",AH619="Failed"),"Exclude","Include")</f>
        <v>Include</v>
      </c>
      <c r="AW619" t="str">
        <f t="shared" si="218"/>
        <v>Match</v>
      </c>
      <c r="AX619" t="str">
        <f t="shared" si="219"/>
        <v>Match</v>
      </c>
    </row>
    <row r="620" spans="1:50">
      <c r="A620" t="s">
        <v>2936</v>
      </c>
      <c r="B620">
        <f t="shared" si="220"/>
        <v>1</v>
      </c>
      <c r="C620" t="str">
        <f t="shared" si="208"/>
        <v/>
      </c>
      <c r="D620" s="3" t="s">
        <v>2937</v>
      </c>
      <c r="E620" s="7">
        <v>45496</v>
      </c>
      <c r="F620" s="3" t="s">
        <v>528</v>
      </c>
      <c r="G620" s="7">
        <v>45503</v>
      </c>
      <c r="H620" s="7" t="str">
        <f t="shared" si="199"/>
        <v>Valid</v>
      </c>
      <c r="I620" s="9">
        <f t="shared" si="200"/>
        <v>7</v>
      </c>
      <c r="J620" s="9" t="str">
        <f t="shared" si="201"/>
        <v>Valid</v>
      </c>
      <c r="K620" t="s">
        <v>2938</v>
      </c>
      <c r="L620" t="s">
        <v>365</v>
      </c>
      <c r="M620" t="s">
        <v>365</v>
      </c>
      <c r="N620" t="s">
        <v>107</v>
      </c>
      <c r="O620" s="3" t="str">
        <f t="shared" si="202"/>
        <v>Corporate</v>
      </c>
      <c r="P620" t="s">
        <v>26</v>
      </c>
      <c r="Q620" s="3" t="str">
        <f t="shared" si="203"/>
        <v>North</v>
      </c>
      <c r="R620" t="s">
        <v>27</v>
      </c>
      <c r="S620" t="s">
        <v>28</v>
      </c>
      <c r="T620" t="s">
        <v>44</v>
      </c>
      <c r="U620" s="3" t="str">
        <f t="shared" si="204"/>
        <v>Furniture</v>
      </c>
      <c r="V620" t="s">
        <v>45</v>
      </c>
      <c r="W620" t="s">
        <v>2939</v>
      </c>
      <c r="X620" t="s">
        <v>47</v>
      </c>
      <c r="Y620" s="3" t="str">
        <f t="shared" si="205"/>
        <v>Same Day</v>
      </c>
      <c r="Z620">
        <v>9</v>
      </c>
      <c r="AA620">
        <v>1870.11</v>
      </c>
      <c r="AB620">
        <v>0.25</v>
      </c>
      <c r="AC620">
        <f t="shared" si="206"/>
        <v>0.25</v>
      </c>
      <c r="AD620" t="str">
        <f t="shared" si="209"/>
        <v>Valid</v>
      </c>
      <c r="AE620">
        <v>12623.24</v>
      </c>
      <c r="AF620">
        <v>10540.8</v>
      </c>
      <c r="AG620">
        <v>2082.44</v>
      </c>
      <c r="AH620" t="s">
        <v>199</v>
      </c>
      <c r="AI620" t="str">
        <f t="shared" si="210"/>
        <v>Exclude</v>
      </c>
      <c r="AJ620" t="str">
        <f t="shared" si="211"/>
        <v/>
      </c>
      <c r="AK620" t="s">
        <v>77</v>
      </c>
      <c r="AL620" t="str">
        <f t="shared" si="207"/>
        <v>Cancelled</v>
      </c>
      <c r="AM620" t="str">
        <f t="shared" si="212"/>
        <v>Exclude</v>
      </c>
      <c r="AN620">
        <f t="shared" si="213"/>
        <v>12623.242499999998</v>
      </c>
      <c r="AO620">
        <f t="shared" si="214"/>
        <v>2082.4424999999992</v>
      </c>
      <c r="AP620">
        <f>IF(AN620=0,0,AO620/AN620)</f>
        <v>0.16496890557239943</v>
      </c>
      <c r="AQ620" t="str">
        <f t="shared" si="215"/>
        <v>July</v>
      </c>
      <c r="AR620">
        <f t="shared" si="216"/>
        <v>2024</v>
      </c>
      <c r="AS620" t="str">
        <f t="shared" si="217"/>
        <v>Clean</v>
      </c>
      <c r="AT620" t="str">
        <f>IF(OR(AC620&lt;0,AC620&gt;0.5),"Invalid Discount","Valid")</f>
        <v>Valid</v>
      </c>
      <c r="AU620" t="str">
        <f>IF(G620&lt;E620,"Invalid Shipping Record","Valid")</f>
        <v>Valid</v>
      </c>
      <c r="AV620" t="str">
        <f>IF(OR(AL620="Cancelled",AH620="Failed"),"Exclude","Include")</f>
        <v>Exclude</v>
      </c>
      <c r="AW620" t="str">
        <f t="shared" si="218"/>
        <v>Match</v>
      </c>
      <c r="AX620" t="str">
        <f t="shared" si="219"/>
        <v>Match</v>
      </c>
    </row>
    <row r="621" spans="1:50">
      <c r="A621" t="s">
        <v>2940</v>
      </c>
      <c r="B621">
        <f t="shared" si="220"/>
        <v>1</v>
      </c>
      <c r="C621" t="str">
        <f t="shared" si="208"/>
        <v/>
      </c>
      <c r="D621" s="3" t="s">
        <v>910</v>
      </c>
      <c r="E621" s="7">
        <v>45618</v>
      </c>
      <c r="F621" s="3" t="s">
        <v>2941</v>
      </c>
      <c r="G621" s="7">
        <v>45623</v>
      </c>
      <c r="H621" s="7" t="str">
        <f t="shared" si="199"/>
        <v>Valid</v>
      </c>
      <c r="I621" s="9">
        <f t="shared" si="200"/>
        <v>5</v>
      </c>
      <c r="J621" s="9" t="str">
        <f t="shared" si="201"/>
        <v>Valid</v>
      </c>
      <c r="K621" t="s">
        <v>2942</v>
      </c>
      <c r="L621" t="s">
        <v>141</v>
      </c>
      <c r="M621" t="s">
        <v>141</v>
      </c>
      <c r="N621" t="s">
        <v>107</v>
      </c>
      <c r="O621" s="3" t="str">
        <f t="shared" si="202"/>
        <v>Corporate</v>
      </c>
      <c r="P621" t="s">
        <v>61</v>
      </c>
      <c r="Q621" s="3" t="str">
        <f t="shared" si="203"/>
        <v>South</v>
      </c>
      <c r="R621" t="s">
        <v>338</v>
      </c>
      <c r="S621" t="s">
        <v>339</v>
      </c>
      <c r="T621" t="s">
        <v>29</v>
      </c>
      <c r="U621" s="3" t="str">
        <f t="shared" si="204"/>
        <v>Office Supplies</v>
      </c>
      <c r="V621" t="s">
        <v>197</v>
      </c>
      <c r="W621" t="s">
        <v>2943</v>
      </c>
      <c r="X621" t="s">
        <v>55</v>
      </c>
      <c r="Y621" s="3" t="str">
        <f t="shared" si="205"/>
        <v>First Class</v>
      </c>
      <c r="Z621">
        <v>1</v>
      </c>
      <c r="AA621">
        <v>4251.26</v>
      </c>
      <c r="AB621">
        <v>0.2</v>
      </c>
      <c r="AC621">
        <f t="shared" si="206"/>
        <v>0.2</v>
      </c>
      <c r="AD621" t="str">
        <f t="shared" si="209"/>
        <v>Valid</v>
      </c>
      <c r="AE621">
        <v>3401.01</v>
      </c>
      <c r="AF621">
        <v>2917.54</v>
      </c>
      <c r="AG621">
        <v>483.47</v>
      </c>
      <c r="AH621" t="s">
        <v>123</v>
      </c>
      <c r="AI621" t="str">
        <f t="shared" si="210"/>
        <v>Include</v>
      </c>
      <c r="AJ621" t="str">
        <f t="shared" si="211"/>
        <v>Refunded Order</v>
      </c>
      <c r="AK621" t="s">
        <v>124</v>
      </c>
      <c r="AL621" t="str">
        <f t="shared" si="207"/>
        <v>Returned</v>
      </c>
      <c r="AM621" t="str">
        <f t="shared" si="212"/>
        <v>Include</v>
      </c>
      <c r="AN621">
        <f t="shared" si="213"/>
        <v>3401.0080000000003</v>
      </c>
      <c r="AO621">
        <f t="shared" si="214"/>
        <v>483.4680000000003</v>
      </c>
      <c r="AP621">
        <f>IF(AN621=0,0,AO621/AN621)</f>
        <v>0.14215432601158254</v>
      </c>
      <c r="AQ621" t="str">
        <f t="shared" si="215"/>
        <v>November</v>
      </c>
      <c r="AR621">
        <f t="shared" si="216"/>
        <v>2024</v>
      </c>
      <c r="AS621" t="str">
        <f t="shared" si="217"/>
        <v>Clean</v>
      </c>
      <c r="AT621" t="str">
        <f>IF(OR(AC621&lt;0,AC621&gt;0.5),"Invalid Discount","Valid")</f>
        <v>Valid</v>
      </c>
      <c r="AU621" t="str">
        <f>IF(G621&lt;E621,"Invalid Shipping Record","Valid")</f>
        <v>Valid</v>
      </c>
      <c r="AV621" t="str">
        <f>IF(OR(AL621="Cancelled",AH621="Failed"),"Exclude","Include")</f>
        <v>Include</v>
      </c>
      <c r="AW621" t="str">
        <f t="shared" si="218"/>
        <v>Match</v>
      </c>
      <c r="AX621" t="str">
        <f t="shared" si="219"/>
        <v>Match</v>
      </c>
    </row>
    <row r="622" spans="1:50">
      <c r="A622" t="s">
        <v>2944</v>
      </c>
      <c r="B622">
        <f t="shared" si="220"/>
        <v>1</v>
      </c>
      <c r="C622" t="str">
        <f t="shared" si="208"/>
        <v/>
      </c>
      <c r="D622" s="3" t="s">
        <v>2945</v>
      </c>
      <c r="E622" s="7">
        <v>45522</v>
      </c>
      <c r="F622" s="3" t="s">
        <v>2946</v>
      </c>
      <c r="G622" s="7">
        <v>45525</v>
      </c>
      <c r="H622" s="7" t="str">
        <f t="shared" si="199"/>
        <v>Valid</v>
      </c>
      <c r="I622" s="9">
        <f t="shared" si="200"/>
        <v>3</v>
      </c>
      <c r="J622" s="9" t="str">
        <f t="shared" si="201"/>
        <v>Valid</v>
      </c>
      <c r="K622" t="s">
        <v>2947</v>
      </c>
      <c r="L622" t="s">
        <v>82</v>
      </c>
      <c r="M622" t="s">
        <v>82</v>
      </c>
      <c r="N622" t="s">
        <v>25</v>
      </c>
      <c r="O622" s="3" t="str">
        <f t="shared" si="202"/>
        <v>Consumer</v>
      </c>
      <c r="P622" t="s">
        <v>26</v>
      </c>
      <c r="Q622" s="3" t="str">
        <f t="shared" si="203"/>
        <v>North</v>
      </c>
      <c r="R622" t="s">
        <v>173</v>
      </c>
      <c r="S622" t="s">
        <v>174</v>
      </c>
      <c r="T622" t="s">
        <v>85</v>
      </c>
      <c r="U622" s="3" t="str">
        <f t="shared" si="204"/>
        <v>Technology</v>
      </c>
      <c r="V622" t="s">
        <v>381</v>
      </c>
      <c r="W622" t="s">
        <v>2948</v>
      </c>
      <c r="X622" t="s">
        <v>66</v>
      </c>
      <c r="Y622" s="3" t="str">
        <f t="shared" si="205"/>
        <v>Standard Class</v>
      </c>
      <c r="Z622">
        <v>9</v>
      </c>
      <c r="AA622">
        <v>734.34</v>
      </c>
      <c r="AB622">
        <v>0</v>
      </c>
      <c r="AC622">
        <f t="shared" si="206"/>
        <v>0</v>
      </c>
      <c r="AD622" t="str">
        <f t="shared" si="209"/>
        <v>Valid</v>
      </c>
      <c r="AE622">
        <v>6609.06</v>
      </c>
      <c r="AF622">
        <v>4946.78</v>
      </c>
      <c r="AG622">
        <v>1662.28</v>
      </c>
      <c r="AH622" t="s">
        <v>33</v>
      </c>
      <c r="AI622" t="str">
        <f t="shared" si="210"/>
        <v>Include</v>
      </c>
      <c r="AJ622" t="str">
        <f t="shared" si="211"/>
        <v/>
      </c>
      <c r="AK622" t="s">
        <v>34</v>
      </c>
      <c r="AL622" t="str">
        <f t="shared" si="207"/>
        <v>Completed</v>
      </c>
      <c r="AM622" t="str">
        <f t="shared" si="212"/>
        <v>Include</v>
      </c>
      <c r="AN622">
        <f t="shared" si="213"/>
        <v>6609.06</v>
      </c>
      <c r="AO622">
        <f t="shared" si="214"/>
        <v>1662.2800000000007</v>
      </c>
      <c r="AP622">
        <f>IF(AN622=0,0,AO622/AN622)</f>
        <v>0.25151534408826681</v>
      </c>
      <c r="AQ622" t="str">
        <f t="shared" si="215"/>
        <v>August</v>
      </c>
      <c r="AR622">
        <f t="shared" si="216"/>
        <v>2024</v>
      </c>
      <c r="AS622" t="str">
        <f t="shared" si="217"/>
        <v>Clean</v>
      </c>
      <c r="AT622" t="str">
        <f>IF(OR(AC622&lt;0,AC622&gt;0.5),"Invalid Discount","Valid")</f>
        <v>Valid</v>
      </c>
      <c r="AU622" t="str">
        <f>IF(G622&lt;E622,"Invalid Shipping Record","Valid")</f>
        <v>Valid</v>
      </c>
      <c r="AV622" t="str">
        <f>IF(OR(AL622="Cancelled",AH622="Failed"),"Exclude","Include")</f>
        <v>Include</v>
      </c>
      <c r="AW622" t="str">
        <f t="shared" si="218"/>
        <v>Match</v>
      </c>
      <c r="AX622" t="str">
        <f t="shared" si="219"/>
        <v>Match</v>
      </c>
    </row>
    <row r="623" spans="1:50">
      <c r="A623" t="s">
        <v>2949</v>
      </c>
      <c r="B623">
        <f t="shared" si="220"/>
        <v>1</v>
      </c>
      <c r="C623" t="str">
        <f t="shared" si="208"/>
        <v/>
      </c>
      <c r="D623" s="3" t="s">
        <v>57</v>
      </c>
      <c r="E623" s="7">
        <v>45624</v>
      </c>
      <c r="F623" s="3" t="s">
        <v>2950</v>
      </c>
      <c r="G623" s="7">
        <v>45632</v>
      </c>
      <c r="H623" s="7" t="str">
        <f t="shared" si="199"/>
        <v>Valid</v>
      </c>
      <c r="I623" s="9">
        <f t="shared" si="200"/>
        <v>8</v>
      </c>
      <c r="J623" s="9" t="str">
        <f t="shared" si="201"/>
        <v>Valid</v>
      </c>
      <c r="K623" t="s">
        <v>2951</v>
      </c>
      <c r="L623" t="s">
        <v>106</v>
      </c>
      <c r="M623" t="s">
        <v>106</v>
      </c>
      <c r="N623" t="s">
        <v>25</v>
      </c>
      <c r="O623" s="3" t="str">
        <f t="shared" si="202"/>
        <v>Consumer</v>
      </c>
      <c r="P623" t="s">
        <v>72</v>
      </c>
      <c r="Q623" s="3" t="str">
        <f t="shared" si="203"/>
        <v>West</v>
      </c>
      <c r="R623" t="s">
        <v>73</v>
      </c>
      <c r="S623" t="s">
        <v>74</v>
      </c>
      <c r="T623" t="s">
        <v>44</v>
      </c>
      <c r="U623" s="3" t="str">
        <f t="shared" si="204"/>
        <v>Furniture</v>
      </c>
      <c r="V623" t="s">
        <v>75</v>
      </c>
      <c r="W623" t="s">
        <v>2952</v>
      </c>
      <c r="X623" t="s">
        <v>47</v>
      </c>
      <c r="Y623" s="3" t="str">
        <f t="shared" si="205"/>
        <v>Same Day</v>
      </c>
      <c r="Z623">
        <v>5</v>
      </c>
      <c r="AA623">
        <v>1092.8399999999999</v>
      </c>
      <c r="AC623">
        <f t="shared" si="206"/>
        <v>0</v>
      </c>
      <c r="AD623" t="str">
        <f t="shared" si="209"/>
        <v>Valid</v>
      </c>
      <c r="AE623">
        <v>5464.2</v>
      </c>
      <c r="AF623">
        <v>3318.09</v>
      </c>
      <c r="AG623">
        <v>2146.11</v>
      </c>
      <c r="AH623" t="s">
        <v>33</v>
      </c>
      <c r="AI623" t="str">
        <f t="shared" si="210"/>
        <v>Include</v>
      </c>
      <c r="AJ623" t="str">
        <f t="shared" si="211"/>
        <v/>
      </c>
      <c r="AK623" t="s">
        <v>34</v>
      </c>
      <c r="AL623" t="str">
        <f t="shared" si="207"/>
        <v>Completed</v>
      </c>
      <c r="AM623" t="str">
        <f t="shared" si="212"/>
        <v>Include</v>
      </c>
      <c r="AN623">
        <f t="shared" si="213"/>
        <v>5464.2</v>
      </c>
      <c r="AO623">
        <f t="shared" si="214"/>
        <v>2146.1099999999997</v>
      </c>
      <c r="AP623">
        <f>IF(AN623=0,0,AO623/AN623)</f>
        <v>0.39275831777753373</v>
      </c>
      <c r="AQ623" t="str">
        <f t="shared" si="215"/>
        <v>November</v>
      </c>
      <c r="AR623">
        <f t="shared" si="216"/>
        <v>2024</v>
      </c>
      <c r="AS623" t="str">
        <f t="shared" si="217"/>
        <v>Clean</v>
      </c>
      <c r="AT623" t="str">
        <f>IF(OR(AC623&lt;0,AC623&gt;0.5),"Invalid Discount","Valid")</f>
        <v>Valid</v>
      </c>
      <c r="AU623" t="str">
        <f>IF(G623&lt;E623,"Invalid Shipping Record","Valid")</f>
        <v>Valid</v>
      </c>
      <c r="AV623" t="str">
        <f>IF(OR(AL623="Cancelled",AH623="Failed"),"Exclude","Include")</f>
        <v>Include</v>
      </c>
      <c r="AW623" t="str">
        <f t="shared" si="218"/>
        <v>Match</v>
      </c>
      <c r="AX623" t="str">
        <f t="shared" si="219"/>
        <v>Match</v>
      </c>
    </row>
    <row r="624" spans="1:50">
      <c r="A624" t="s">
        <v>2953</v>
      </c>
      <c r="B624">
        <f t="shared" si="220"/>
        <v>1</v>
      </c>
      <c r="C624" t="str">
        <f t="shared" si="208"/>
        <v/>
      </c>
      <c r="D624" s="3" t="s">
        <v>2954</v>
      </c>
      <c r="E624" s="7">
        <v>45686</v>
      </c>
      <c r="F624" s="3" t="s">
        <v>2955</v>
      </c>
      <c r="G624" s="7">
        <v>45694</v>
      </c>
      <c r="H624" s="7" t="str">
        <f t="shared" si="199"/>
        <v>Valid</v>
      </c>
      <c r="I624" s="9">
        <f t="shared" si="200"/>
        <v>8</v>
      </c>
      <c r="J624" s="9" t="str">
        <f t="shared" si="201"/>
        <v>Valid</v>
      </c>
      <c r="K624" t="s">
        <v>2956</v>
      </c>
      <c r="L624" t="s">
        <v>82</v>
      </c>
      <c r="M624" t="s">
        <v>82</v>
      </c>
      <c r="N624" t="s">
        <v>25</v>
      </c>
      <c r="O624" s="3" t="str">
        <f t="shared" si="202"/>
        <v>Consumer</v>
      </c>
      <c r="P624" t="s">
        <v>41</v>
      </c>
      <c r="Q624" s="3" t="str">
        <f t="shared" si="203"/>
        <v>East</v>
      </c>
      <c r="R624" t="s">
        <v>185</v>
      </c>
      <c r="S624" t="s">
        <v>186</v>
      </c>
      <c r="T624" t="s">
        <v>29</v>
      </c>
      <c r="U624" s="3" t="str">
        <f t="shared" si="204"/>
        <v>Office Supplies</v>
      </c>
      <c r="V624" t="s">
        <v>155</v>
      </c>
      <c r="W624" t="s">
        <v>2957</v>
      </c>
      <c r="X624" t="s">
        <v>66</v>
      </c>
      <c r="Y624" s="3" t="str">
        <f t="shared" si="205"/>
        <v>Standard Class</v>
      </c>
      <c r="Z624">
        <v>4</v>
      </c>
      <c r="AA624">
        <v>2759.01</v>
      </c>
      <c r="AB624">
        <v>0.05</v>
      </c>
      <c r="AC624">
        <f t="shared" si="206"/>
        <v>0.05</v>
      </c>
      <c r="AD624" t="str">
        <f t="shared" si="209"/>
        <v>Valid</v>
      </c>
      <c r="AE624">
        <v>10484.24</v>
      </c>
      <c r="AF624">
        <v>6680.15</v>
      </c>
      <c r="AG624">
        <v>3804.09</v>
      </c>
      <c r="AH624" t="s">
        <v>33</v>
      </c>
      <c r="AI624" t="str">
        <f t="shared" si="210"/>
        <v>Include</v>
      </c>
      <c r="AJ624" t="str">
        <f t="shared" si="211"/>
        <v/>
      </c>
      <c r="AK624" t="s">
        <v>34</v>
      </c>
      <c r="AL624" t="str">
        <f t="shared" si="207"/>
        <v>Completed</v>
      </c>
      <c r="AM624" t="str">
        <f t="shared" si="212"/>
        <v>Include</v>
      </c>
      <c r="AN624">
        <f t="shared" si="213"/>
        <v>10484.238000000001</v>
      </c>
      <c r="AO624">
        <f t="shared" si="214"/>
        <v>3804.0880000000016</v>
      </c>
      <c r="AP624">
        <f>IF(AN624=0,0,AO624/AN624)</f>
        <v>0.36283876806306775</v>
      </c>
      <c r="AQ624" t="str">
        <f t="shared" si="215"/>
        <v>January</v>
      </c>
      <c r="AR624">
        <f t="shared" si="216"/>
        <v>2025</v>
      </c>
      <c r="AS624" t="str">
        <f t="shared" si="217"/>
        <v>Clean</v>
      </c>
      <c r="AT624" t="str">
        <f>IF(OR(AC624&lt;0,AC624&gt;0.5),"Invalid Discount","Valid")</f>
        <v>Valid</v>
      </c>
      <c r="AU624" t="str">
        <f>IF(G624&lt;E624,"Invalid Shipping Record","Valid")</f>
        <v>Valid</v>
      </c>
      <c r="AV624" t="str">
        <f>IF(OR(AL624="Cancelled",AH624="Failed"),"Exclude","Include")</f>
        <v>Include</v>
      </c>
      <c r="AW624" t="str">
        <f t="shared" si="218"/>
        <v>Match</v>
      </c>
      <c r="AX624" t="str">
        <f t="shared" si="219"/>
        <v>Match</v>
      </c>
    </row>
    <row r="625" spans="1:50">
      <c r="A625" t="s">
        <v>2958</v>
      </c>
      <c r="B625">
        <f t="shared" si="220"/>
        <v>1</v>
      </c>
      <c r="C625" t="str">
        <f t="shared" si="208"/>
        <v/>
      </c>
      <c r="D625" s="3" t="s">
        <v>2959</v>
      </c>
      <c r="E625" s="7">
        <v>45512</v>
      </c>
      <c r="F625" s="3" t="s">
        <v>2960</v>
      </c>
      <c r="G625" s="7">
        <v>45518</v>
      </c>
      <c r="H625" s="7" t="str">
        <f t="shared" si="199"/>
        <v>Valid</v>
      </c>
      <c r="I625" s="9">
        <f t="shared" si="200"/>
        <v>6</v>
      </c>
      <c r="J625" s="9" t="str">
        <f t="shared" si="201"/>
        <v>Valid</v>
      </c>
      <c r="K625" t="s">
        <v>2961</v>
      </c>
      <c r="L625" t="s">
        <v>82</v>
      </c>
      <c r="M625" t="s">
        <v>82</v>
      </c>
      <c r="N625" t="s">
        <v>114</v>
      </c>
      <c r="O625" s="3" t="str">
        <f t="shared" si="202"/>
        <v>Home Office</v>
      </c>
      <c r="P625" t="s">
        <v>26</v>
      </c>
      <c r="Q625" s="3" t="str">
        <f t="shared" si="203"/>
        <v>North</v>
      </c>
      <c r="R625" t="s">
        <v>153</v>
      </c>
      <c r="S625" t="s">
        <v>154</v>
      </c>
      <c r="T625" t="s">
        <v>29</v>
      </c>
      <c r="U625" s="3" t="str">
        <f t="shared" si="204"/>
        <v>Office Supplies</v>
      </c>
      <c r="V625" t="s">
        <v>155</v>
      </c>
      <c r="W625" t="s">
        <v>2962</v>
      </c>
      <c r="X625" t="s">
        <v>32</v>
      </c>
      <c r="Y625" s="3" t="str">
        <f t="shared" si="205"/>
        <v>Second Class</v>
      </c>
      <c r="Z625">
        <v>8</v>
      </c>
      <c r="AA625">
        <v>1359.19</v>
      </c>
      <c r="AB625">
        <v>0.05</v>
      </c>
      <c r="AC625">
        <f t="shared" si="206"/>
        <v>0.05</v>
      </c>
      <c r="AD625" t="str">
        <f t="shared" si="209"/>
        <v>Valid</v>
      </c>
      <c r="AE625">
        <v>10329.84</v>
      </c>
      <c r="AF625">
        <v>7512.22</v>
      </c>
      <c r="AG625">
        <v>2817.62</v>
      </c>
      <c r="AH625" t="s">
        <v>33</v>
      </c>
      <c r="AI625" t="str">
        <f t="shared" si="210"/>
        <v>Include</v>
      </c>
      <c r="AJ625" t="str">
        <f t="shared" si="211"/>
        <v/>
      </c>
      <c r="AK625" t="s">
        <v>34</v>
      </c>
      <c r="AL625" t="str">
        <f t="shared" si="207"/>
        <v>Completed</v>
      </c>
      <c r="AM625" t="str">
        <f t="shared" si="212"/>
        <v>Include</v>
      </c>
      <c r="AN625">
        <f t="shared" si="213"/>
        <v>10329.843999999999</v>
      </c>
      <c r="AO625">
        <f t="shared" si="214"/>
        <v>2817.6239999999989</v>
      </c>
      <c r="AP625">
        <f>IF(AN625=0,0,AO625/AN625)</f>
        <v>0.27276539703794161</v>
      </c>
      <c r="AQ625" t="str">
        <f t="shared" si="215"/>
        <v>August</v>
      </c>
      <c r="AR625">
        <f t="shared" si="216"/>
        <v>2024</v>
      </c>
      <c r="AS625" t="str">
        <f t="shared" si="217"/>
        <v>Clean</v>
      </c>
      <c r="AT625" t="str">
        <f>IF(OR(AC625&lt;0,AC625&gt;0.5),"Invalid Discount","Valid")</f>
        <v>Valid</v>
      </c>
      <c r="AU625" t="str">
        <f>IF(G625&lt;E625,"Invalid Shipping Record","Valid")</f>
        <v>Valid</v>
      </c>
      <c r="AV625" t="str">
        <f>IF(OR(AL625="Cancelled",AH625="Failed"),"Exclude","Include")</f>
        <v>Include</v>
      </c>
      <c r="AW625" t="str">
        <f t="shared" si="218"/>
        <v>Match</v>
      </c>
      <c r="AX625" t="str">
        <f t="shared" si="219"/>
        <v>Match</v>
      </c>
    </row>
    <row r="626" spans="1:50">
      <c r="A626" t="s">
        <v>2963</v>
      </c>
      <c r="B626">
        <f t="shared" si="220"/>
        <v>1</v>
      </c>
      <c r="C626" t="str">
        <f t="shared" si="208"/>
        <v/>
      </c>
      <c r="D626" s="3" t="s">
        <v>2964</v>
      </c>
      <c r="E626" s="7">
        <v>45321</v>
      </c>
      <c r="F626" s="3" t="s">
        <v>2965</v>
      </c>
      <c r="G626" s="7">
        <v>45323</v>
      </c>
      <c r="H626" s="7" t="str">
        <f t="shared" si="199"/>
        <v>Valid</v>
      </c>
      <c r="I626" s="9">
        <f t="shared" si="200"/>
        <v>2</v>
      </c>
      <c r="J626" s="9" t="str">
        <f t="shared" si="201"/>
        <v>Valid</v>
      </c>
      <c r="K626" t="s">
        <v>2966</v>
      </c>
      <c r="L626" t="s">
        <v>92</v>
      </c>
      <c r="M626" t="s">
        <v>92</v>
      </c>
      <c r="N626" t="s">
        <v>114</v>
      </c>
      <c r="O626" s="3" t="str">
        <f t="shared" si="202"/>
        <v>Home Office</v>
      </c>
      <c r="P626" t="s">
        <v>41</v>
      </c>
      <c r="Q626" s="3" t="str">
        <f t="shared" si="203"/>
        <v>East</v>
      </c>
      <c r="R626" t="s">
        <v>215</v>
      </c>
      <c r="S626" t="s">
        <v>216</v>
      </c>
      <c r="T626" t="s">
        <v>44</v>
      </c>
      <c r="U626" s="3" t="str">
        <f t="shared" si="204"/>
        <v>Furniture</v>
      </c>
      <c r="V626" t="s">
        <v>75</v>
      </c>
      <c r="W626" t="s">
        <v>2967</v>
      </c>
      <c r="X626" t="s">
        <v>55</v>
      </c>
      <c r="Y626" s="3" t="str">
        <f t="shared" si="205"/>
        <v>First Class</v>
      </c>
      <c r="Z626">
        <v>2</v>
      </c>
      <c r="AA626">
        <v>4451.03</v>
      </c>
      <c r="AB626">
        <v>0.05</v>
      </c>
      <c r="AC626">
        <f t="shared" si="206"/>
        <v>0.05</v>
      </c>
      <c r="AD626" t="str">
        <f t="shared" si="209"/>
        <v>Valid</v>
      </c>
      <c r="AE626">
        <v>8456.9599999999991</v>
      </c>
      <c r="AF626">
        <v>5462.85</v>
      </c>
      <c r="AG626">
        <v>2994.11</v>
      </c>
      <c r="AH626" t="s">
        <v>33</v>
      </c>
      <c r="AI626" t="str">
        <f t="shared" si="210"/>
        <v>Include</v>
      </c>
      <c r="AJ626" t="str">
        <f t="shared" si="211"/>
        <v/>
      </c>
      <c r="AK626" t="s">
        <v>34</v>
      </c>
      <c r="AL626" t="str">
        <f t="shared" si="207"/>
        <v>Completed</v>
      </c>
      <c r="AM626" t="str">
        <f t="shared" si="212"/>
        <v>Include</v>
      </c>
      <c r="AN626">
        <f t="shared" si="213"/>
        <v>8456.9569999999985</v>
      </c>
      <c r="AO626">
        <f t="shared" si="214"/>
        <v>2994.1069999999982</v>
      </c>
      <c r="AP626">
        <f>IF(AN626=0,0,AO626/AN626)</f>
        <v>0.35404070282017502</v>
      </c>
      <c r="AQ626" t="str">
        <f t="shared" si="215"/>
        <v>January</v>
      </c>
      <c r="AR626">
        <f t="shared" si="216"/>
        <v>2024</v>
      </c>
      <c r="AS626" t="str">
        <f t="shared" si="217"/>
        <v>Clean</v>
      </c>
      <c r="AT626" t="str">
        <f>IF(OR(AC626&lt;0,AC626&gt;0.5),"Invalid Discount","Valid")</f>
        <v>Valid</v>
      </c>
      <c r="AU626" t="str">
        <f>IF(G626&lt;E626,"Invalid Shipping Record","Valid")</f>
        <v>Valid</v>
      </c>
      <c r="AV626" t="str">
        <f>IF(OR(AL626="Cancelled",AH626="Failed"),"Exclude","Include")</f>
        <v>Include</v>
      </c>
      <c r="AW626" t="str">
        <f t="shared" si="218"/>
        <v>Match</v>
      </c>
      <c r="AX626" t="str">
        <f t="shared" si="219"/>
        <v>Match</v>
      </c>
    </row>
    <row r="627" spans="1:50">
      <c r="A627" t="s">
        <v>2968</v>
      </c>
      <c r="B627">
        <f t="shared" si="220"/>
        <v>1</v>
      </c>
      <c r="C627" t="str">
        <f t="shared" si="208"/>
        <v/>
      </c>
      <c r="D627" s="3" t="s">
        <v>2969</v>
      </c>
      <c r="E627" s="7">
        <v>45641</v>
      </c>
      <c r="F627" s="3" t="s">
        <v>1403</v>
      </c>
      <c r="G627" s="7">
        <v>45647</v>
      </c>
      <c r="H627" s="7" t="str">
        <f t="shared" si="199"/>
        <v>Valid</v>
      </c>
      <c r="I627" s="9">
        <f t="shared" si="200"/>
        <v>6</v>
      </c>
      <c r="J627" s="9" t="str">
        <f t="shared" si="201"/>
        <v>Valid</v>
      </c>
      <c r="K627" t="s">
        <v>2970</v>
      </c>
      <c r="L627" t="s">
        <v>209</v>
      </c>
      <c r="M627" t="s">
        <v>209</v>
      </c>
      <c r="N627" t="s">
        <v>107</v>
      </c>
      <c r="O627" s="3" t="str">
        <f t="shared" si="202"/>
        <v>Corporate</v>
      </c>
      <c r="P627" t="s">
        <v>72</v>
      </c>
      <c r="Q627" s="3" t="str">
        <f t="shared" si="203"/>
        <v>West</v>
      </c>
      <c r="R627" t="s">
        <v>27</v>
      </c>
      <c r="S627" t="s">
        <v>134</v>
      </c>
      <c r="T627" t="s">
        <v>44</v>
      </c>
      <c r="U627" s="3" t="str">
        <f t="shared" si="204"/>
        <v>Furniture</v>
      </c>
      <c r="V627" t="s">
        <v>75</v>
      </c>
      <c r="W627" t="s">
        <v>2971</v>
      </c>
      <c r="X627" t="s">
        <v>47</v>
      </c>
      <c r="Y627" s="3" t="str">
        <f t="shared" si="205"/>
        <v>Same Day</v>
      </c>
      <c r="Z627">
        <v>3</v>
      </c>
      <c r="AA627">
        <v>527.66999999999996</v>
      </c>
      <c r="AB627">
        <v>0.2</v>
      </c>
      <c r="AC627">
        <f t="shared" si="206"/>
        <v>0.2</v>
      </c>
      <c r="AD627" t="str">
        <f t="shared" si="209"/>
        <v>Valid</v>
      </c>
      <c r="AE627">
        <v>1266.4100000000001</v>
      </c>
      <c r="AF627">
        <v>983.92</v>
      </c>
      <c r="AG627">
        <v>282.49</v>
      </c>
      <c r="AH627" t="s">
        <v>33</v>
      </c>
      <c r="AI627" t="str">
        <f t="shared" si="210"/>
        <v>Include</v>
      </c>
      <c r="AJ627" t="str">
        <f t="shared" si="211"/>
        <v/>
      </c>
      <c r="AK627" t="s">
        <v>34</v>
      </c>
      <c r="AL627" t="str">
        <f t="shared" si="207"/>
        <v>Completed</v>
      </c>
      <c r="AM627" t="str">
        <f t="shared" si="212"/>
        <v>Include</v>
      </c>
      <c r="AN627">
        <f t="shared" si="213"/>
        <v>1266.4079999999999</v>
      </c>
      <c r="AO627">
        <f t="shared" si="214"/>
        <v>282.48799999999994</v>
      </c>
      <c r="AP627">
        <f>IF(AN627=0,0,AO627/AN627)</f>
        <v>0.22306239379410109</v>
      </c>
      <c r="AQ627" t="str">
        <f t="shared" si="215"/>
        <v>December</v>
      </c>
      <c r="AR627">
        <f t="shared" si="216"/>
        <v>2024</v>
      </c>
      <c r="AS627" t="str">
        <f t="shared" si="217"/>
        <v>Clean</v>
      </c>
      <c r="AT627" t="str">
        <f>IF(OR(AC627&lt;0,AC627&gt;0.5),"Invalid Discount","Valid")</f>
        <v>Valid</v>
      </c>
      <c r="AU627" t="str">
        <f>IF(G627&lt;E627,"Invalid Shipping Record","Valid")</f>
        <v>Valid</v>
      </c>
      <c r="AV627" t="str">
        <f>IF(OR(AL627="Cancelled",AH627="Failed"),"Exclude","Include")</f>
        <v>Include</v>
      </c>
      <c r="AW627" t="str">
        <f t="shared" si="218"/>
        <v>Match</v>
      </c>
      <c r="AX627" t="str">
        <f t="shared" si="219"/>
        <v>Match</v>
      </c>
    </row>
    <row r="628" spans="1:50">
      <c r="A628" t="s">
        <v>2972</v>
      </c>
      <c r="B628">
        <f t="shared" si="220"/>
        <v>1</v>
      </c>
      <c r="C628" t="str">
        <f t="shared" si="208"/>
        <v/>
      </c>
      <c r="D628" s="3" t="s">
        <v>1388</v>
      </c>
      <c r="E628" s="7">
        <v>45812</v>
      </c>
      <c r="F628" s="3" t="s">
        <v>2973</v>
      </c>
      <c r="G628" s="7">
        <v>45815</v>
      </c>
      <c r="H628" s="7" t="str">
        <f t="shared" si="199"/>
        <v>Valid</v>
      </c>
      <c r="I628" s="9">
        <f t="shared" si="200"/>
        <v>3</v>
      </c>
      <c r="J628" s="9" t="str">
        <f t="shared" si="201"/>
        <v>Valid</v>
      </c>
      <c r="K628" t="s">
        <v>2974</v>
      </c>
      <c r="L628" t="s">
        <v>167</v>
      </c>
      <c r="M628" t="s">
        <v>167</v>
      </c>
      <c r="N628" t="s">
        <v>114</v>
      </c>
      <c r="O628" s="3" t="str">
        <f t="shared" si="202"/>
        <v>Home Office</v>
      </c>
      <c r="P628" t="s">
        <v>41</v>
      </c>
      <c r="Q628" s="3" t="str">
        <f t="shared" si="203"/>
        <v>East</v>
      </c>
      <c r="R628" t="s">
        <v>215</v>
      </c>
      <c r="S628" t="s">
        <v>216</v>
      </c>
      <c r="T628" t="s">
        <v>85</v>
      </c>
      <c r="U628" s="3" t="str">
        <f t="shared" si="204"/>
        <v>Technology</v>
      </c>
      <c r="V628" t="s">
        <v>381</v>
      </c>
      <c r="W628" t="s">
        <v>2975</v>
      </c>
      <c r="X628" t="s">
        <v>66</v>
      </c>
      <c r="Y628" s="3" t="str">
        <f t="shared" si="205"/>
        <v>Standard Class</v>
      </c>
      <c r="Z628">
        <v>8</v>
      </c>
      <c r="AA628">
        <v>1434.13</v>
      </c>
      <c r="AB628">
        <v>0</v>
      </c>
      <c r="AC628">
        <f t="shared" si="206"/>
        <v>0</v>
      </c>
      <c r="AD628" t="str">
        <f t="shared" si="209"/>
        <v>Valid</v>
      </c>
      <c r="AE628">
        <v>11473.04</v>
      </c>
      <c r="AF628">
        <v>8931.33</v>
      </c>
      <c r="AG628">
        <v>2541.71</v>
      </c>
      <c r="AH628" t="s">
        <v>136</v>
      </c>
      <c r="AI628" t="str">
        <f t="shared" si="210"/>
        <v>Include</v>
      </c>
      <c r="AJ628" t="str">
        <f t="shared" si="211"/>
        <v/>
      </c>
      <c r="AK628" t="s">
        <v>124</v>
      </c>
      <c r="AL628" t="str">
        <f t="shared" si="207"/>
        <v>Returned</v>
      </c>
      <c r="AM628" t="str">
        <f t="shared" si="212"/>
        <v>Include</v>
      </c>
      <c r="AN628">
        <f t="shared" si="213"/>
        <v>11473.04</v>
      </c>
      <c r="AO628">
        <f t="shared" si="214"/>
        <v>2541.7100000000009</v>
      </c>
      <c r="AP628">
        <f>IF(AN628=0,0,AO628/AN628)</f>
        <v>0.22153762211236086</v>
      </c>
      <c r="AQ628" t="str">
        <f t="shared" si="215"/>
        <v>June</v>
      </c>
      <c r="AR628">
        <f t="shared" si="216"/>
        <v>2025</v>
      </c>
      <c r="AS628" t="str">
        <f t="shared" si="217"/>
        <v>Clean</v>
      </c>
      <c r="AT628" t="str">
        <f>IF(OR(AC628&lt;0,AC628&gt;0.5),"Invalid Discount","Valid")</f>
        <v>Valid</v>
      </c>
      <c r="AU628" t="str">
        <f>IF(G628&lt;E628,"Invalid Shipping Record","Valid")</f>
        <v>Valid</v>
      </c>
      <c r="AV628" t="str">
        <f>IF(OR(AL628="Cancelled",AH628="Failed"),"Exclude","Include")</f>
        <v>Include</v>
      </c>
      <c r="AW628" t="str">
        <f t="shared" si="218"/>
        <v>Match</v>
      </c>
      <c r="AX628" t="str">
        <f t="shared" si="219"/>
        <v>Match</v>
      </c>
    </row>
    <row r="629" spans="1:50">
      <c r="A629" t="s">
        <v>2976</v>
      </c>
      <c r="B629">
        <f t="shared" si="220"/>
        <v>1</v>
      </c>
      <c r="C629" t="str">
        <f t="shared" si="208"/>
        <v/>
      </c>
      <c r="D629" s="3" t="s">
        <v>1413</v>
      </c>
      <c r="E629" s="7">
        <v>45701</v>
      </c>
      <c r="F629" s="3" t="s">
        <v>1774</v>
      </c>
      <c r="G629" s="7">
        <v>45709</v>
      </c>
      <c r="H629" s="7" t="str">
        <f t="shared" si="199"/>
        <v>Valid</v>
      </c>
      <c r="I629" s="9">
        <f t="shared" si="200"/>
        <v>8</v>
      </c>
      <c r="J629" s="9" t="str">
        <f t="shared" si="201"/>
        <v>Valid</v>
      </c>
      <c r="K629" t="s">
        <v>2977</v>
      </c>
      <c r="L629" t="s">
        <v>24</v>
      </c>
      <c r="M629" t="s">
        <v>24</v>
      </c>
      <c r="N629" t="s">
        <v>40</v>
      </c>
      <c r="O629" s="3" t="str">
        <f t="shared" si="202"/>
        <v>Small Business</v>
      </c>
      <c r="P629" t="s">
        <v>61</v>
      </c>
      <c r="Q629" s="3" t="str">
        <f t="shared" si="203"/>
        <v>South</v>
      </c>
      <c r="R629" t="s">
        <v>241</v>
      </c>
      <c r="S629" t="s">
        <v>242</v>
      </c>
      <c r="T629" t="s">
        <v>85</v>
      </c>
      <c r="U629" s="3" t="str">
        <f t="shared" si="204"/>
        <v>Technology</v>
      </c>
      <c r="V629" t="s">
        <v>222</v>
      </c>
      <c r="W629" t="s">
        <v>2978</v>
      </c>
      <c r="X629" t="s">
        <v>32</v>
      </c>
      <c r="Y629" s="3" t="str">
        <f t="shared" si="205"/>
        <v>Second Class</v>
      </c>
      <c r="Z629">
        <v>2</v>
      </c>
      <c r="AA629">
        <v>2360.02</v>
      </c>
      <c r="AB629">
        <v>0.15</v>
      </c>
      <c r="AC629">
        <f t="shared" si="206"/>
        <v>0.15</v>
      </c>
      <c r="AD629" t="str">
        <f t="shared" si="209"/>
        <v>Valid</v>
      </c>
      <c r="AE629">
        <v>4012.03</v>
      </c>
      <c r="AF629">
        <v>3142.92</v>
      </c>
      <c r="AG629">
        <v>869.11</v>
      </c>
      <c r="AH629" t="s">
        <v>136</v>
      </c>
      <c r="AI629" t="str">
        <f t="shared" si="210"/>
        <v>Exclude</v>
      </c>
      <c r="AJ629" t="str">
        <f t="shared" si="211"/>
        <v/>
      </c>
      <c r="AK629" t="s">
        <v>77</v>
      </c>
      <c r="AL629" t="str">
        <f t="shared" si="207"/>
        <v>Cancelled</v>
      </c>
      <c r="AM629" t="str">
        <f t="shared" si="212"/>
        <v>Exclude</v>
      </c>
      <c r="AN629">
        <f t="shared" si="213"/>
        <v>4012.0339999999997</v>
      </c>
      <c r="AO629">
        <f t="shared" si="214"/>
        <v>869.11399999999958</v>
      </c>
      <c r="AP629">
        <f>IF(AN629=0,0,AO629/AN629)</f>
        <v>0.21662677833737193</v>
      </c>
      <c r="AQ629" t="str">
        <f t="shared" si="215"/>
        <v>February</v>
      </c>
      <c r="AR629">
        <f t="shared" si="216"/>
        <v>2025</v>
      </c>
      <c r="AS629" t="str">
        <f t="shared" si="217"/>
        <v>Clean</v>
      </c>
      <c r="AT629" t="str">
        <f>IF(OR(AC629&lt;0,AC629&gt;0.5),"Invalid Discount","Valid")</f>
        <v>Valid</v>
      </c>
      <c r="AU629" t="str">
        <f>IF(G629&lt;E629,"Invalid Shipping Record","Valid")</f>
        <v>Valid</v>
      </c>
      <c r="AV629" t="str">
        <f>IF(OR(AL629="Cancelled",AH629="Failed"),"Exclude","Include")</f>
        <v>Exclude</v>
      </c>
      <c r="AW629" t="str">
        <f t="shared" si="218"/>
        <v>Match</v>
      </c>
      <c r="AX629" t="str">
        <f t="shared" si="219"/>
        <v>Match</v>
      </c>
    </row>
    <row r="630" spans="1:50">
      <c r="A630" t="s">
        <v>2979</v>
      </c>
      <c r="B630">
        <f t="shared" si="220"/>
        <v>1</v>
      </c>
      <c r="C630" t="str">
        <f t="shared" si="208"/>
        <v/>
      </c>
      <c r="D630" s="3" t="s">
        <v>2552</v>
      </c>
      <c r="E630" s="7">
        <v>45935</v>
      </c>
      <c r="F630" s="3" t="s">
        <v>2980</v>
      </c>
      <c r="G630" s="7">
        <v>45942</v>
      </c>
      <c r="H630" s="7" t="str">
        <f t="shared" si="199"/>
        <v>Valid</v>
      </c>
      <c r="I630" s="9">
        <f t="shared" si="200"/>
        <v>7</v>
      </c>
      <c r="J630" s="9" t="str">
        <f t="shared" si="201"/>
        <v>Valid</v>
      </c>
      <c r="K630" t="s">
        <v>2981</v>
      </c>
      <c r="L630" t="s">
        <v>71</v>
      </c>
      <c r="M630" t="s">
        <v>71</v>
      </c>
      <c r="N630" t="s">
        <v>114</v>
      </c>
      <c r="O630" s="3" t="str">
        <f t="shared" si="202"/>
        <v>Home Office</v>
      </c>
      <c r="P630" t="s">
        <v>41</v>
      </c>
      <c r="Q630" s="3" t="str">
        <f t="shared" si="203"/>
        <v>East</v>
      </c>
      <c r="R630" t="s">
        <v>310</v>
      </c>
      <c r="S630" t="s">
        <v>311</v>
      </c>
      <c r="T630" t="s">
        <v>85</v>
      </c>
      <c r="U630" s="3" t="str">
        <f t="shared" si="204"/>
        <v>Technology</v>
      </c>
      <c r="V630" t="s">
        <v>86</v>
      </c>
      <c r="W630" t="s">
        <v>2982</v>
      </c>
      <c r="X630" t="s">
        <v>47</v>
      </c>
      <c r="Y630" s="3" t="str">
        <f t="shared" si="205"/>
        <v>Same Day</v>
      </c>
      <c r="Z630">
        <v>7</v>
      </c>
      <c r="AA630">
        <v>806.67</v>
      </c>
      <c r="AB630">
        <v>0.05</v>
      </c>
      <c r="AC630">
        <f t="shared" si="206"/>
        <v>0.05</v>
      </c>
      <c r="AD630" t="str">
        <f t="shared" si="209"/>
        <v>Valid</v>
      </c>
      <c r="AE630">
        <v>5364.36</v>
      </c>
      <c r="AF630">
        <v>4391.29</v>
      </c>
      <c r="AG630">
        <v>973.07</v>
      </c>
      <c r="AH630" t="s">
        <v>33</v>
      </c>
      <c r="AI630" t="str">
        <f t="shared" si="210"/>
        <v>Include</v>
      </c>
      <c r="AJ630" t="str">
        <f t="shared" si="211"/>
        <v/>
      </c>
      <c r="AK630" t="s">
        <v>34</v>
      </c>
      <c r="AL630" t="str">
        <f t="shared" si="207"/>
        <v>Completed</v>
      </c>
      <c r="AM630" t="str">
        <f t="shared" si="212"/>
        <v>Include</v>
      </c>
      <c r="AN630">
        <f t="shared" si="213"/>
        <v>5364.3554999999997</v>
      </c>
      <c r="AO630">
        <f t="shared" si="214"/>
        <v>973.0654999999997</v>
      </c>
      <c r="AP630">
        <f>IF(AN630=0,0,AO630/AN630)</f>
        <v>0.18139467080434915</v>
      </c>
      <c r="AQ630" t="str">
        <f t="shared" si="215"/>
        <v>October</v>
      </c>
      <c r="AR630">
        <f t="shared" si="216"/>
        <v>2025</v>
      </c>
      <c r="AS630" t="str">
        <f t="shared" si="217"/>
        <v>Clean</v>
      </c>
      <c r="AT630" t="str">
        <f>IF(OR(AC630&lt;0,AC630&gt;0.5),"Invalid Discount","Valid")</f>
        <v>Valid</v>
      </c>
      <c r="AU630" t="str">
        <f>IF(G630&lt;E630,"Invalid Shipping Record","Valid")</f>
        <v>Valid</v>
      </c>
      <c r="AV630" t="str">
        <f>IF(OR(AL630="Cancelled",AH630="Failed"),"Exclude","Include")</f>
        <v>Include</v>
      </c>
      <c r="AW630" t="str">
        <f t="shared" si="218"/>
        <v>Match</v>
      </c>
      <c r="AX630" t="str">
        <f t="shared" si="219"/>
        <v>Match</v>
      </c>
    </row>
    <row r="631" spans="1:50">
      <c r="A631" t="s">
        <v>2983</v>
      </c>
      <c r="B631">
        <f t="shared" si="220"/>
        <v>1</v>
      </c>
      <c r="C631" t="str">
        <f t="shared" si="208"/>
        <v/>
      </c>
      <c r="D631" s="3" t="s">
        <v>572</v>
      </c>
      <c r="E631" s="7">
        <v>45910</v>
      </c>
      <c r="F631" s="3" t="s">
        <v>2984</v>
      </c>
      <c r="G631" s="7">
        <v>45914</v>
      </c>
      <c r="H631" s="7" t="str">
        <f t="shared" si="199"/>
        <v>Valid</v>
      </c>
      <c r="I631" s="9">
        <f t="shared" si="200"/>
        <v>4</v>
      </c>
      <c r="J631" s="9" t="str">
        <f t="shared" si="201"/>
        <v>Valid</v>
      </c>
      <c r="K631" t="s">
        <v>2985</v>
      </c>
      <c r="L631" t="s">
        <v>60</v>
      </c>
      <c r="M631" t="s">
        <v>60</v>
      </c>
      <c r="N631" t="s">
        <v>114</v>
      </c>
      <c r="O631" s="3" t="str">
        <f t="shared" si="202"/>
        <v>Home Office</v>
      </c>
      <c r="P631" t="s">
        <v>72</v>
      </c>
      <c r="Q631" s="3" t="str">
        <f t="shared" si="203"/>
        <v>West</v>
      </c>
      <c r="R631" t="s">
        <v>234</v>
      </c>
      <c r="S631" t="s">
        <v>235</v>
      </c>
      <c r="T631" t="s">
        <v>44</v>
      </c>
      <c r="U631" s="3" t="str">
        <f t="shared" si="204"/>
        <v>Furniture</v>
      </c>
      <c r="V631" t="s">
        <v>45</v>
      </c>
      <c r="W631" t="s">
        <v>2986</v>
      </c>
      <c r="X631" t="s">
        <v>47</v>
      </c>
      <c r="Y631" s="3" t="str">
        <f t="shared" si="205"/>
        <v>Same Day</v>
      </c>
      <c r="Z631">
        <v>3</v>
      </c>
      <c r="AA631">
        <v>4198.46</v>
      </c>
      <c r="AB631">
        <v>0.15</v>
      </c>
      <c r="AC631">
        <f t="shared" si="206"/>
        <v>0.15</v>
      </c>
      <c r="AD631" t="str">
        <f t="shared" si="209"/>
        <v>Valid</v>
      </c>
      <c r="AE631">
        <v>10706.07</v>
      </c>
      <c r="AF631">
        <v>5927.1</v>
      </c>
      <c r="AG631">
        <v>4778.97</v>
      </c>
      <c r="AH631" t="s">
        <v>33</v>
      </c>
      <c r="AI631" t="str">
        <f t="shared" si="210"/>
        <v>Include</v>
      </c>
      <c r="AJ631" t="str">
        <f t="shared" si="211"/>
        <v/>
      </c>
      <c r="AK631" t="s">
        <v>34</v>
      </c>
      <c r="AL631" t="str">
        <f t="shared" si="207"/>
        <v>Completed</v>
      </c>
      <c r="AM631" t="str">
        <f t="shared" si="212"/>
        <v>Include</v>
      </c>
      <c r="AN631">
        <f t="shared" si="213"/>
        <v>10706.073</v>
      </c>
      <c r="AO631">
        <f t="shared" si="214"/>
        <v>4778.973</v>
      </c>
      <c r="AP631">
        <f>IF(AN631=0,0,AO631/AN631)</f>
        <v>0.44637963892082555</v>
      </c>
      <c r="AQ631" t="str">
        <f t="shared" si="215"/>
        <v>September</v>
      </c>
      <c r="AR631">
        <f t="shared" si="216"/>
        <v>2025</v>
      </c>
      <c r="AS631" t="str">
        <f t="shared" si="217"/>
        <v>Clean</v>
      </c>
      <c r="AT631" t="str">
        <f>IF(OR(AC631&lt;0,AC631&gt;0.5),"Invalid Discount","Valid")</f>
        <v>Valid</v>
      </c>
      <c r="AU631" t="str">
        <f>IF(G631&lt;E631,"Invalid Shipping Record","Valid")</f>
        <v>Valid</v>
      </c>
      <c r="AV631" t="str">
        <f>IF(OR(AL631="Cancelled",AH631="Failed"),"Exclude","Include")</f>
        <v>Include</v>
      </c>
      <c r="AW631" t="str">
        <f t="shared" si="218"/>
        <v>Match</v>
      </c>
      <c r="AX631" t="str">
        <f t="shared" si="219"/>
        <v>Match</v>
      </c>
    </row>
    <row r="632" spans="1:50">
      <c r="A632" t="s">
        <v>2987</v>
      </c>
      <c r="B632">
        <f t="shared" si="220"/>
        <v>1</v>
      </c>
      <c r="C632" t="str">
        <f t="shared" si="208"/>
        <v/>
      </c>
      <c r="D632" s="3" t="s">
        <v>2442</v>
      </c>
      <c r="E632" s="7">
        <v>45391</v>
      </c>
      <c r="F632" s="3" t="s">
        <v>1496</v>
      </c>
      <c r="G632" s="7">
        <v>45392</v>
      </c>
      <c r="H632" s="7" t="str">
        <f t="shared" si="199"/>
        <v>Valid</v>
      </c>
      <c r="I632" s="9">
        <f t="shared" si="200"/>
        <v>1</v>
      </c>
      <c r="J632" s="9" t="str">
        <f t="shared" si="201"/>
        <v>Valid</v>
      </c>
      <c r="K632" t="s">
        <v>2988</v>
      </c>
      <c r="L632" t="s">
        <v>141</v>
      </c>
      <c r="M632" t="s">
        <v>141</v>
      </c>
      <c r="N632" t="s">
        <v>107</v>
      </c>
      <c r="O632" s="3" t="str">
        <f t="shared" si="202"/>
        <v>Corporate</v>
      </c>
      <c r="P632" t="s">
        <v>41</v>
      </c>
      <c r="Q632" s="3" t="str">
        <f t="shared" si="203"/>
        <v>East</v>
      </c>
      <c r="R632" t="s">
        <v>215</v>
      </c>
      <c r="S632" t="s">
        <v>216</v>
      </c>
      <c r="T632" t="s">
        <v>29</v>
      </c>
      <c r="U632" s="3" t="str">
        <f t="shared" si="204"/>
        <v>Office Supplies</v>
      </c>
      <c r="V632" t="s">
        <v>30</v>
      </c>
      <c r="W632" t="s">
        <v>2989</v>
      </c>
      <c r="X632" t="s">
        <v>66</v>
      </c>
      <c r="Y632" s="3" t="str">
        <f t="shared" si="205"/>
        <v>Standard Class</v>
      </c>
      <c r="Z632">
        <v>4</v>
      </c>
      <c r="AA632">
        <v>3047.05</v>
      </c>
      <c r="AB632">
        <v>0.1</v>
      </c>
      <c r="AC632">
        <f t="shared" si="206"/>
        <v>0.1</v>
      </c>
      <c r="AD632" t="str">
        <f t="shared" si="209"/>
        <v>Valid</v>
      </c>
      <c r="AE632">
        <v>10969.38</v>
      </c>
      <c r="AF632">
        <v>9254.4599999999991</v>
      </c>
      <c r="AG632">
        <v>1714.92</v>
      </c>
      <c r="AH632" t="s">
        <v>33</v>
      </c>
      <c r="AI632" t="str">
        <f t="shared" si="210"/>
        <v>Include</v>
      </c>
      <c r="AJ632" t="str">
        <f t="shared" si="211"/>
        <v/>
      </c>
      <c r="AK632" t="s">
        <v>34</v>
      </c>
      <c r="AL632" t="str">
        <f t="shared" si="207"/>
        <v>Completed</v>
      </c>
      <c r="AM632" t="str">
        <f t="shared" si="212"/>
        <v>Include</v>
      </c>
      <c r="AN632">
        <f t="shared" si="213"/>
        <v>10969.380000000001</v>
      </c>
      <c r="AO632">
        <f t="shared" si="214"/>
        <v>1714.9200000000019</v>
      </c>
      <c r="AP632">
        <f>IF(AN632=0,0,AO632/AN632)</f>
        <v>0.15633700354988173</v>
      </c>
      <c r="AQ632" t="str">
        <f t="shared" si="215"/>
        <v>April</v>
      </c>
      <c r="AR632">
        <f t="shared" si="216"/>
        <v>2024</v>
      </c>
      <c r="AS632" t="str">
        <f t="shared" si="217"/>
        <v>Clean</v>
      </c>
      <c r="AT632" t="str">
        <f>IF(OR(AC632&lt;0,AC632&gt;0.5),"Invalid Discount","Valid")</f>
        <v>Valid</v>
      </c>
      <c r="AU632" t="str">
        <f>IF(G632&lt;E632,"Invalid Shipping Record","Valid")</f>
        <v>Valid</v>
      </c>
      <c r="AV632" t="str">
        <f>IF(OR(AL632="Cancelled",AH632="Failed"),"Exclude","Include")</f>
        <v>Include</v>
      </c>
      <c r="AW632" t="str">
        <f t="shared" si="218"/>
        <v>Match</v>
      </c>
      <c r="AX632" t="str">
        <f t="shared" si="219"/>
        <v>Match</v>
      </c>
    </row>
    <row r="633" spans="1:50">
      <c r="A633" t="s">
        <v>2990</v>
      </c>
      <c r="B633">
        <f t="shared" si="220"/>
        <v>1</v>
      </c>
      <c r="C633" t="str">
        <f t="shared" si="208"/>
        <v/>
      </c>
      <c r="D633" s="3" t="s">
        <v>1439</v>
      </c>
      <c r="E633" s="7">
        <v>45392</v>
      </c>
      <c r="F633" s="3" t="s">
        <v>1539</v>
      </c>
      <c r="G633" s="7">
        <v>45397</v>
      </c>
      <c r="H633" s="7" t="str">
        <f t="shared" si="199"/>
        <v>Valid</v>
      </c>
      <c r="I633" s="9">
        <f t="shared" si="200"/>
        <v>5</v>
      </c>
      <c r="J633" s="9" t="str">
        <f t="shared" si="201"/>
        <v>Valid</v>
      </c>
      <c r="K633" t="s">
        <v>2991</v>
      </c>
      <c r="L633" t="s">
        <v>161</v>
      </c>
      <c r="M633" t="s">
        <v>161</v>
      </c>
      <c r="N633" t="s">
        <v>114</v>
      </c>
      <c r="O633" s="3" t="str">
        <f t="shared" si="202"/>
        <v>Home Office</v>
      </c>
      <c r="P633" t="s">
        <v>72</v>
      </c>
      <c r="Q633" s="3" t="str">
        <f t="shared" si="203"/>
        <v>West</v>
      </c>
      <c r="R633" t="s">
        <v>27</v>
      </c>
      <c r="S633" t="s">
        <v>134</v>
      </c>
      <c r="T633" t="s">
        <v>44</v>
      </c>
      <c r="U633" s="3" t="str">
        <f t="shared" si="204"/>
        <v>Furniture</v>
      </c>
      <c r="V633" t="s">
        <v>75</v>
      </c>
      <c r="W633" t="s">
        <v>2992</v>
      </c>
      <c r="X633" t="s">
        <v>66</v>
      </c>
      <c r="Y633" s="3" t="str">
        <f t="shared" si="205"/>
        <v>Standard Class</v>
      </c>
      <c r="Z633">
        <v>8</v>
      </c>
      <c r="AA633">
        <v>4362.4799999999996</v>
      </c>
      <c r="AB633">
        <v>0.1</v>
      </c>
      <c r="AC633">
        <f t="shared" si="206"/>
        <v>0.1</v>
      </c>
      <c r="AD633" t="str">
        <f t="shared" si="209"/>
        <v>Valid</v>
      </c>
      <c r="AE633">
        <v>31409.86</v>
      </c>
      <c r="AF633">
        <v>22523.54</v>
      </c>
      <c r="AG633">
        <v>8886.32</v>
      </c>
      <c r="AH633" t="s">
        <v>33</v>
      </c>
      <c r="AI633" t="str">
        <f t="shared" si="210"/>
        <v>Include</v>
      </c>
      <c r="AJ633" t="str">
        <f t="shared" si="211"/>
        <v/>
      </c>
      <c r="AK633" t="s">
        <v>34</v>
      </c>
      <c r="AL633" t="str">
        <f t="shared" si="207"/>
        <v>Completed</v>
      </c>
      <c r="AM633" t="str">
        <f t="shared" si="212"/>
        <v>Include</v>
      </c>
      <c r="AN633">
        <f t="shared" si="213"/>
        <v>31409.855999999996</v>
      </c>
      <c r="AO633">
        <f t="shared" si="214"/>
        <v>8886.3159999999953</v>
      </c>
      <c r="AP633">
        <f>IF(AN633=0,0,AO633/AN633)</f>
        <v>0.2829148914277097</v>
      </c>
      <c r="AQ633" t="str">
        <f t="shared" si="215"/>
        <v>April</v>
      </c>
      <c r="AR633">
        <f t="shared" si="216"/>
        <v>2024</v>
      </c>
      <c r="AS633" t="str">
        <f t="shared" si="217"/>
        <v>Clean</v>
      </c>
      <c r="AT633" t="str">
        <f>IF(OR(AC633&lt;0,AC633&gt;0.5),"Invalid Discount","Valid")</f>
        <v>Valid</v>
      </c>
      <c r="AU633" t="str">
        <f>IF(G633&lt;E633,"Invalid Shipping Record","Valid")</f>
        <v>Valid</v>
      </c>
      <c r="AV633" t="str">
        <f>IF(OR(AL633="Cancelled",AH633="Failed"),"Exclude","Include")</f>
        <v>Include</v>
      </c>
      <c r="AW633" t="str">
        <f t="shared" si="218"/>
        <v>Match</v>
      </c>
      <c r="AX633" t="str">
        <f t="shared" si="219"/>
        <v>Match</v>
      </c>
    </row>
    <row r="634" spans="1:50">
      <c r="A634" t="s">
        <v>2993</v>
      </c>
      <c r="B634">
        <f t="shared" si="220"/>
        <v>1</v>
      </c>
      <c r="C634" t="str">
        <f t="shared" si="208"/>
        <v/>
      </c>
      <c r="D634" s="3" t="s">
        <v>2994</v>
      </c>
      <c r="E634" s="7">
        <v>45762</v>
      </c>
      <c r="F634" s="3" t="s">
        <v>2995</v>
      </c>
      <c r="G634" s="7">
        <v>45763</v>
      </c>
      <c r="H634" s="7" t="str">
        <f t="shared" si="199"/>
        <v>Valid</v>
      </c>
      <c r="I634" s="9">
        <f t="shared" si="200"/>
        <v>1</v>
      </c>
      <c r="J634" s="9" t="str">
        <f t="shared" si="201"/>
        <v>Valid</v>
      </c>
      <c r="K634" t="s">
        <v>2996</v>
      </c>
      <c r="L634" t="s">
        <v>167</v>
      </c>
      <c r="M634" t="s">
        <v>167</v>
      </c>
      <c r="N634" t="s">
        <v>40</v>
      </c>
      <c r="O634" s="3" t="str">
        <f t="shared" si="202"/>
        <v>Small Business</v>
      </c>
      <c r="P634" t="s">
        <v>61</v>
      </c>
      <c r="Q634" s="3" t="str">
        <f t="shared" si="203"/>
        <v>South</v>
      </c>
      <c r="R634" t="s">
        <v>228</v>
      </c>
      <c r="S634" t="s">
        <v>229</v>
      </c>
      <c r="T634" t="s">
        <v>44</v>
      </c>
      <c r="U634" s="3" t="str">
        <f t="shared" si="204"/>
        <v>Furniture</v>
      </c>
      <c r="V634" t="s">
        <v>64</v>
      </c>
      <c r="W634" t="s">
        <v>2997</v>
      </c>
      <c r="X634" t="s">
        <v>55</v>
      </c>
      <c r="Y634" s="3" t="str">
        <f t="shared" si="205"/>
        <v>First Class</v>
      </c>
      <c r="Z634">
        <v>5</v>
      </c>
      <c r="AA634">
        <v>2850.53</v>
      </c>
      <c r="AB634">
        <v>0</v>
      </c>
      <c r="AC634">
        <f t="shared" si="206"/>
        <v>0</v>
      </c>
      <c r="AD634" t="str">
        <f t="shared" si="209"/>
        <v>Valid</v>
      </c>
      <c r="AE634">
        <v>14252.65</v>
      </c>
      <c r="AF634">
        <v>11558.31</v>
      </c>
      <c r="AG634">
        <v>2694.34</v>
      </c>
      <c r="AH634" t="s">
        <v>33</v>
      </c>
      <c r="AI634" t="str">
        <f t="shared" si="210"/>
        <v>Include</v>
      </c>
      <c r="AJ634" t="str">
        <f t="shared" si="211"/>
        <v/>
      </c>
      <c r="AK634" t="s">
        <v>34</v>
      </c>
      <c r="AL634" t="str">
        <f t="shared" si="207"/>
        <v>Completed</v>
      </c>
      <c r="AM634" t="str">
        <f t="shared" si="212"/>
        <v>Include</v>
      </c>
      <c r="AN634">
        <f t="shared" si="213"/>
        <v>14252.650000000001</v>
      </c>
      <c r="AO634">
        <f t="shared" si="214"/>
        <v>2694.340000000002</v>
      </c>
      <c r="AP634">
        <f>IF(AN634=0,0,AO634/AN634)</f>
        <v>0.18904133617257154</v>
      </c>
      <c r="AQ634" t="str">
        <f t="shared" si="215"/>
        <v>April</v>
      </c>
      <c r="AR634">
        <f t="shared" si="216"/>
        <v>2025</v>
      </c>
      <c r="AS634" t="str">
        <f t="shared" si="217"/>
        <v>Clean</v>
      </c>
      <c r="AT634" t="str">
        <f>IF(OR(AC634&lt;0,AC634&gt;0.5),"Invalid Discount","Valid")</f>
        <v>Valid</v>
      </c>
      <c r="AU634" t="str">
        <f>IF(G634&lt;E634,"Invalid Shipping Record","Valid")</f>
        <v>Valid</v>
      </c>
      <c r="AV634" t="str">
        <f>IF(OR(AL634="Cancelled",AH634="Failed"),"Exclude","Include")</f>
        <v>Include</v>
      </c>
      <c r="AW634" t="str">
        <f t="shared" si="218"/>
        <v>Match</v>
      </c>
      <c r="AX634" t="str">
        <f t="shared" si="219"/>
        <v>Match</v>
      </c>
    </row>
    <row r="635" spans="1:50">
      <c r="A635" t="s">
        <v>2998</v>
      </c>
      <c r="B635">
        <f t="shared" si="220"/>
        <v>1</v>
      </c>
      <c r="C635" t="str">
        <f t="shared" si="208"/>
        <v/>
      </c>
      <c r="D635" s="3" t="s">
        <v>2999</v>
      </c>
      <c r="E635" s="7">
        <v>45765</v>
      </c>
      <c r="F635" s="3" t="s">
        <v>3000</v>
      </c>
      <c r="G635" s="7">
        <v>45767</v>
      </c>
      <c r="H635" s="7" t="str">
        <f t="shared" si="199"/>
        <v>Valid</v>
      </c>
      <c r="I635" s="9">
        <f t="shared" si="200"/>
        <v>2</v>
      </c>
      <c r="J635" s="9" t="str">
        <f t="shared" si="201"/>
        <v>Valid</v>
      </c>
      <c r="K635" t="s">
        <v>3001</v>
      </c>
      <c r="L635" t="s">
        <v>161</v>
      </c>
      <c r="M635" t="s">
        <v>161</v>
      </c>
      <c r="N635" t="s">
        <v>40</v>
      </c>
      <c r="O635" s="3" t="str">
        <f t="shared" si="202"/>
        <v>Small Business</v>
      </c>
      <c r="P635" t="s">
        <v>61</v>
      </c>
      <c r="Q635" s="3" t="str">
        <f t="shared" si="203"/>
        <v>South</v>
      </c>
      <c r="R635" t="s">
        <v>338</v>
      </c>
      <c r="S635" t="s">
        <v>339</v>
      </c>
      <c r="T635" t="s">
        <v>85</v>
      </c>
      <c r="U635" s="3" t="str">
        <f t="shared" si="204"/>
        <v>Technology</v>
      </c>
      <c r="V635" t="s">
        <v>86</v>
      </c>
      <c r="W635" t="s">
        <v>3002</v>
      </c>
      <c r="X635" t="s">
        <v>32</v>
      </c>
      <c r="Y635" s="3" t="str">
        <f t="shared" si="205"/>
        <v>Second Class</v>
      </c>
      <c r="Z635">
        <v>1</v>
      </c>
      <c r="AA635">
        <v>1626.08</v>
      </c>
      <c r="AB635">
        <v>0.15</v>
      </c>
      <c r="AC635">
        <f t="shared" si="206"/>
        <v>0.15</v>
      </c>
      <c r="AD635" t="str">
        <f t="shared" si="209"/>
        <v>Valid</v>
      </c>
      <c r="AE635">
        <v>1382.17</v>
      </c>
      <c r="AF635">
        <v>810.03</v>
      </c>
      <c r="AG635">
        <v>572.14</v>
      </c>
      <c r="AH635" t="s">
        <v>33</v>
      </c>
      <c r="AI635" t="str">
        <f t="shared" si="210"/>
        <v>Include</v>
      </c>
      <c r="AJ635" t="str">
        <f t="shared" si="211"/>
        <v/>
      </c>
      <c r="AK635" t="s">
        <v>34</v>
      </c>
      <c r="AL635" t="str">
        <f t="shared" si="207"/>
        <v>Completed</v>
      </c>
      <c r="AM635" t="str">
        <f t="shared" si="212"/>
        <v>Include</v>
      </c>
      <c r="AN635">
        <f t="shared" si="213"/>
        <v>1382.1679999999999</v>
      </c>
      <c r="AO635">
        <f t="shared" si="214"/>
        <v>572.13799999999992</v>
      </c>
      <c r="AP635">
        <f>IF(AN635=0,0,AO635/AN635)</f>
        <v>0.4139424440444287</v>
      </c>
      <c r="AQ635" t="str">
        <f t="shared" si="215"/>
        <v>April</v>
      </c>
      <c r="AR635">
        <f t="shared" si="216"/>
        <v>2025</v>
      </c>
      <c r="AS635" t="str">
        <f t="shared" si="217"/>
        <v>Clean</v>
      </c>
      <c r="AT635" t="str">
        <f>IF(OR(AC635&lt;0,AC635&gt;0.5),"Invalid Discount","Valid")</f>
        <v>Valid</v>
      </c>
      <c r="AU635" t="str">
        <f>IF(G635&lt;E635,"Invalid Shipping Record","Valid")</f>
        <v>Valid</v>
      </c>
      <c r="AV635" t="str">
        <f>IF(OR(AL635="Cancelled",AH635="Failed"),"Exclude","Include")</f>
        <v>Include</v>
      </c>
      <c r="AW635" t="str">
        <f t="shared" si="218"/>
        <v>Match</v>
      </c>
      <c r="AX635" t="str">
        <f t="shared" si="219"/>
        <v>Match</v>
      </c>
    </row>
    <row r="636" spans="1:50">
      <c r="A636" t="s">
        <v>3003</v>
      </c>
      <c r="B636">
        <f t="shared" si="220"/>
        <v>1</v>
      </c>
      <c r="C636" t="str">
        <f t="shared" si="208"/>
        <v/>
      </c>
      <c r="D636" s="3" t="s">
        <v>3004</v>
      </c>
      <c r="E636" s="7">
        <v>45668</v>
      </c>
      <c r="F636" s="3" t="s">
        <v>2177</v>
      </c>
      <c r="G636" s="7">
        <v>45669</v>
      </c>
      <c r="H636" s="7" t="str">
        <f t="shared" si="199"/>
        <v>Valid</v>
      </c>
      <c r="I636" s="9">
        <f t="shared" si="200"/>
        <v>1</v>
      </c>
      <c r="J636" s="9" t="str">
        <f t="shared" si="201"/>
        <v>Valid</v>
      </c>
      <c r="K636" t="s">
        <v>3005</v>
      </c>
      <c r="L636" t="s">
        <v>106</v>
      </c>
      <c r="M636" t="s">
        <v>106</v>
      </c>
      <c r="N636" t="s">
        <v>25</v>
      </c>
      <c r="O636" s="3" t="str">
        <f t="shared" si="202"/>
        <v>Consumer</v>
      </c>
      <c r="P636" t="s">
        <v>61</v>
      </c>
      <c r="Q636" s="3" t="str">
        <f t="shared" si="203"/>
        <v>South</v>
      </c>
      <c r="R636" t="s">
        <v>62</v>
      </c>
      <c r="S636" t="s">
        <v>63</v>
      </c>
      <c r="T636" t="s">
        <v>44</v>
      </c>
      <c r="U636" s="3" t="str">
        <f t="shared" si="204"/>
        <v>Furniture</v>
      </c>
      <c r="V636" t="s">
        <v>75</v>
      </c>
      <c r="W636" t="s">
        <v>3006</v>
      </c>
      <c r="X636" t="s">
        <v>32</v>
      </c>
      <c r="Y636" s="3" t="str">
        <f t="shared" si="205"/>
        <v>Second Class</v>
      </c>
      <c r="Z636">
        <v>4</v>
      </c>
      <c r="AA636">
        <v>2427.15</v>
      </c>
      <c r="AB636">
        <v>0.05</v>
      </c>
      <c r="AC636">
        <f t="shared" si="206"/>
        <v>0.05</v>
      </c>
      <c r="AD636" t="str">
        <f t="shared" si="209"/>
        <v>Valid</v>
      </c>
      <c r="AE636">
        <v>9223.17</v>
      </c>
      <c r="AF636">
        <v>5103.7</v>
      </c>
      <c r="AG636">
        <v>4119.47</v>
      </c>
      <c r="AH636" t="s">
        <v>33</v>
      </c>
      <c r="AI636" t="str">
        <f t="shared" si="210"/>
        <v>Include</v>
      </c>
      <c r="AJ636" t="str">
        <f t="shared" si="211"/>
        <v/>
      </c>
      <c r="AK636" t="s">
        <v>34</v>
      </c>
      <c r="AL636" t="str">
        <f t="shared" si="207"/>
        <v>Completed</v>
      </c>
      <c r="AM636" t="str">
        <f t="shared" si="212"/>
        <v>Include</v>
      </c>
      <c r="AN636">
        <f t="shared" si="213"/>
        <v>9223.17</v>
      </c>
      <c r="AO636">
        <f t="shared" si="214"/>
        <v>4119.47</v>
      </c>
      <c r="AP636">
        <f>IF(AN636=0,0,AO636/AN636)</f>
        <v>0.44664361602355807</v>
      </c>
      <c r="AQ636" t="str">
        <f t="shared" si="215"/>
        <v>January</v>
      </c>
      <c r="AR636">
        <f t="shared" si="216"/>
        <v>2025</v>
      </c>
      <c r="AS636" t="str">
        <f t="shared" si="217"/>
        <v>Clean</v>
      </c>
      <c r="AT636" t="str">
        <f>IF(OR(AC636&lt;0,AC636&gt;0.5),"Invalid Discount","Valid")</f>
        <v>Valid</v>
      </c>
      <c r="AU636" t="str">
        <f>IF(G636&lt;E636,"Invalid Shipping Record","Valid")</f>
        <v>Valid</v>
      </c>
      <c r="AV636" t="str">
        <f>IF(OR(AL636="Cancelled",AH636="Failed"),"Exclude","Include")</f>
        <v>Include</v>
      </c>
      <c r="AW636" t="str">
        <f t="shared" si="218"/>
        <v>Match</v>
      </c>
      <c r="AX636" t="str">
        <f t="shared" si="219"/>
        <v>Match</v>
      </c>
    </row>
    <row r="637" spans="1:50">
      <c r="A637" t="s">
        <v>3007</v>
      </c>
      <c r="B637">
        <f t="shared" si="220"/>
        <v>1</v>
      </c>
      <c r="C637" t="str">
        <f t="shared" si="208"/>
        <v/>
      </c>
      <c r="D637" s="3" t="s">
        <v>2903</v>
      </c>
      <c r="E637" s="7">
        <v>45432</v>
      </c>
      <c r="F637" s="3" t="s">
        <v>3008</v>
      </c>
      <c r="G637" s="7">
        <v>45437</v>
      </c>
      <c r="H637" s="7" t="str">
        <f t="shared" si="199"/>
        <v>Valid</v>
      </c>
      <c r="I637" s="9">
        <f t="shared" si="200"/>
        <v>5</v>
      </c>
      <c r="J637" s="9" t="str">
        <f t="shared" si="201"/>
        <v>Valid</v>
      </c>
      <c r="K637" t="s">
        <v>3009</v>
      </c>
      <c r="L637" t="s">
        <v>39</v>
      </c>
      <c r="M637" t="s">
        <v>39</v>
      </c>
      <c r="N637" t="s">
        <v>107</v>
      </c>
      <c r="O637" s="3" t="str">
        <f t="shared" si="202"/>
        <v>Corporate</v>
      </c>
      <c r="P637" t="s">
        <v>61</v>
      </c>
      <c r="Q637" s="3" t="str">
        <f t="shared" si="203"/>
        <v>South</v>
      </c>
      <c r="R637" t="s">
        <v>99</v>
      </c>
      <c r="S637" t="s">
        <v>100</v>
      </c>
      <c r="T637" t="s">
        <v>44</v>
      </c>
      <c r="U637" s="3" t="str">
        <f t="shared" si="204"/>
        <v>Furniture</v>
      </c>
      <c r="V637" t="s">
        <v>75</v>
      </c>
      <c r="W637" t="s">
        <v>3010</v>
      </c>
      <c r="X637" t="s">
        <v>47</v>
      </c>
      <c r="Y637" s="3" t="str">
        <f t="shared" si="205"/>
        <v>Same Day</v>
      </c>
      <c r="Z637">
        <v>7</v>
      </c>
      <c r="AA637">
        <v>3122.85</v>
      </c>
      <c r="AB637">
        <v>0.25</v>
      </c>
      <c r="AC637">
        <f t="shared" si="206"/>
        <v>0.25</v>
      </c>
      <c r="AD637" t="str">
        <f t="shared" si="209"/>
        <v>Valid</v>
      </c>
      <c r="AE637">
        <v>16394.96</v>
      </c>
      <c r="AF637">
        <v>10404.17</v>
      </c>
      <c r="AG637">
        <v>5990.79</v>
      </c>
      <c r="AH637" t="s">
        <v>33</v>
      </c>
      <c r="AI637" t="str">
        <f t="shared" si="210"/>
        <v>Include</v>
      </c>
      <c r="AJ637" t="str">
        <f t="shared" si="211"/>
        <v/>
      </c>
      <c r="AK637" t="s">
        <v>34</v>
      </c>
      <c r="AL637" t="str">
        <f t="shared" si="207"/>
        <v>Completed</v>
      </c>
      <c r="AM637" t="str">
        <f t="shared" si="212"/>
        <v>Include</v>
      </c>
      <c r="AN637">
        <f t="shared" si="213"/>
        <v>16394.962500000001</v>
      </c>
      <c r="AO637">
        <f t="shared" si="214"/>
        <v>5990.7925000000014</v>
      </c>
      <c r="AP637">
        <f>IF(AN637=0,0,AO637/AN637)</f>
        <v>0.36540446493854445</v>
      </c>
      <c r="AQ637" t="str">
        <f t="shared" si="215"/>
        <v>May</v>
      </c>
      <c r="AR637">
        <f t="shared" si="216"/>
        <v>2024</v>
      </c>
      <c r="AS637" t="str">
        <f t="shared" si="217"/>
        <v>Clean</v>
      </c>
      <c r="AT637" t="str">
        <f>IF(OR(AC637&lt;0,AC637&gt;0.5),"Invalid Discount","Valid")</f>
        <v>Valid</v>
      </c>
      <c r="AU637" t="str">
        <f>IF(G637&lt;E637,"Invalid Shipping Record","Valid")</f>
        <v>Valid</v>
      </c>
      <c r="AV637" t="str">
        <f>IF(OR(AL637="Cancelled",AH637="Failed"),"Exclude","Include")</f>
        <v>Include</v>
      </c>
      <c r="AW637" t="str">
        <f t="shared" si="218"/>
        <v>Match</v>
      </c>
      <c r="AX637" t="str">
        <f t="shared" si="219"/>
        <v>Match</v>
      </c>
    </row>
    <row r="638" spans="1:50">
      <c r="A638" t="s">
        <v>3011</v>
      </c>
      <c r="B638">
        <f t="shared" si="220"/>
        <v>1</v>
      </c>
      <c r="C638" t="str">
        <f t="shared" si="208"/>
        <v/>
      </c>
      <c r="D638" s="3" t="s">
        <v>3012</v>
      </c>
      <c r="E638" s="7">
        <v>45567</v>
      </c>
      <c r="F638" s="3" t="s">
        <v>3013</v>
      </c>
      <c r="G638" s="7">
        <v>45574</v>
      </c>
      <c r="H638" s="7" t="str">
        <f t="shared" si="199"/>
        <v>Valid</v>
      </c>
      <c r="I638" s="9">
        <f t="shared" si="200"/>
        <v>7</v>
      </c>
      <c r="J638" s="9" t="str">
        <f t="shared" si="201"/>
        <v>Valid</v>
      </c>
      <c r="K638" t="s">
        <v>3014</v>
      </c>
      <c r="L638" t="s">
        <v>71</v>
      </c>
      <c r="M638" t="s">
        <v>71</v>
      </c>
      <c r="N638" t="s">
        <v>25</v>
      </c>
      <c r="O638" s="3" t="str">
        <f t="shared" si="202"/>
        <v>Consumer</v>
      </c>
      <c r="P638" t="s">
        <v>61</v>
      </c>
      <c r="Q638" s="3" t="str">
        <f t="shared" si="203"/>
        <v>South</v>
      </c>
      <c r="R638" t="s">
        <v>338</v>
      </c>
      <c r="S638" t="s">
        <v>339</v>
      </c>
      <c r="T638" t="s">
        <v>29</v>
      </c>
      <c r="U638" s="3" t="str">
        <f t="shared" si="204"/>
        <v>Office Supplies</v>
      </c>
      <c r="V638" t="s">
        <v>30</v>
      </c>
      <c r="W638" t="s">
        <v>3015</v>
      </c>
      <c r="X638" t="s">
        <v>66</v>
      </c>
      <c r="Y638" s="3" t="str">
        <f t="shared" si="205"/>
        <v>Standard Class</v>
      </c>
      <c r="Z638">
        <v>8</v>
      </c>
      <c r="AA638">
        <v>1910.31</v>
      </c>
      <c r="AB638">
        <v>0.15</v>
      </c>
      <c r="AC638">
        <f t="shared" si="206"/>
        <v>0.15</v>
      </c>
      <c r="AD638" t="str">
        <f t="shared" si="209"/>
        <v>Valid</v>
      </c>
      <c r="AE638">
        <v>12990.11</v>
      </c>
      <c r="AF638">
        <v>10200.799999999999</v>
      </c>
      <c r="AG638">
        <v>2789.31</v>
      </c>
      <c r="AH638" t="s">
        <v>33</v>
      </c>
      <c r="AI638" t="str">
        <f t="shared" si="210"/>
        <v>Include</v>
      </c>
      <c r="AJ638" t="str">
        <f t="shared" si="211"/>
        <v/>
      </c>
      <c r="AK638" t="s">
        <v>34</v>
      </c>
      <c r="AL638" t="str">
        <f t="shared" si="207"/>
        <v>Completed</v>
      </c>
      <c r="AM638" t="str">
        <f t="shared" si="212"/>
        <v>Include</v>
      </c>
      <c r="AN638">
        <f t="shared" si="213"/>
        <v>12990.108</v>
      </c>
      <c r="AO638">
        <f t="shared" si="214"/>
        <v>2789.3080000000009</v>
      </c>
      <c r="AP638">
        <f>IF(AN638=0,0,AO638/AN638)</f>
        <v>0.2147255434673831</v>
      </c>
      <c r="AQ638" t="str">
        <f t="shared" si="215"/>
        <v>October</v>
      </c>
      <c r="AR638">
        <f t="shared" si="216"/>
        <v>2024</v>
      </c>
      <c r="AS638" t="str">
        <f t="shared" si="217"/>
        <v>Clean</v>
      </c>
      <c r="AT638" t="str">
        <f>IF(OR(AC638&lt;0,AC638&gt;0.5),"Invalid Discount","Valid")</f>
        <v>Valid</v>
      </c>
      <c r="AU638" t="str">
        <f>IF(G638&lt;E638,"Invalid Shipping Record","Valid")</f>
        <v>Valid</v>
      </c>
      <c r="AV638" t="str">
        <f>IF(OR(AL638="Cancelled",AH638="Failed"),"Exclude","Include")</f>
        <v>Include</v>
      </c>
      <c r="AW638" t="str">
        <f t="shared" si="218"/>
        <v>Match</v>
      </c>
      <c r="AX638" t="str">
        <f t="shared" si="219"/>
        <v>Match</v>
      </c>
    </row>
    <row r="639" spans="1:50">
      <c r="A639" t="s">
        <v>3016</v>
      </c>
      <c r="B639">
        <f t="shared" si="220"/>
        <v>1</v>
      </c>
      <c r="C639" t="str">
        <f t="shared" si="208"/>
        <v/>
      </c>
      <c r="D639" s="3" t="s">
        <v>3017</v>
      </c>
      <c r="E639" s="7">
        <v>45438</v>
      </c>
      <c r="F639" s="3" t="s">
        <v>3018</v>
      </c>
      <c r="G639" s="7">
        <v>45438</v>
      </c>
      <c r="H639" s="7" t="str">
        <f t="shared" si="199"/>
        <v>Valid</v>
      </c>
      <c r="I639" s="9">
        <f t="shared" si="200"/>
        <v>0</v>
      </c>
      <c r="J639" s="9" t="str">
        <f t="shared" si="201"/>
        <v>Valid</v>
      </c>
      <c r="K639" t="s">
        <v>3019</v>
      </c>
      <c r="L639" t="s">
        <v>147</v>
      </c>
      <c r="M639" t="s">
        <v>147</v>
      </c>
      <c r="N639" t="s">
        <v>40</v>
      </c>
      <c r="O639" s="3" t="str">
        <f t="shared" si="202"/>
        <v>Small Business</v>
      </c>
      <c r="P639" t="s">
        <v>72</v>
      </c>
      <c r="Q639" s="3" t="str">
        <f t="shared" si="203"/>
        <v>West</v>
      </c>
      <c r="R639" t="s">
        <v>248</v>
      </c>
      <c r="S639" t="s">
        <v>249</v>
      </c>
      <c r="T639" t="s">
        <v>85</v>
      </c>
      <c r="U639" s="3" t="str">
        <f t="shared" si="204"/>
        <v>Technology</v>
      </c>
      <c r="V639" t="s">
        <v>93</v>
      </c>
      <c r="W639" t="s">
        <v>3020</v>
      </c>
      <c r="X639" t="s">
        <v>55</v>
      </c>
      <c r="Y639" s="3" t="str">
        <f t="shared" si="205"/>
        <v>First Class</v>
      </c>
      <c r="Z639">
        <v>2</v>
      </c>
      <c r="AA639">
        <v>3192.47</v>
      </c>
      <c r="AB639">
        <v>0.2</v>
      </c>
      <c r="AC639">
        <f t="shared" si="206"/>
        <v>0.2</v>
      </c>
      <c r="AD639" t="str">
        <f t="shared" si="209"/>
        <v>Valid</v>
      </c>
      <c r="AE639">
        <v>5107.95</v>
      </c>
      <c r="AF639">
        <v>3133.08</v>
      </c>
      <c r="AG639">
        <v>1974.87</v>
      </c>
      <c r="AH639" t="s">
        <v>33</v>
      </c>
      <c r="AI639" t="str">
        <f t="shared" si="210"/>
        <v>Include</v>
      </c>
      <c r="AJ639" t="str">
        <f t="shared" si="211"/>
        <v/>
      </c>
      <c r="AK639" t="s">
        <v>34</v>
      </c>
      <c r="AL639" t="str">
        <f t="shared" si="207"/>
        <v>Completed</v>
      </c>
      <c r="AM639" t="str">
        <f t="shared" si="212"/>
        <v>Include</v>
      </c>
      <c r="AN639">
        <f t="shared" si="213"/>
        <v>5107.9520000000002</v>
      </c>
      <c r="AO639">
        <f t="shared" si="214"/>
        <v>1974.8720000000003</v>
      </c>
      <c r="AP639">
        <f>IF(AN639=0,0,AO639/AN639)</f>
        <v>0.38662696908663202</v>
      </c>
      <c r="AQ639" t="str">
        <f t="shared" si="215"/>
        <v>May</v>
      </c>
      <c r="AR639">
        <f t="shared" si="216"/>
        <v>2024</v>
      </c>
      <c r="AS639" t="str">
        <f t="shared" si="217"/>
        <v>Clean</v>
      </c>
      <c r="AT639" t="str">
        <f>IF(OR(AC639&lt;0,AC639&gt;0.5),"Invalid Discount","Valid")</f>
        <v>Valid</v>
      </c>
      <c r="AU639" t="str">
        <f>IF(G639&lt;E639,"Invalid Shipping Record","Valid")</f>
        <v>Valid</v>
      </c>
      <c r="AV639" t="str">
        <f>IF(OR(AL639="Cancelled",AH639="Failed"),"Exclude","Include")</f>
        <v>Include</v>
      </c>
      <c r="AW639" t="str">
        <f t="shared" si="218"/>
        <v>Match</v>
      </c>
      <c r="AX639" t="str">
        <f t="shared" si="219"/>
        <v>Match</v>
      </c>
    </row>
    <row r="640" spans="1:50">
      <c r="A640" t="s">
        <v>3021</v>
      </c>
      <c r="B640">
        <f t="shared" si="220"/>
        <v>1</v>
      </c>
      <c r="C640" t="str">
        <f t="shared" si="208"/>
        <v/>
      </c>
      <c r="D640" s="3" t="s">
        <v>2869</v>
      </c>
      <c r="E640" s="7">
        <v>45317</v>
      </c>
      <c r="F640" s="3" t="s">
        <v>3022</v>
      </c>
      <c r="G640" s="7">
        <v>45322</v>
      </c>
      <c r="H640" s="7" t="str">
        <f t="shared" si="199"/>
        <v>Valid</v>
      </c>
      <c r="I640" s="9">
        <f t="shared" si="200"/>
        <v>5</v>
      </c>
      <c r="J640" s="9" t="str">
        <f t="shared" si="201"/>
        <v>Valid</v>
      </c>
      <c r="K640" t="s">
        <v>3023</v>
      </c>
      <c r="L640" t="s">
        <v>24</v>
      </c>
      <c r="M640" t="s">
        <v>24</v>
      </c>
      <c r="N640" t="s">
        <v>107</v>
      </c>
      <c r="O640" s="3" t="str">
        <f t="shared" si="202"/>
        <v>Corporate</v>
      </c>
      <c r="P640" t="s">
        <v>61</v>
      </c>
      <c r="Q640" s="3" t="str">
        <f t="shared" si="203"/>
        <v>South</v>
      </c>
      <c r="R640" t="s">
        <v>241</v>
      </c>
      <c r="S640" t="s">
        <v>242</v>
      </c>
      <c r="T640" t="s">
        <v>29</v>
      </c>
      <c r="U640" s="3" t="str">
        <f t="shared" si="204"/>
        <v>Office Supplies</v>
      </c>
      <c r="V640" t="s">
        <v>155</v>
      </c>
      <c r="W640" t="s">
        <v>3024</v>
      </c>
      <c r="X640" t="s">
        <v>32</v>
      </c>
      <c r="Y640" s="3" t="str">
        <f t="shared" si="205"/>
        <v>Second Class</v>
      </c>
      <c r="Z640">
        <v>3</v>
      </c>
      <c r="AA640">
        <v>3224.32</v>
      </c>
      <c r="AB640">
        <v>0.2</v>
      </c>
      <c r="AC640">
        <f t="shared" si="206"/>
        <v>0.2</v>
      </c>
      <c r="AD640" t="str">
        <f t="shared" si="209"/>
        <v>Valid</v>
      </c>
      <c r="AE640">
        <v>7738.37</v>
      </c>
      <c r="AF640">
        <v>4626.8500000000004</v>
      </c>
      <c r="AG640">
        <v>3111.52</v>
      </c>
      <c r="AH640" t="s">
        <v>199</v>
      </c>
      <c r="AI640" t="str">
        <f t="shared" si="210"/>
        <v>Exclude</v>
      </c>
      <c r="AJ640" t="str">
        <f t="shared" si="211"/>
        <v/>
      </c>
      <c r="AK640" t="s">
        <v>124</v>
      </c>
      <c r="AL640" t="str">
        <f t="shared" si="207"/>
        <v>Returned</v>
      </c>
      <c r="AM640" t="str">
        <f t="shared" si="212"/>
        <v>Include</v>
      </c>
      <c r="AN640">
        <f t="shared" si="213"/>
        <v>7738.3680000000013</v>
      </c>
      <c r="AO640">
        <f t="shared" si="214"/>
        <v>3111.5180000000009</v>
      </c>
      <c r="AP640">
        <f>IF(AN640=0,0,AO640/AN640)</f>
        <v>0.40208969126306743</v>
      </c>
      <c r="AQ640" t="str">
        <f t="shared" si="215"/>
        <v>January</v>
      </c>
      <c r="AR640">
        <f t="shared" si="216"/>
        <v>2024</v>
      </c>
      <c r="AS640" t="str">
        <f t="shared" si="217"/>
        <v>Clean</v>
      </c>
      <c r="AT640" t="str">
        <f>IF(OR(AC640&lt;0,AC640&gt;0.5),"Invalid Discount","Valid")</f>
        <v>Valid</v>
      </c>
      <c r="AU640" t="str">
        <f>IF(G640&lt;E640,"Invalid Shipping Record","Valid")</f>
        <v>Valid</v>
      </c>
      <c r="AV640" t="str">
        <f>IF(OR(AL640="Cancelled",AH640="Failed"),"Exclude","Include")</f>
        <v>Exclude</v>
      </c>
      <c r="AW640" t="str">
        <f t="shared" si="218"/>
        <v>Match</v>
      </c>
      <c r="AX640" t="str">
        <f t="shared" si="219"/>
        <v>Match</v>
      </c>
    </row>
    <row r="641" spans="1:50">
      <c r="A641" t="s">
        <v>3025</v>
      </c>
      <c r="B641">
        <f t="shared" si="220"/>
        <v>1</v>
      </c>
      <c r="C641" t="str">
        <f t="shared" si="208"/>
        <v/>
      </c>
      <c r="D641" s="3" t="s">
        <v>3026</v>
      </c>
      <c r="E641" s="7">
        <v>45653</v>
      </c>
      <c r="F641" s="3" t="s">
        <v>1870</v>
      </c>
      <c r="G641" s="7">
        <v>45657</v>
      </c>
      <c r="H641" s="7" t="str">
        <f t="shared" si="199"/>
        <v>Valid</v>
      </c>
      <c r="I641" s="9">
        <f t="shared" si="200"/>
        <v>4</v>
      </c>
      <c r="J641" s="9" t="str">
        <f t="shared" si="201"/>
        <v>Valid</v>
      </c>
      <c r="K641" t="s">
        <v>3027</v>
      </c>
      <c r="L641" t="s">
        <v>52</v>
      </c>
      <c r="M641" t="s">
        <v>52</v>
      </c>
      <c r="N641" t="s">
        <v>40</v>
      </c>
      <c r="O641" s="3" t="str">
        <f t="shared" si="202"/>
        <v>Small Business</v>
      </c>
      <c r="P641" t="s">
        <v>41</v>
      </c>
      <c r="Q641" s="3" t="str">
        <f t="shared" si="203"/>
        <v>East</v>
      </c>
      <c r="R641" t="s">
        <v>42</v>
      </c>
      <c r="S641" t="s">
        <v>43</v>
      </c>
      <c r="T641" t="s">
        <v>44</v>
      </c>
      <c r="U641" s="3" t="str">
        <f t="shared" si="204"/>
        <v>Furniture</v>
      </c>
      <c r="V641" t="s">
        <v>75</v>
      </c>
      <c r="W641" t="s">
        <v>3028</v>
      </c>
      <c r="X641" t="s">
        <v>32</v>
      </c>
      <c r="Y641" s="3" t="str">
        <f t="shared" si="205"/>
        <v>Second Class</v>
      </c>
      <c r="Z641">
        <v>1</v>
      </c>
      <c r="AA641">
        <v>1594.7</v>
      </c>
      <c r="AB641">
        <v>0.05</v>
      </c>
      <c r="AC641">
        <f t="shared" si="206"/>
        <v>0.05</v>
      </c>
      <c r="AD641" t="str">
        <f t="shared" si="209"/>
        <v>Valid</v>
      </c>
      <c r="AE641">
        <v>1514.96</v>
      </c>
      <c r="AF641">
        <v>1046.17</v>
      </c>
      <c r="AG641">
        <v>468.79</v>
      </c>
      <c r="AH641" t="s">
        <v>33</v>
      </c>
      <c r="AI641" t="str">
        <f t="shared" si="210"/>
        <v>Include</v>
      </c>
      <c r="AJ641" t="str">
        <f t="shared" si="211"/>
        <v/>
      </c>
      <c r="AK641" t="s">
        <v>34</v>
      </c>
      <c r="AL641" t="str">
        <f t="shared" si="207"/>
        <v>Completed</v>
      </c>
      <c r="AM641" t="str">
        <f t="shared" si="212"/>
        <v>Include</v>
      </c>
      <c r="AN641">
        <f t="shared" si="213"/>
        <v>1514.9649999999999</v>
      </c>
      <c r="AO641">
        <f t="shared" si="214"/>
        <v>468.79499999999985</v>
      </c>
      <c r="AP641">
        <f>IF(AN641=0,0,AO641/AN641)</f>
        <v>0.3094427924077453</v>
      </c>
      <c r="AQ641" t="str">
        <f t="shared" si="215"/>
        <v>December</v>
      </c>
      <c r="AR641">
        <f t="shared" si="216"/>
        <v>2024</v>
      </c>
      <c r="AS641" t="str">
        <f t="shared" si="217"/>
        <v>Clean</v>
      </c>
      <c r="AT641" t="str">
        <f>IF(OR(AC641&lt;0,AC641&gt;0.5),"Invalid Discount","Valid")</f>
        <v>Valid</v>
      </c>
      <c r="AU641" t="str">
        <f>IF(G641&lt;E641,"Invalid Shipping Record","Valid")</f>
        <v>Valid</v>
      </c>
      <c r="AV641" t="str">
        <f>IF(OR(AL641="Cancelled",AH641="Failed"),"Exclude","Include")</f>
        <v>Include</v>
      </c>
      <c r="AW641" t="str">
        <f t="shared" si="218"/>
        <v>Mismatch</v>
      </c>
      <c r="AX641" t="str">
        <f t="shared" si="219"/>
        <v>Mismatch</v>
      </c>
    </row>
    <row r="642" spans="1:50">
      <c r="A642" t="s">
        <v>3029</v>
      </c>
      <c r="B642">
        <f t="shared" si="220"/>
        <v>1</v>
      </c>
      <c r="C642" t="str">
        <f t="shared" si="208"/>
        <v/>
      </c>
      <c r="D642" s="3" t="s">
        <v>3030</v>
      </c>
      <c r="E642" s="7">
        <v>45671</v>
      </c>
      <c r="F642" s="3" t="s">
        <v>3031</v>
      </c>
      <c r="G642" s="7">
        <v>45674</v>
      </c>
      <c r="H642" s="7" t="str">
        <f t="shared" ref="H642:H705" si="221">IF(G642&lt;E642,"Invalid Shipping Record","Valid")</f>
        <v>Valid</v>
      </c>
      <c r="I642" s="9">
        <f t="shared" ref="I642:I705" si="222">G642-E642</f>
        <v>3</v>
      </c>
      <c r="J642" s="9" t="str">
        <f t="shared" ref="J642:J705" si="223">IF(OR(E642="",G642=""),"Missing Date",IF(OR(NOT(ISNUMBER(E642)),NOT(ISNUMBER(G642))),"Invalid Date",IF(G642&lt;E642,"Invalid Shipping Record","Valid")))</f>
        <v>Valid</v>
      </c>
      <c r="K642" t="s">
        <v>3032</v>
      </c>
      <c r="L642" t="s">
        <v>82</v>
      </c>
      <c r="M642" t="s">
        <v>82</v>
      </c>
      <c r="N642" t="s">
        <v>25</v>
      </c>
      <c r="O642" s="3" t="str">
        <f t="shared" ref="O642:O705" si="224">PROPER(TRIM(N642))</f>
        <v>Consumer</v>
      </c>
      <c r="P642" t="s">
        <v>72</v>
      </c>
      <c r="Q642" s="3" t="str">
        <f t="shared" ref="Q642:Q705" si="225">IF(TRIM(P642)="","Unknown",PROPER(TRIM(P642)))</f>
        <v>West</v>
      </c>
      <c r="R642" t="s">
        <v>248</v>
      </c>
      <c r="S642" t="s">
        <v>249</v>
      </c>
      <c r="T642" t="s">
        <v>29</v>
      </c>
      <c r="U642" s="3" t="str">
        <f t="shared" ref="U642:U705" si="226">PROPER(TRIM(T642))</f>
        <v>Office Supplies</v>
      </c>
      <c r="V642" t="s">
        <v>155</v>
      </c>
      <c r="W642" t="s">
        <v>3033</v>
      </c>
      <c r="X642" t="s">
        <v>55</v>
      </c>
      <c r="Y642" s="3" t="str">
        <f t="shared" ref="Y642:Y705" si="227">IF(TRIM(X642)="","Unknown",PROPER(TRIM(X642)))</f>
        <v>First Class</v>
      </c>
      <c r="Z642">
        <v>1</v>
      </c>
      <c r="AA642">
        <v>1584.12</v>
      </c>
      <c r="AB642">
        <v>0.2</v>
      </c>
      <c r="AC642">
        <f t="shared" ref="AC642:AC705" si="228">IF(AND(AB642=" ",Z642=" ",AA642=" ",AF642=" "),0,AB642)</f>
        <v>0.2</v>
      </c>
      <c r="AD642" t="str">
        <f t="shared" si="209"/>
        <v>Valid</v>
      </c>
      <c r="AE642">
        <v>1267.3</v>
      </c>
      <c r="AF642">
        <v>923.53</v>
      </c>
      <c r="AG642">
        <v>343.77</v>
      </c>
      <c r="AH642" t="s">
        <v>33</v>
      </c>
      <c r="AI642" t="str">
        <f t="shared" si="210"/>
        <v>Include</v>
      </c>
      <c r="AJ642" t="str">
        <f t="shared" si="211"/>
        <v/>
      </c>
      <c r="AK642" t="s">
        <v>34</v>
      </c>
      <c r="AL642" t="str">
        <f t="shared" ref="AL642:AL705" si="229">PROPER(TRIM(AK642))</f>
        <v>Completed</v>
      </c>
      <c r="AM642" t="str">
        <f t="shared" si="212"/>
        <v>Include</v>
      </c>
      <c r="AN642">
        <f t="shared" si="213"/>
        <v>1267.296</v>
      </c>
      <c r="AO642">
        <f t="shared" si="214"/>
        <v>343.76600000000008</v>
      </c>
      <c r="AP642">
        <f>IF(AN642=0,0,AO642/AN642)</f>
        <v>0.27125943741635739</v>
      </c>
      <c r="AQ642" t="str">
        <f t="shared" si="215"/>
        <v>January</v>
      </c>
      <c r="AR642">
        <f t="shared" si="216"/>
        <v>2025</v>
      </c>
      <c r="AS642" t="str">
        <f t="shared" si="217"/>
        <v>Clean</v>
      </c>
      <c r="AT642" t="str">
        <f>IF(OR(AC642&lt;0,AC642&gt;0.5),"Invalid Discount","Valid")</f>
        <v>Valid</v>
      </c>
      <c r="AU642" t="str">
        <f>IF(G642&lt;E642,"Invalid Shipping Record","Valid")</f>
        <v>Valid</v>
      </c>
      <c r="AV642" t="str">
        <f>IF(OR(AL642="Cancelled",AH642="Failed"),"Exclude","Include")</f>
        <v>Include</v>
      </c>
      <c r="AW642" t="str">
        <f t="shared" si="218"/>
        <v>Match</v>
      </c>
      <c r="AX642" t="str">
        <f t="shared" si="219"/>
        <v>Match</v>
      </c>
    </row>
    <row r="643" spans="1:50">
      <c r="A643" t="s">
        <v>3034</v>
      </c>
      <c r="B643">
        <f t="shared" si="220"/>
        <v>1</v>
      </c>
      <c r="C643" t="str">
        <f t="shared" ref="C643:C706" si="230">IF(B643&gt;1,"Review Required","")</f>
        <v/>
      </c>
      <c r="D643" s="3" t="s">
        <v>3035</v>
      </c>
      <c r="E643" s="7">
        <v>45756</v>
      </c>
      <c r="F643" s="3" t="s">
        <v>1961</v>
      </c>
      <c r="G643" s="7">
        <v>45761</v>
      </c>
      <c r="H643" s="7" t="str">
        <f t="shared" si="221"/>
        <v>Valid</v>
      </c>
      <c r="I643" s="9">
        <f t="shared" si="222"/>
        <v>5</v>
      </c>
      <c r="J643" s="9" t="str">
        <f t="shared" si="223"/>
        <v>Valid</v>
      </c>
      <c r="K643" t="s">
        <v>3036</v>
      </c>
      <c r="L643" t="s">
        <v>24</v>
      </c>
      <c r="M643" t="s">
        <v>24</v>
      </c>
      <c r="N643" t="s">
        <v>25</v>
      </c>
      <c r="O643" s="3" t="str">
        <f t="shared" si="224"/>
        <v>Consumer</v>
      </c>
      <c r="P643" t="s">
        <v>26</v>
      </c>
      <c r="Q643" s="3" t="str">
        <f t="shared" si="225"/>
        <v>North</v>
      </c>
      <c r="R643" t="s">
        <v>505</v>
      </c>
      <c r="S643" t="s">
        <v>506</v>
      </c>
      <c r="T643" t="s">
        <v>44</v>
      </c>
      <c r="U643" s="3" t="str">
        <f t="shared" si="226"/>
        <v>Furniture</v>
      </c>
      <c r="V643" t="s">
        <v>64</v>
      </c>
      <c r="W643" t="s">
        <v>3037</v>
      </c>
      <c r="X643" t="s">
        <v>47</v>
      </c>
      <c r="Y643" s="3" t="str">
        <f t="shared" si="227"/>
        <v>Same Day</v>
      </c>
      <c r="Z643">
        <v>2</v>
      </c>
      <c r="AA643">
        <v>3202.87</v>
      </c>
      <c r="AB643">
        <v>0</v>
      </c>
      <c r="AC643">
        <f t="shared" si="228"/>
        <v>0</v>
      </c>
      <c r="AD643" t="str">
        <f t="shared" ref="AD643:AD706" si="231">IF(AC643&lt;0,"Invalid Discount","Valid")</f>
        <v>Valid</v>
      </c>
      <c r="AE643">
        <v>6405.74</v>
      </c>
      <c r="AF643">
        <v>3561.87</v>
      </c>
      <c r="AG643">
        <v>2843.87</v>
      </c>
      <c r="AH643" t="s">
        <v>33</v>
      </c>
      <c r="AI643" t="str">
        <f t="shared" ref="AI643:AI706" si="232">IF(OR(AH643="Failed",AL643="Cancelled"),"Exclude","Include")</f>
        <v>Include</v>
      </c>
      <c r="AJ643" t="str">
        <f t="shared" ref="AJ643:AJ706" si="233">IF(AH643="Refunded","Refunded Order","")</f>
        <v/>
      </c>
      <c r="AK643" t="s">
        <v>34</v>
      </c>
      <c r="AL643" t="str">
        <f t="shared" si="229"/>
        <v>Completed</v>
      </c>
      <c r="AM643" t="str">
        <f t="shared" ref="AM643:AM706" si="234">IF(AL643="Cancelled","Exclude","Include")</f>
        <v>Include</v>
      </c>
      <c r="AN643">
        <f t="shared" ref="AN643:AN706" si="235">Z643*AA643*(1-AC643)</f>
        <v>6405.74</v>
      </c>
      <c r="AO643">
        <f t="shared" ref="AO643:AO706" si="236">AN643-AF643</f>
        <v>2843.87</v>
      </c>
      <c r="AP643">
        <f>IF(AN643=0,0,AO643/AN643)</f>
        <v>0.44395651400150488</v>
      </c>
      <c r="AQ643" t="str">
        <f t="shared" ref="AQ643:AQ706" si="237">TEXT(E643,"mmmm")</f>
        <v>April</v>
      </c>
      <c r="AR643">
        <f t="shared" ref="AR643:AR706" si="238">YEAR(E643)</f>
        <v>2025</v>
      </c>
      <c r="AS643" t="str">
        <f t="shared" ref="AS643:AS706" si="239">IF(OR(AC643&lt;0,AC643&gt;1,G643&lt;E643),"Invalid",IF(OR(Q643="Unknown",Y643="Unknown"),"Warning","Clean"))</f>
        <v>Clean</v>
      </c>
      <c r="AT643" t="str">
        <f>IF(OR(AC643&lt;0,AC643&gt;0.5),"Invalid Discount","Valid")</f>
        <v>Valid</v>
      </c>
      <c r="AU643" t="str">
        <f>IF(G643&lt;E643,"Invalid Shipping Record","Valid")</f>
        <v>Valid</v>
      </c>
      <c r="AV643" t="str">
        <f>IF(OR(AL643="Cancelled",AH643="Failed"),"Exclude","Include")</f>
        <v>Include</v>
      </c>
      <c r="AW643" t="str">
        <f t="shared" ref="AW643:AW706" si="240">IF(ROUND(AE643,2)=ROUND(AN643,2),"Match","Mismatch")</f>
        <v>Match</v>
      </c>
      <c r="AX643" t="str">
        <f t="shared" ref="AX643:AX706" si="241">IF(ROUND(AG643,2)=ROUND(AO643,2),"Match","Mismatch")</f>
        <v>Match</v>
      </c>
    </row>
    <row r="644" spans="1:50">
      <c r="A644" t="s">
        <v>3038</v>
      </c>
      <c r="B644">
        <f t="shared" si="220"/>
        <v>1</v>
      </c>
      <c r="C644" t="str">
        <f t="shared" si="230"/>
        <v/>
      </c>
      <c r="D644" s="3" t="s">
        <v>1949</v>
      </c>
      <c r="E644" s="7">
        <v>45533</v>
      </c>
      <c r="F644" s="3" t="s">
        <v>36</v>
      </c>
      <c r="G644" s="7">
        <v>45535</v>
      </c>
      <c r="H644" s="7" t="str">
        <f t="shared" si="221"/>
        <v>Valid</v>
      </c>
      <c r="I644" s="9">
        <f t="shared" si="222"/>
        <v>2</v>
      </c>
      <c r="J644" s="9" t="str">
        <f t="shared" si="223"/>
        <v>Valid</v>
      </c>
      <c r="K644" t="s">
        <v>3039</v>
      </c>
      <c r="L644" t="s">
        <v>52</v>
      </c>
      <c r="M644" t="s">
        <v>52</v>
      </c>
      <c r="N644" t="s">
        <v>114</v>
      </c>
      <c r="O644" s="3" t="str">
        <f t="shared" si="224"/>
        <v>Home Office</v>
      </c>
      <c r="P644" t="s">
        <v>41</v>
      </c>
      <c r="Q644" s="3" t="str">
        <f t="shared" si="225"/>
        <v>East</v>
      </c>
      <c r="R644" t="s">
        <v>215</v>
      </c>
      <c r="S644" t="s">
        <v>216</v>
      </c>
      <c r="T644" t="s">
        <v>29</v>
      </c>
      <c r="U644" s="3" t="str">
        <f t="shared" si="226"/>
        <v>Office Supplies</v>
      </c>
      <c r="V644" t="s">
        <v>3040</v>
      </c>
      <c r="W644" t="s">
        <v>3041</v>
      </c>
      <c r="X644" t="s">
        <v>32</v>
      </c>
      <c r="Y644" s="3" t="str">
        <f t="shared" si="227"/>
        <v>Second Class</v>
      </c>
      <c r="Z644">
        <v>9</v>
      </c>
      <c r="AA644">
        <v>1275.21</v>
      </c>
      <c r="AB644">
        <v>0.25</v>
      </c>
      <c r="AC644">
        <f t="shared" si="228"/>
        <v>0.25</v>
      </c>
      <c r="AD644" t="str">
        <f t="shared" si="231"/>
        <v>Valid</v>
      </c>
      <c r="AE644">
        <v>8607.67</v>
      </c>
      <c r="AF644">
        <v>5337.64</v>
      </c>
      <c r="AG644">
        <v>3270.03</v>
      </c>
      <c r="AH644" t="s">
        <v>199</v>
      </c>
      <c r="AI644" t="str">
        <f t="shared" si="232"/>
        <v>Exclude</v>
      </c>
      <c r="AJ644" t="str">
        <f t="shared" si="233"/>
        <v/>
      </c>
      <c r="AK644" t="s">
        <v>124</v>
      </c>
      <c r="AL644" t="str">
        <f t="shared" si="229"/>
        <v>Returned</v>
      </c>
      <c r="AM644" t="str">
        <f t="shared" si="234"/>
        <v>Include</v>
      </c>
      <c r="AN644">
        <f t="shared" si="235"/>
        <v>8607.6674999999996</v>
      </c>
      <c r="AO644">
        <f t="shared" si="236"/>
        <v>3270.0274999999992</v>
      </c>
      <c r="AP644">
        <f>IF(AN644=0,0,AO644/AN644)</f>
        <v>0.37989705108846261</v>
      </c>
      <c r="AQ644" t="str">
        <f t="shared" si="237"/>
        <v>August</v>
      </c>
      <c r="AR644">
        <f t="shared" si="238"/>
        <v>2024</v>
      </c>
      <c r="AS644" t="str">
        <f t="shared" si="239"/>
        <v>Clean</v>
      </c>
      <c r="AT644" t="str">
        <f>IF(OR(AC644&lt;0,AC644&gt;0.5),"Invalid Discount","Valid")</f>
        <v>Valid</v>
      </c>
      <c r="AU644" t="str">
        <f>IF(G644&lt;E644,"Invalid Shipping Record","Valid")</f>
        <v>Valid</v>
      </c>
      <c r="AV644" t="str">
        <f>IF(OR(AL644="Cancelled",AH644="Failed"),"Exclude","Include")</f>
        <v>Exclude</v>
      </c>
      <c r="AW644" t="str">
        <f t="shared" si="240"/>
        <v>Match</v>
      </c>
      <c r="AX644" t="str">
        <f t="shared" si="241"/>
        <v>Match</v>
      </c>
    </row>
    <row r="645" spans="1:50">
      <c r="A645" t="s">
        <v>3042</v>
      </c>
      <c r="B645">
        <f t="shared" si="220"/>
        <v>1</v>
      </c>
      <c r="C645" t="str">
        <f t="shared" si="230"/>
        <v/>
      </c>
      <c r="D645" s="3" t="s">
        <v>3043</v>
      </c>
      <c r="E645" s="7">
        <v>45327</v>
      </c>
      <c r="F645" s="3" t="s">
        <v>3044</v>
      </c>
      <c r="G645" s="7">
        <v>45335</v>
      </c>
      <c r="H645" s="7" t="str">
        <f t="shared" si="221"/>
        <v>Valid</v>
      </c>
      <c r="I645" s="9">
        <f t="shared" si="222"/>
        <v>8</v>
      </c>
      <c r="J645" s="9" t="str">
        <f t="shared" si="223"/>
        <v>Valid</v>
      </c>
      <c r="K645" t="s">
        <v>1095</v>
      </c>
      <c r="L645" t="s">
        <v>161</v>
      </c>
      <c r="M645" t="s">
        <v>161</v>
      </c>
      <c r="N645" t="s">
        <v>114</v>
      </c>
      <c r="O645" s="3" t="str">
        <f t="shared" si="224"/>
        <v>Home Office</v>
      </c>
      <c r="P645" t="s">
        <v>26</v>
      </c>
      <c r="Q645" s="3" t="str">
        <f t="shared" si="225"/>
        <v>North</v>
      </c>
      <c r="R645" t="s">
        <v>173</v>
      </c>
      <c r="S645" t="s">
        <v>174</v>
      </c>
      <c r="T645" t="s">
        <v>29</v>
      </c>
      <c r="U645" s="3" t="str">
        <f t="shared" si="226"/>
        <v>Office Supplies</v>
      </c>
      <c r="V645" t="s">
        <v>108</v>
      </c>
      <c r="W645" t="s">
        <v>3045</v>
      </c>
      <c r="X645" t="s">
        <v>66</v>
      </c>
      <c r="Y645" s="3" t="str">
        <f t="shared" si="227"/>
        <v>Standard Class</v>
      </c>
      <c r="Z645">
        <v>8</v>
      </c>
      <c r="AA645">
        <v>3871.18</v>
      </c>
      <c r="AB645">
        <v>0.15</v>
      </c>
      <c r="AC645">
        <f t="shared" si="228"/>
        <v>0.15</v>
      </c>
      <c r="AD645" t="str">
        <f t="shared" si="231"/>
        <v>Valid</v>
      </c>
      <c r="AE645">
        <v>26324.02</v>
      </c>
      <c r="AF645">
        <v>16277.96</v>
      </c>
      <c r="AG645">
        <v>10046.06</v>
      </c>
      <c r="AH645" t="s">
        <v>199</v>
      </c>
      <c r="AI645" t="str">
        <f t="shared" si="232"/>
        <v>Exclude</v>
      </c>
      <c r="AJ645" t="str">
        <f t="shared" si="233"/>
        <v/>
      </c>
      <c r="AK645" t="s">
        <v>124</v>
      </c>
      <c r="AL645" t="str">
        <f t="shared" si="229"/>
        <v>Returned</v>
      </c>
      <c r="AM645" t="str">
        <f t="shared" si="234"/>
        <v>Include</v>
      </c>
      <c r="AN645">
        <f t="shared" si="235"/>
        <v>26324.023999999998</v>
      </c>
      <c r="AO645">
        <f t="shared" si="236"/>
        <v>10046.063999999998</v>
      </c>
      <c r="AP645">
        <f>IF(AN645=0,0,AO645/AN645)</f>
        <v>0.3816310150758106</v>
      </c>
      <c r="AQ645" t="str">
        <f t="shared" si="237"/>
        <v>February</v>
      </c>
      <c r="AR645">
        <f t="shared" si="238"/>
        <v>2024</v>
      </c>
      <c r="AS645" t="str">
        <f t="shared" si="239"/>
        <v>Clean</v>
      </c>
      <c r="AT645" t="str">
        <f>IF(OR(AC645&lt;0,AC645&gt;0.5),"Invalid Discount","Valid")</f>
        <v>Valid</v>
      </c>
      <c r="AU645" t="str">
        <f>IF(G645&lt;E645,"Invalid Shipping Record","Valid")</f>
        <v>Valid</v>
      </c>
      <c r="AV645" t="str">
        <f>IF(OR(AL645="Cancelled",AH645="Failed"),"Exclude","Include")</f>
        <v>Exclude</v>
      </c>
      <c r="AW645" t="str">
        <f t="shared" si="240"/>
        <v>Match</v>
      </c>
      <c r="AX645" t="str">
        <f t="shared" si="241"/>
        <v>Match</v>
      </c>
    </row>
    <row r="646" spans="1:50">
      <c r="A646" t="s">
        <v>3046</v>
      </c>
      <c r="B646">
        <f t="shared" si="220"/>
        <v>1</v>
      </c>
      <c r="C646" t="str">
        <f t="shared" si="230"/>
        <v/>
      </c>
      <c r="D646" s="3" t="s">
        <v>2590</v>
      </c>
      <c r="E646" s="7">
        <v>45757</v>
      </c>
      <c r="F646" s="3" t="s">
        <v>3047</v>
      </c>
      <c r="G646" s="7">
        <v>45764</v>
      </c>
      <c r="H646" s="7" t="str">
        <f t="shared" si="221"/>
        <v>Valid</v>
      </c>
      <c r="I646" s="9">
        <f t="shared" si="222"/>
        <v>7</v>
      </c>
      <c r="J646" s="9" t="str">
        <f t="shared" si="223"/>
        <v>Valid</v>
      </c>
      <c r="K646" t="s">
        <v>3048</v>
      </c>
      <c r="L646" t="s">
        <v>82</v>
      </c>
      <c r="M646" t="s">
        <v>82</v>
      </c>
      <c r="N646" t="s">
        <v>25</v>
      </c>
      <c r="O646" s="3" t="str">
        <f t="shared" si="224"/>
        <v>Consumer</v>
      </c>
      <c r="P646" t="s">
        <v>41</v>
      </c>
      <c r="Q646" s="3" t="str">
        <f t="shared" si="225"/>
        <v>East</v>
      </c>
      <c r="R646" t="s">
        <v>120</v>
      </c>
      <c r="S646" t="s">
        <v>121</v>
      </c>
      <c r="T646" t="s">
        <v>44</v>
      </c>
      <c r="U646" s="3" t="str">
        <f t="shared" si="226"/>
        <v>Furniture</v>
      </c>
      <c r="V646" t="s">
        <v>75</v>
      </c>
      <c r="W646" t="s">
        <v>3049</v>
      </c>
      <c r="X646" t="s">
        <v>66</v>
      </c>
      <c r="Y646" s="3" t="str">
        <f t="shared" si="227"/>
        <v>Standard Class</v>
      </c>
      <c r="Z646">
        <v>4</v>
      </c>
      <c r="AA646">
        <v>3750.02</v>
      </c>
      <c r="AB646">
        <v>0.05</v>
      </c>
      <c r="AC646">
        <f t="shared" si="228"/>
        <v>0.05</v>
      </c>
      <c r="AD646" t="str">
        <f t="shared" si="231"/>
        <v>Valid</v>
      </c>
      <c r="AE646">
        <v>14250.08</v>
      </c>
      <c r="AF646">
        <v>10914.92</v>
      </c>
      <c r="AG646">
        <v>3335.16</v>
      </c>
      <c r="AH646" t="s">
        <v>33</v>
      </c>
      <c r="AI646" t="str">
        <f t="shared" si="232"/>
        <v>Include</v>
      </c>
      <c r="AJ646" t="str">
        <f t="shared" si="233"/>
        <v/>
      </c>
      <c r="AK646" t="s">
        <v>34</v>
      </c>
      <c r="AL646" t="str">
        <f t="shared" si="229"/>
        <v>Completed</v>
      </c>
      <c r="AM646" t="str">
        <f t="shared" si="234"/>
        <v>Include</v>
      </c>
      <c r="AN646">
        <f t="shared" si="235"/>
        <v>14250.075999999999</v>
      </c>
      <c r="AO646">
        <f t="shared" si="236"/>
        <v>3335.155999999999</v>
      </c>
      <c r="AP646">
        <f>IF(AN646=0,0,AO646/AN646)</f>
        <v>0.23404478684885605</v>
      </c>
      <c r="AQ646" t="str">
        <f t="shared" si="237"/>
        <v>April</v>
      </c>
      <c r="AR646">
        <f t="shared" si="238"/>
        <v>2025</v>
      </c>
      <c r="AS646" t="str">
        <f t="shared" si="239"/>
        <v>Clean</v>
      </c>
      <c r="AT646" t="str">
        <f>IF(OR(AC646&lt;0,AC646&gt;0.5),"Invalid Discount","Valid")</f>
        <v>Valid</v>
      </c>
      <c r="AU646" t="str">
        <f>IF(G646&lt;E646,"Invalid Shipping Record","Valid")</f>
        <v>Valid</v>
      </c>
      <c r="AV646" t="str">
        <f>IF(OR(AL646="Cancelled",AH646="Failed"),"Exclude","Include")</f>
        <v>Include</v>
      </c>
      <c r="AW646" t="str">
        <f t="shared" si="240"/>
        <v>Match</v>
      </c>
      <c r="AX646" t="str">
        <f t="shared" si="241"/>
        <v>Match</v>
      </c>
    </row>
    <row r="647" spans="1:50">
      <c r="A647" t="s">
        <v>3050</v>
      </c>
      <c r="B647">
        <f t="shared" si="220"/>
        <v>1</v>
      </c>
      <c r="C647" t="str">
        <f t="shared" si="230"/>
        <v/>
      </c>
      <c r="D647" s="3" t="s">
        <v>3051</v>
      </c>
      <c r="E647" s="7">
        <v>45295</v>
      </c>
      <c r="F647" s="3" t="s">
        <v>2744</v>
      </c>
      <c r="G647" s="7">
        <v>45300</v>
      </c>
      <c r="H647" s="7" t="str">
        <f t="shared" si="221"/>
        <v>Valid</v>
      </c>
      <c r="I647" s="9">
        <f t="shared" si="222"/>
        <v>5</v>
      </c>
      <c r="J647" s="9" t="str">
        <f t="shared" si="223"/>
        <v>Valid</v>
      </c>
      <c r="K647" t="s">
        <v>3052</v>
      </c>
      <c r="L647" t="s">
        <v>365</v>
      </c>
      <c r="M647" t="s">
        <v>365</v>
      </c>
      <c r="N647" t="s">
        <v>25</v>
      </c>
      <c r="O647" s="3" t="str">
        <f t="shared" si="224"/>
        <v>Consumer</v>
      </c>
      <c r="P647" t="s">
        <v>41</v>
      </c>
      <c r="Q647" s="3" t="str">
        <f t="shared" si="225"/>
        <v>East</v>
      </c>
      <c r="R647" t="s">
        <v>185</v>
      </c>
      <c r="S647" t="s">
        <v>186</v>
      </c>
      <c r="T647" t="s">
        <v>44</v>
      </c>
      <c r="U647" s="3" t="str">
        <f t="shared" si="226"/>
        <v>Furniture</v>
      </c>
      <c r="V647" t="s">
        <v>75</v>
      </c>
      <c r="W647" t="s">
        <v>3053</v>
      </c>
      <c r="X647" t="s">
        <v>32</v>
      </c>
      <c r="Y647" s="3" t="str">
        <f t="shared" si="227"/>
        <v>Second Class</v>
      </c>
      <c r="Z647">
        <v>6</v>
      </c>
      <c r="AA647">
        <v>2423.61</v>
      </c>
      <c r="AB647">
        <v>0.1</v>
      </c>
      <c r="AC647">
        <f t="shared" si="228"/>
        <v>0.1</v>
      </c>
      <c r="AD647" t="str">
        <f t="shared" si="231"/>
        <v>Valid</v>
      </c>
      <c r="AE647">
        <v>13087.49</v>
      </c>
      <c r="AF647">
        <v>7608.89</v>
      </c>
      <c r="AG647">
        <v>5133.22</v>
      </c>
      <c r="AH647" t="s">
        <v>33</v>
      </c>
      <c r="AI647" t="str">
        <f t="shared" si="232"/>
        <v>Include</v>
      </c>
      <c r="AJ647" t="str">
        <f t="shared" si="233"/>
        <v/>
      </c>
      <c r="AK647" t="s">
        <v>34</v>
      </c>
      <c r="AL647" t="str">
        <f t="shared" si="229"/>
        <v>Completed</v>
      </c>
      <c r="AM647" t="str">
        <f t="shared" si="234"/>
        <v>Include</v>
      </c>
      <c r="AN647">
        <f t="shared" si="235"/>
        <v>13087.494000000001</v>
      </c>
      <c r="AO647">
        <f t="shared" si="236"/>
        <v>5478.6040000000003</v>
      </c>
      <c r="AP647">
        <f>IF(AN647=0,0,AO647/AN647)</f>
        <v>0.41861367806548755</v>
      </c>
      <c r="AQ647" t="str">
        <f t="shared" si="237"/>
        <v>January</v>
      </c>
      <c r="AR647">
        <f t="shared" si="238"/>
        <v>2024</v>
      </c>
      <c r="AS647" t="str">
        <f t="shared" si="239"/>
        <v>Clean</v>
      </c>
      <c r="AT647" t="str">
        <f>IF(OR(AC647&lt;0,AC647&gt;0.5),"Invalid Discount","Valid")</f>
        <v>Valid</v>
      </c>
      <c r="AU647" t="str">
        <f>IF(G647&lt;E647,"Invalid Shipping Record","Valid")</f>
        <v>Valid</v>
      </c>
      <c r="AV647" t="str">
        <f>IF(OR(AL647="Cancelled",AH647="Failed"),"Exclude","Include")</f>
        <v>Include</v>
      </c>
      <c r="AW647" t="str">
        <f t="shared" si="240"/>
        <v>Match</v>
      </c>
      <c r="AX647" t="str">
        <f t="shared" si="241"/>
        <v>Mismatch</v>
      </c>
    </row>
    <row r="648" spans="1:50">
      <c r="A648" t="s">
        <v>3054</v>
      </c>
      <c r="B648">
        <f t="shared" si="220"/>
        <v>1</v>
      </c>
      <c r="C648" t="str">
        <f t="shared" si="230"/>
        <v/>
      </c>
      <c r="D648" s="3" t="s">
        <v>3055</v>
      </c>
      <c r="E648" s="7">
        <v>45553</v>
      </c>
      <c r="F648" s="3" t="s">
        <v>3056</v>
      </c>
      <c r="G648" s="7">
        <v>45559</v>
      </c>
      <c r="H648" s="7" t="str">
        <f t="shared" si="221"/>
        <v>Valid</v>
      </c>
      <c r="I648" s="9">
        <f t="shared" si="222"/>
        <v>6</v>
      </c>
      <c r="J648" s="9" t="str">
        <f t="shared" si="223"/>
        <v>Valid</v>
      </c>
      <c r="K648" t="s">
        <v>3057</v>
      </c>
      <c r="L648" t="s">
        <v>82</v>
      </c>
      <c r="M648" t="s">
        <v>82</v>
      </c>
      <c r="N648" t="s">
        <v>40</v>
      </c>
      <c r="O648" s="3" t="str">
        <f t="shared" si="224"/>
        <v>Small Business</v>
      </c>
      <c r="P648" t="s">
        <v>41</v>
      </c>
      <c r="Q648" s="3" t="str">
        <f t="shared" si="225"/>
        <v>East</v>
      </c>
      <c r="R648" t="s">
        <v>310</v>
      </c>
      <c r="S648" t="s">
        <v>311</v>
      </c>
      <c r="T648" t="s">
        <v>85</v>
      </c>
      <c r="U648" s="3" t="str">
        <f t="shared" si="226"/>
        <v>Technology</v>
      </c>
      <c r="V648" t="s">
        <v>381</v>
      </c>
      <c r="W648" t="s">
        <v>3058</v>
      </c>
      <c r="X648" t="s">
        <v>55</v>
      </c>
      <c r="Y648" s="3" t="str">
        <f t="shared" si="227"/>
        <v>First Class</v>
      </c>
      <c r="Z648">
        <v>3</v>
      </c>
      <c r="AA648">
        <v>729.14</v>
      </c>
      <c r="AB648">
        <v>0.25</v>
      </c>
      <c r="AC648">
        <f t="shared" si="228"/>
        <v>0.25</v>
      </c>
      <c r="AD648" t="str">
        <f t="shared" si="231"/>
        <v>Valid</v>
      </c>
      <c r="AE648">
        <v>1640.57</v>
      </c>
      <c r="AF648">
        <v>1136.98</v>
      </c>
      <c r="AG648">
        <v>503.59</v>
      </c>
      <c r="AH648" t="s">
        <v>33</v>
      </c>
      <c r="AI648" t="str">
        <f t="shared" si="232"/>
        <v>Include</v>
      </c>
      <c r="AJ648" t="str">
        <f t="shared" si="233"/>
        <v/>
      </c>
      <c r="AK648" t="s">
        <v>34</v>
      </c>
      <c r="AL648" t="str">
        <f t="shared" si="229"/>
        <v>Completed</v>
      </c>
      <c r="AM648" t="str">
        <f t="shared" si="234"/>
        <v>Include</v>
      </c>
      <c r="AN648">
        <f t="shared" si="235"/>
        <v>1640.5650000000001</v>
      </c>
      <c r="AO648">
        <f t="shared" si="236"/>
        <v>503.58500000000004</v>
      </c>
      <c r="AP648">
        <f>IF(AN648=0,0,AO648/AN648)</f>
        <v>0.30695827352162214</v>
      </c>
      <c r="AQ648" t="str">
        <f t="shared" si="237"/>
        <v>September</v>
      </c>
      <c r="AR648">
        <f t="shared" si="238"/>
        <v>2024</v>
      </c>
      <c r="AS648" t="str">
        <f t="shared" si="239"/>
        <v>Clean</v>
      </c>
      <c r="AT648" t="str">
        <f>IF(OR(AC648&lt;0,AC648&gt;0.5),"Invalid Discount","Valid")</f>
        <v>Valid</v>
      </c>
      <c r="AU648" t="str">
        <f>IF(G648&lt;E648,"Invalid Shipping Record","Valid")</f>
        <v>Valid</v>
      </c>
      <c r="AV648" t="str">
        <f>IF(OR(AL648="Cancelled",AH648="Failed"),"Exclude","Include")</f>
        <v>Include</v>
      </c>
      <c r="AW648" t="str">
        <f t="shared" si="240"/>
        <v>Match</v>
      </c>
      <c r="AX648" t="str">
        <f t="shared" si="241"/>
        <v>Match</v>
      </c>
    </row>
    <row r="649" spans="1:50">
      <c r="A649" t="s">
        <v>3059</v>
      </c>
      <c r="B649">
        <f t="shared" si="220"/>
        <v>1</v>
      </c>
      <c r="C649" t="str">
        <f t="shared" si="230"/>
        <v/>
      </c>
      <c r="D649" s="3" t="s">
        <v>1328</v>
      </c>
      <c r="E649" s="7">
        <v>45658</v>
      </c>
      <c r="F649" s="3" t="s">
        <v>3060</v>
      </c>
      <c r="G649" s="7">
        <v>45666</v>
      </c>
      <c r="H649" s="7" t="str">
        <f t="shared" si="221"/>
        <v>Valid</v>
      </c>
      <c r="I649" s="9">
        <f t="shared" si="222"/>
        <v>8</v>
      </c>
      <c r="J649" s="9" t="str">
        <f t="shared" si="223"/>
        <v>Valid</v>
      </c>
      <c r="K649" t="s">
        <v>3061</v>
      </c>
      <c r="L649" t="s">
        <v>3062</v>
      </c>
      <c r="M649" t="s">
        <v>179</v>
      </c>
      <c r="N649" t="s">
        <v>40</v>
      </c>
      <c r="O649" s="3" t="str">
        <f t="shared" si="224"/>
        <v>Small Business</v>
      </c>
      <c r="P649" t="s">
        <v>26</v>
      </c>
      <c r="Q649" s="3" t="str">
        <f t="shared" si="225"/>
        <v>North</v>
      </c>
      <c r="R649" t="s">
        <v>153</v>
      </c>
      <c r="S649" t="s">
        <v>154</v>
      </c>
      <c r="T649" t="s">
        <v>29</v>
      </c>
      <c r="U649" s="3" t="str">
        <f t="shared" si="226"/>
        <v>Office Supplies</v>
      </c>
      <c r="V649" t="s">
        <v>53</v>
      </c>
      <c r="W649" t="s">
        <v>3063</v>
      </c>
      <c r="X649" t="s">
        <v>55</v>
      </c>
      <c r="Y649" s="3" t="str">
        <f t="shared" si="227"/>
        <v>First Class</v>
      </c>
      <c r="Z649">
        <v>8</v>
      </c>
      <c r="AA649">
        <v>2123.81</v>
      </c>
      <c r="AB649">
        <v>0.15</v>
      </c>
      <c r="AC649">
        <f t="shared" si="228"/>
        <v>0.15</v>
      </c>
      <c r="AD649" t="str">
        <f t="shared" si="231"/>
        <v>Valid</v>
      </c>
      <c r="AE649">
        <v>14441.91</v>
      </c>
      <c r="AF649">
        <v>10872.89</v>
      </c>
      <c r="AG649">
        <v>3569.02</v>
      </c>
      <c r="AH649" t="s">
        <v>33</v>
      </c>
      <c r="AI649" t="str">
        <f t="shared" si="232"/>
        <v>Include</v>
      </c>
      <c r="AJ649" t="str">
        <f t="shared" si="233"/>
        <v/>
      </c>
      <c r="AK649" t="s">
        <v>34</v>
      </c>
      <c r="AL649" t="str">
        <f t="shared" si="229"/>
        <v>Completed</v>
      </c>
      <c r="AM649" t="str">
        <f t="shared" si="234"/>
        <v>Include</v>
      </c>
      <c r="AN649">
        <f t="shared" si="235"/>
        <v>14441.907999999999</v>
      </c>
      <c r="AO649">
        <f t="shared" si="236"/>
        <v>3569.018</v>
      </c>
      <c r="AP649">
        <f>IF(AN649=0,0,AO649/AN649)</f>
        <v>0.24712925743606731</v>
      </c>
      <c r="AQ649" t="str">
        <f t="shared" si="237"/>
        <v>January</v>
      </c>
      <c r="AR649">
        <f t="shared" si="238"/>
        <v>2025</v>
      </c>
      <c r="AS649" t="str">
        <f t="shared" si="239"/>
        <v>Clean</v>
      </c>
      <c r="AT649" t="str">
        <f>IF(OR(AC649&lt;0,AC649&gt;0.5),"Invalid Discount","Valid")</f>
        <v>Valid</v>
      </c>
      <c r="AU649" t="str">
        <f>IF(G649&lt;E649,"Invalid Shipping Record","Valid")</f>
        <v>Valid</v>
      </c>
      <c r="AV649" t="str">
        <f>IF(OR(AL649="Cancelled",AH649="Failed"),"Exclude","Include")</f>
        <v>Include</v>
      </c>
      <c r="AW649" t="str">
        <f t="shared" si="240"/>
        <v>Match</v>
      </c>
      <c r="AX649" t="str">
        <f t="shared" si="241"/>
        <v>Match</v>
      </c>
    </row>
    <row r="650" spans="1:50">
      <c r="A650" t="s">
        <v>3064</v>
      </c>
      <c r="B650">
        <f t="shared" si="220"/>
        <v>1</v>
      </c>
      <c r="C650" t="str">
        <f t="shared" si="230"/>
        <v/>
      </c>
      <c r="D650" s="3" t="s">
        <v>3065</v>
      </c>
      <c r="E650" s="7">
        <v>45403</v>
      </c>
      <c r="F650" s="3" t="s">
        <v>357</v>
      </c>
      <c r="G650" s="7">
        <v>45406</v>
      </c>
      <c r="H650" s="7" t="str">
        <f t="shared" si="221"/>
        <v>Valid</v>
      </c>
      <c r="I650" s="9">
        <f t="shared" si="222"/>
        <v>3</v>
      </c>
      <c r="J650" s="9" t="str">
        <f t="shared" si="223"/>
        <v>Valid</v>
      </c>
      <c r="K650" t="s">
        <v>3066</v>
      </c>
      <c r="L650" t="s">
        <v>92</v>
      </c>
      <c r="M650" t="s">
        <v>92</v>
      </c>
      <c r="N650" t="s">
        <v>40</v>
      </c>
      <c r="O650" s="3" t="str">
        <f t="shared" si="224"/>
        <v>Small Business</v>
      </c>
      <c r="P650" t="s">
        <v>61</v>
      </c>
      <c r="Q650" s="3" t="str">
        <f t="shared" si="225"/>
        <v>South</v>
      </c>
      <c r="R650" t="s">
        <v>99</v>
      </c>
      <c r="S650" t="s">
        <v>100</v>
      </c>
      <c r="T650" t="s">
        <v>29</v>
      </c>
      <c r="U650" s="3" t="str">
        <f t="shared" si="226"/>
        <v>Office Supplies</v>
      </c>
      <c r="V650" t="s">
        <v>53</v>
      </c>
      <c r="W650" t="s">
        <v>3067</v>
      </c>
      <c r="X650" t="s">
        <v>47</v>
      </c>
      <c r="Y650" s="3" t="str">
        <f t="shared" si="227"/>
        <v>Same Day</v>
      </c>
      <c r="Z650">
        <v>9</v>
      </c>
      <c r="AA650">
        <v>703.59</v>
      </c>
      <c r="AB650">
        <v>0.2</v>
      </c>
      <c r="AC650">
        <f t="shared" si="228"/>
        <v>0.2</v>
      </c>
      <c r="AD650" t="str">
        <f t="shared" si="231"/>
        <v>Valid</v>
      </c>
      <c r="AE650">
        <v>5065.8500000000004</v>
      </c>
      <c r="AF650">
        <v>3517.23</v>
      </c>
      <c r="AG650">
        <v>1548.62</v>
      </c>
      <c r="AH650" t="s">
        <v>199</v>
      </c>
      <c r="AI650" t="str">
        <f t="shared" si="232"/>
        <v>Exclude</v>
      </c>
      <c r="AJ650" t="str">
        <f t="shared" si="233"/>
        <v/>
      </c>
      <c r="AK650" t="s">
        <v>124</v>
      </c>
      <c r="AL650" t="str">
        <f t="shared" si="229"/>
        <v>Returned</v>
      </c>
      <c r="AM650" t="str">
        <f t="shared" si="234"/>
        <v>Include</v>
      </c>
      <c r="AN650">
        <f t="shared" si="235"/>
        <v>5065.8480000000009</v>
      </c>
      <c r="AO650">
        <f t="shared" si="236"/>
        <v>1548.6180000000008</v>
      </c>
      <c r="AP650">
        <f>IF(AN650=0,0,AO650/AN650)</f>
        <v>0.30569768378364304</v>
      </c>
      <c r="AQ650" t="str">
        <f t="shared" si="237"/>
        <v>April</v>
      </c>
      <c r="AR650">
        <f t="shared" si="238"/>
        <v>2024</v>
      </c>
      <c r="AS650" t="str">
        <f t="shared" si="239"/>
        <v>Clean</v>
      </c>
      <c r="AT650" t="str">
        <f>IF(OR(AC650&lt;0,AC650&gt;0.5),"Invalid Discount","Valid")</f>
        <v>Valid</v>
      </c>
      <c r="AU650" t="str">
        <f>IF(G650&lt;E650,"Invalid Shipping Record","Valid")</f>
        <v>Valid</v>
      </c>
      <c r="AV650" t="str">
        <f>IF(OR(AL650="Cancelled",AH650="Failed"),"Exclude","Include")</f>
        <v>Exclude</v>
      </c>
      <c r="AW650" t="str">
        <f t="shared" si="240"/>
        <v>Match</v>
      </c>
      <c r="AX650" t="str">
        <f t="shared" si="241"/>
        <v>Match</v>
      </c>
    </row>
    <row r="651" spans="1:50">
      <c r="A651" t="s">
        <v>3068</v>
      </c>
      <c r="B651">
        <f t="shared" si="220"/>
        <v>1</v>
      </c>
      <c r="C651" t="str">
        <f t="shared" si="230"/>
        <v/>
      </c>
      <c r="D651" s="3" t="s">
        <v>3069</v>
      </c>
      <c r="E651" s="7">
        <v>45880</v>
      </c>
      <c r="F651" s="3" t="s">
        <v>3070</v>
      </c>
      <c r="G651" s="7">
        <v>45888</v>
      </c>
      <c r="H651" s="7" t="str">
        <f t="shared" si="221"/>
        <v>Valid</v>
      </c>
      <c r="I651" s="9">
        <f t="shared" si="222"/>
        <v>8</v>
      </c>
      <c r="J651" s="9" t="str">
        <f t="shared" si="223"/>
        <v>Valid</v>
      </c>
      <c r="K651" t="s">
        <v>3071</v>
      </c>
      <c r="L651" t="s">
        <v>365</v>
      </c>
      <c r="M651" t="s">
        <v>365</v>
      </c>
      <c r="N651" t="s">
        <v>40</v>
      </c>
      <c r="O651" s="3" t="str">
        <f t="shared" si="224"/>
        <v>Small Business</v>
      </c>
      <c r="P651" t="s">
        <v>61</v>
      </c>
      <c r="Q651" s="3" t="str">
        <f t="shared" si="225"/>
        <v>South</v>
      </c>
      <c r="R651" t="s">
        <v>241</v>
      </c>
      <c r="S651" t="s">
        <v>242</v>
      </c>
      <c r="T651" t="s">
        <v>85</v>
      </c>
      <c r="U651" s="3" t="str">
        <f t="shared" si="226"/>
        <v>Technology</v>
      </c>
      <c r="V651" t="s">
        <v>86</v>
      </c>
      <c r="W651" t="s">
        <v>3072</v>
      </c>
      <c r="X651" t="s">
        <v>66</v>
      </c>
      <c r="Y651" s="3" t="str">
        <f t="shared" si="227"/>
        <v>Standard Class</v>
      </c>
      <c r="Z651">
        <v>4</v>
      </c>
      <c r="AA651">
        <v>2258.96</v>
      </c>
      <c r="AB651">
        <v>0.25</v>
      </c>
      <c r="AC651">
        <f t="shared" si="228"/>
        <v>0.25</v>
      </c>
      <c r="AD651" t="str">
        <f t="shared" si="231"/>
        <v>Valid</v>
      </c>
      <c r="AE651">
        <v>6776.88</v>
      </c>
      <c r="AF651">
        <v>3836.24</v>
      </c>
      <c r="AG651">
        <v>2940.64</v>
      </c>
      <c r="AH651" t="s">
        <v>33</v>
      </c>
      <c r="AI651" t="str">
        <f t="shared" si="232"/>
        <v>Include</v>
      </c>
      <c r="AJ651" t="str">
        <f t="shared" si="233"/>
        <v/>
      </c>
      <c r="AK651" t="s">
        <v>34</v>
      </c>
      <c r="AL651" t="str">
        <f t="shared" si="229"/>
        <v>Completed</v>
      </c>
      <c r="AM651" t="str">
        <f t="shared" si="234"/>
        <v>Include</v>
      </c>
      <c r="AN651">
        <f t="shared" si="235"/>
        <v>6776.88</v>
      </c>
      <c r="AO651">
        <f t="shared" si="236"/>
        <v>2940.6400000000003</v>
      </c>
      <c r="AP651">
        <f>IF(AN651=0,0,AO651/AN651)</f>
        <v>0.43392239496641527</v>
      </c>
      <c r="AQ651" t="str">
        <f t="shared" si="237"/>
        <v>August</v>
      </c>
      <c r="AR651">
        <f t="shared" si="238"/>
        <v>2025</v>
      </c>
      <c r="AS651" t="str">
        <f t="shared" si="239"/>
        <v>Clean</v>
      </c>
      <c r="AT651" t="str">
        <f>IF(OR(AC651&lt;0,AC651&gt;0.5),"Invalid Discount","Valid")</f>
        <v>Valid</v>
      </c>
      <c r="AU651" t="str">
        <f>IF(G651&lt;E651,"Invalid Shipping Record","Valid")</f>
        <v>Valid</v>
      </c>
      <c r="AV651" t="str">
        <f>IF(OR(AL651="Cancelled",AH651="Failed"),"Exclude","Include")</f>
        <v>Include</v>
      </c>
      <c r="AW651" t="str">
        <f t="shared" si="240"/>
        <v>Match</v>
      </c>
      <c r="AX651" t="str">
        <f t="shared" si="241"/>
        <v>Match</v>
      </c>
    </row>
    <row r="652" spans="1:50">
      <c r="A652" t="s">
        <v>3073</v>
      </c>
      <c r="B652">
        <f t="shared" si="220"/>
        <v>1</v>
      </c>
      <c r="C652" t="str">
        <f t="shared" si="230"/>
        <v/>
      </c>
      <c r="D652" s="3" t="s">
        <v>3074</v>
      </c>
      <c r="E652" s="7">
        <v>45395</v>
      </c>
      <c r="F652" s="3" t="s">
        <v>3075</v>
      </c>
      <c r="G652" s="7">
        <v>45403</v>
      </c>
      <c r="H652" s="7" t="str">
        <f t="shared" si="221"/>
        <v>Valid</v>
      </c>
      <c r="I652" s="9">
        <f t="shared" si="222"/>
        <v>8</v>
      </c>
      <c r="J652" s="9" t="str">
        <f t="shared" si="223"/>
        <v>Valid</v>
      </c>
      <c r="K652" t="s">
        <v>546</v>
      </c>
      <c r="L652" t="s">
        <v>161</v>
      </c>
      <c r="M652" t="s">
        <v>161</v>
      </c>
      <c r="N652" t="s">
        <v>114</v>
      </c>
      <c r="O652" s="3" t="str">
        <f t="shared" si="224"/>
        <v>Home Office</v>
      </c>
      <c r="P652" t="s">
        <v>41</v>
      </c>
      <c r="Q652" s="3" t="str">
        <f t="shared" si="225"/>
        <v>East</v>
      </c>
      <c r="R652" t="s">
        <v>185</v>
      </c>
      <c r="S652" t="s">
        <v>186</v>
      </c>
      <c r="T652" t="s">
        <v>85</v>
      </c>
      <c r="U652" s="3" t="str">
        <f t="shared" si="226"/>
        <v>Technology</v>
      </c>
      <c r="V652" t="s">
        <v>86</v>
      </c>
      <c r="W652" t="s">
        <v>3076</v>
      </c>
      <c r="X652" t="s">
        <v>47</v>
      </c>
      <c r="Y652" s="3" t="str">
        <f t="shared" si="227"/>
        <v>Same Day</v>
      </c>
      <c r="Z652">
        <v>7</v>
      </c>
      <c r="AA652">
        <v>2648.76</v>
      </c>
      <c r="AB652">
        <v>0.15</v>
      </c>
      <c r="AC652">
        <f t="shared" si="228"/>
        <v>0.15</v>
      </c>
      <c r="AD652" t="str">
        <f t="shared" si="231"/>
        <v>Valid</v>
      </c>
      <c r="AE652">
        <v>15760.12</v>
      </c>
      <c r="AF652">
        <v>9931.5300000000007</v>
      </c>
      <c r="AG652">
        <v>5828.59</v>
      </c>
      <c r="AH652" t="s">
        <v>199</v>
      </c>
      <c r="AI652" t="str">
        <f t="shared" si="232"/>
        <v>Exclude</v>
      </c>
      <c r="AJ652" t="str">
        <f t="shared" si="233"/>
        <v/>
      </c>
      <c r="AK652" t="s">
        <v>124</v>
      </c>
      <c r="AL652" t="str">
        <f t="shared" si="229"/>
        <v>Returned</v>
      </c>
      <c r="AM652" t="str">
        <f t="shared" si="234"/>
        <v>Include</v>
      </c>
      <c r="AN652">
        <f t="shared" si="235"/>
        <v>15760.121999999999</v>
      </c>
      <c r="AO652">
        <f t="shared" si="236"/>
        <v>5828.5919999999987</v>
      </c>
      <c r="AP652">
        <f>IF(AN652=0,0,AO652/AN652)</f>
        <v>0.36983165485647884</v>
      </c>
      <c r="AQ652" t="str">
        <f t="shared" si="237"/>
        <v>April</v>
      </c>
      <c r="AR652">
        <f t="shared" si="238"/>
        <v>2024</v>
      </c>
      <c r="AS652" t="str">
        <f t="shared" si="239"/>
        <v>Clean</v>
      </c>
      <c r="AT652" t="str">
        <f>IF(OR(AC652&lt;0,AC652&gt;0.5),"Invalid Discount","Valid")</f>
        <v>Valid</v>
      </c>
      <c r="AU652" t="str">
        <f>IF(G652&lt;E652,"Invalid Shipping Record","Valid")</f>
        <v>Valid</v>
      </c>
      <c r="AV652" t="str">
        <f>IF(OR(AL652="Cancelled",AH652="Failed"),"Exclude","Include")</f>
        <v>Exclude</v>
      </c>
      <c r="AW652" t="str">
        <f t="shared" si="240"/>
        <v>Match</v>
      </c>
      <c r="AX652" t="str">
        <f t="shared" si="241"/>
        <v>Match</v>
      </c>
    </row>
    <row r="653" spans="1:50">
      <c r="A653" t="s">
        <v>3077</v>
      </c>
      <c r="B653">
        <f t="shared" si="220"/>
        <v>1</v>
      </c>
      <c r="C653" t="str">
        <f t="shared" si="230"/>
        <v/>
      </c>
      <c r="D653" s="3" t="s">
        <v>1370</v>
      </c>
      <c r="E653" s="7">
        <v>45875</v>
      </c>
      <c r="F653" s="3" t="s">
        <v>3078</v>
      </c>
      <c r="G653" s="7">
        <v>45878</v>
      </c>
      <c r="H653" s="7" t="str">
        <f t="shared" si="221"/>
        <v>Valid</v>
      </c>
      <c r="I653" s="9">
        <f t="shared" si="222"/>
        <v>3</v>
      </c>
      <c r="J653" s="9" t="str">
        <f t="shared" si="223"/>
        <v>Valid</v>
      </c>
      <c r="K653" t="s">
        <v>3079</v>
      </c>
      <c r="L653" t="s">
        <v>39</v>
      </c>
      <c r="M653" t="s">
        <v>39</v>
      </c>
      <c r="N653" t="s">
        <v>40</v>
      </c>
      <c r="O653" s="3" t="str">
        <f t="shared" si="224"/>
        <v>Small Business</v>
      </c>
      <c r="P653" t="s">
        <v>61</v>
      </c>
      <c r="Q653" s="3" t="str">
        <f t="shared" si="225"/>
        <v>South</v>
      </c>
      <c r="R653" t="s">
        <v>99</v>
      </c>
      <c r="S653" t="s">
        <v>100</v>
      </c>
      <c r="T653" t="s">
        <v>29</v>
      </c>
      <c r="U653" s="3" t="str">
        <f t="shared" si="226"/>
        <v>Office Supplies</v>
      </c>
      <c r="V653" t="s">
        <v>30</v>
      </c>
      <c r="W653" t="s">
        <v>3080</v>
      </c>
      <c r="X653" t="s">
        <v>32</v>
      </c>
      <c r="Y653" s="3" t="str">
        <f t="shared" si="227"/>
        <v>Second Class</v>
      </c>
      <c r="Z653">
        <v>3</v>
      </c>
      <c r="AA653">
        <v>598.54999999999995</v>
      </c>
      <c r="AB653">
        <v>0</v>
      </c>
      <c r="AC653">
        <f t="shared" si="228"/>
        <v>0</v>
      </c>
      <c r="AD653" t="str">
        <f t="shared" si="231"/>
        <v>Valid</v>
      </c>
      <c r="AE653">
        <v>1795.65</v>
      </c>
      <c r="AF653">
        <v>996.72</v>
      </c>
      <c r="AG653">
        <v>798.93</v>
      </c>
      <c r="AH653" t="s">
        <v>33</v>
      </c>
      <c r="AI653" t="str">
        <f t="shared" si="232"/>
        <v>Include</v>
      </c>
      <c r="AJ653" t="str">
        <f t="shared" si="233"/>
        <v/>
      </c>
      <c r="AK653" t="s">
        <v>34</v>
      </c>
      <c r="AL653" t="str">
        <f t="shared" si="229"/>
        <v>Completed</v>
      </c>
      <c r="AM653" t="str">
        <f t="shared" si="234"/>
        <v>Include</v>
      </c>
      <c r="AN653">
        <f t="shared" si="235"/>
        <v>1795.6499999999999</v>
      </c>
      <c r="AO653">
        <f t="shared" si="236"/>
        <v>798.92999999999984</v>
      </c>
      <c r="AP653">
        <f>IF(AN653=0,0,AO653/AN653)</f>
        <v>0.44492523598696843</v>
      </c>
      <c r="AQ653" t="str">
        <f t="shared" si="237"/>
        <v>August</v>
      </c>
      <c r="AR653">
        <f t="shared" si="238"/>
        <v>2025</v>
      </c>
      <c r="AS653" t="str">
        <f t="shared" si="239"/>
        <v>Clean</v>
      </c>
      <c r="AT653" t="str">
        <f>IF(OR(AC653&lt;0,AC653&gt;0.5),"Invalid Discount","Valid")</f>
        <v>Valid</v>
      </c>
      <c r="AU653" t="str">
        <f>IF(G653&lt;E653,"Invalid Shipping Record","Valid")</f>
        <v>Valid</v>
      </c>
      <c r="AV653" t="str">
        <f>IF(OR(AL653="Cancelled",AH653="Failed"),"Exclude","Include")</f>
        <v>Include</v>
      </c>
      <c r="AW653" t="str">
        <f t="shared" si="240"/>
        <v>Match</v>
      </c>
      <c r="AX653" t="str">
        <f t="shared" si="241"/>
        <v>Match</v>
      </c>
    </row>
    <row r="654" spans="1:50">
      <c r="A654" t="s">
        <v>3081</v>
      </c>
      <c r="B654">
        <f t="shared" si="220"/>
        <v>1</v>
      </c>
      <c r="C654" t="str">
        <f t="shared" si="230"/>
        <v/>
      </c>
      <c r="D654" s="3" t="s">
        <v>3082</v>
      </c>
      <c r="E654" s="7">
        <v>45733</v>
      </c>
      <c r="F654" s="3" t="s">
        <v>3083</v>
      </c>
      <c r="G654" s="7">
        <v>45737</v>
      </c>
      <c r="H654" s="7" t="str">
        <f t="shared" si="221"/>
        <v>Valid</v>
      </c>
      <c r="I654" s="9">
        <f t="shared" si="222"/>
        <v>4</v>
      </c>
      <c r="J654" s="9" t="str">
        <f t="shared" si="223"/>
        <v>Valid</v>
      </c>
      <c r="K654" t="s">
        <v>2566</v>
      </c>
      <c r="L654" t="s">
        <v>167</v>
      </c>
      <c r="M654" t="s">
        <v>167</v>
      </c>
      <c r="N654" t="s">
        <v>25</v>
      </c>
      <c r="O654" s="3" t="str">
        <f t="shared" si="224"/>
        <v>Consumer</v>
      </c>
      <c r="P654" t="s">
        <v>26</v>
      </c>
      <c r="Q654" s="3" t="str">
        <f t="shared" si="225"/>
        <v>North</v>
      </c>
      <c r="R654" t="s">
        <v>173</v>
      </c>
      <c r="S654" t="s">
        <v>174</v>
      </c>
      <c r="T654" t="s">
        <v>29</v>
      </c>
      <c r="U654" s="3" t="str">
        <f t="shared" si="226"/>
        <v>Office Supplies</v>
      </c>
      <c r="V654" t="s">
        <v>197</v>
      </c>
      <c r="W654" t="s">
        <v>3084</v>
      </c>
      <c r="X654" t="s">
        <v>66</v>
      </c>
      <c r="Y654" s="3" t="str">
        <f t="shared" si="227"/>
        <v>Standard Class</v>
      </c>
      <c r="Z654">
        <v>5</v>
      </c>
      <c r="AA654">
        <v>4320.59</v>
      </c>
      <c r="AB654">
        <v>0.15</v>
      </c>
      <c r="AC654">
        <f t="shared" si="228"/>
        <v>0.15</v>
      </c>
      <c r="AD654" t="str">
        <f t="shared" si="231"/>
        <v>Valid</v>
      </c>
      <c r="AE654">
        <v>18362.509999999998</v>
      </c>
      <c r="AF654">
        <v>11133.97</v>
      </c>
      <c r="AG654">
        <v>7228.54</v>
      </c>
      <c r="AH654" t="s">
        <v>33</v>
      </c>
      <c r="AI654" t="str">
        <f t="shared" si="232"/>
        <v>Include</v>
      </c>
      <c r="AJ654" t="str">
        <f t="shared" si="233"/>
        <v/>
      </c>
      <c r="AK654" t="s">
        <v>34</v>
      </c>
      <c r="AL654" t="str">
        <f t="shared" si="229"/>
        <v>Completed</v>
      </c>
      <c r="AM654" t="str">
        <f t="shared" si="234"/>
        <v>Include</v>
      </c>
      <c r="AN654">
        <f t="shared" si="235"/>
        <v>18362.5075</v>
      </c>
      <c r="AO654">
        <f t="shared" si="236"/>
        <v>7228.5375000000004</v>
      </c>
      <c r="AP654">
        <f>IF(AN654=0,0,AO654/AN654)</f>
        <v>0.39365742941153326</v>
      </c>
      <c r="AQ654" t="str">
        <f t="shared" si="237"/>
        <v>March</v>
      </c>
      <c r="AR654">
        <f t="shared" si="238"/>
        <v>2025</v>
      </c>
      <c r="AS654" t="str">
        <f t="shared" si="239"/>
        <v>Clean</v>
      </c>
      <c r="AT654" t="str">
        <f>IF(OR(AC654&lt;0,AC654&gt;0.5),"Invalid Discount","Valid")</f>
        <v>Valid</v>
      </c>
      <c r="AU654" t="str">
        <f>IF(G654&lt;E654,"Invalid Shipping Record","Valid")</f>
        <v>Valid</v>
      </c>
      <c r="AV654" t="str">
        <f>IF(OR(AL654="Cancelled",AH654="Failed"),"Exclude","Include")</f>
        <v>Include</v>
      </c>
      <c r="AW654" t="str">
        <f t="shared" si="240"/>
        <v>Match</v>
      </c>
      <c r="AX654" t="str">
        <f t="shared" si="241"/>
        <v>Match</v>
      </c>
    </row>
    <row r="655" spans="1:50">
      <c r="A655" t="s">
        <v>3085</v>
      </c>
      <c r="B655">
        <f t="shared" si="220"/>
        <v>1</v>
      </c>
      <c r="C655" t="str">
        <f t="shared" si="230"/>
        <v/>
      </c>
      <c r="D655" s="3" t="s">
        <v>3086</v>
      </c>
      <c r="E655" s="7">
        <v>45751</v>
      </c>
      <c r="F655" s="3" t="s">
        <v>3087</v>
      </c>
      <c r="G655" s="7">
        <v>45754</v>
      </c>
      <c r="H655" s="7" t="str">
        <f t="shared" si="221"/>
        <v>Valid</v>
      </c>
      <c r="I655" s="9">
        <f t="shared" si="222"/>
        <v>3</v>
      </c>
      <c r="J655" s="9" t="str">
        <f t="shared" si="223"/>
        <v>Valid</v>
      </c>
      <c r="K655" t="s">
        <v>3088</v>
      </c>
      <c r="L655" t="s">
        <v>141</v>
      </c>
      <c r="M655" t="s">
        <v>141</v>
      </c>
      <c r="N655" t="s">
        <v>40</v>
      </c>
      <c r="O655" s="3" t="str">
        <f t="shared" si="224"/>
        <v>Small Business</v>
      </c>
      <c r="P655" t="s">
        <v>61</v>
      </c>
      <c r="Q655" s="3" t="str">
        <f t="shared" si="225"/>
        <v>South</v>
      </c>
      <c r="R655" t="s">
        <v>338</v>
      </c>
      <c r="S655" t="s">
        <v>339</v>
      </c>
      <c r="T655" t="s">
        <v>85</v>
      </c>
      <c r="U655" s="3" t="str">
        <f t="shared" si="226"/>
        <v>Technology</v>
      </c>
      <c r="V655" t="s">
        <v>93</v>
      </c>
      <c r="W655" t="s">
        <v>3089</v>
      </c>
      <c r="X655" t="s">
        <v>32</v>
      </c>
      <c r="Y655" s="3" t="str">
        <f t="shared" si="227"/>
        <v>Second Class</v>
      </c>
      <c r="Z655">
        <v>7</v>
      </c>
      <c r="AA655">
        <v>4457.93</v>
      </c>
      <c r="AB655">
        <v>0.15</v>
      </c>
      <c r="AC655">
        <f t="shared" si="228"/>
        <v>0.15</v>
      </c>
      <c r="AD655" t="str">
        <f t="shared" si="231"/>
        <v>Valid</v>
      </c>
      <c r="AE655">
        <v>26524.68</v>
      </c>
      <c r="AF655">
        <v>20574.3</v>
      </c>
      <c r="AG655">
        <v>5950.38</v>
      </c>
      <c r="AH655" t="s">
        <v>33</v>
      </c>
      <c r="AI655" t="str">
        <f t="shared" si="232"/>
        <v>Include</v>
      </c>
      <c r="AJ655" t="str">
        <f t="shared" si="233"/>
        <v/>
      </c>
      <c r="AK655" t="s">
        <v>34</v>
      </c>
      <c r="AL655" t="str">
        <f t="shared" si="229"/>
        <v>Completed</v>
      </c>
      <c r="AM655" t="str">
        <f t="shared" si="234"/>
        <v>Include</v>
      </c>
      <c r="AN655">
        <f t="shared" si="235"/>
        <v>26524.683500000003</v>
      </c>
      <c r="AO655">
        <f t="shared" si="236"/>
        <v>5950.3835000000036</v>
      </c>
      <c r="AP655">
        <f>IF(AN655=0,0,AO655/AN655)</f>
        <v>0.22433381721595294</v>
      </c>
      <c r="AQ655" t="str">
        <f t="shared" si="237"/>
        <v>April</v>
      </c>
      <c r="AR655">
        <f t="shared" si="238"/>
        <v>2025</v>
      </c>
      <c r="AS655" t="str">
        <f t="shared" si="239"/>
        <v>Clean</v>
      </c>
      <c r="AT655" t="str">
        <f>IF(OR(AC655&lt;0,AC655&gt;0.5),"Invalid Discount","Valid")</f>
        <v>Valid</v>
      </c>
      <c r="AU655" t="str">
        <f>IF(G655&lt;E655,"Invalid Shipping Record","Valid")</f>
        <v>Valid</v>
      </c>
      <c r="AV655" t="str">
        <f>IF(OR(AL655="Cancelled",AH655="Failed"),"Exclude","Include")</f>
        <v>Include</v>
      </c>
      <c r="AW655" t="str">
        <f t="shared" si="240"/>
        <v>Match</v>
      </c>
      <c r="AX655" t="str">
        <f t="shared" si="241"/>
        <v>Match</v>
      </c>
    </row>
    <row r="656" spans="1:50">
      <c r="A656" t="s">
        <v>3090</v>
      </c>
      <c r="B656">
        <f t="shared" si="220"/>
        <v>1</v>
      </c>
      <c r="C656" t="str">
        <f t="shared" si="230"/>
        <v/>
      </c>
      <c r="D656" s="3" t="s">
        <v>3091</v>
      </c>
      <c r="E656" s="7">
        <v>45942</v>
      </c>
      <c r="F656" s="3" t="s">
        <v>139</v>
      </c>
      <c r="G656" s="7">
        <v>45946</v>
      </c>
      <c r="H656" s="7" t="str">
        <f t="shared" si="221"/>
        <v>Valid</v>
      </c>
      <c r="I656" s="9">
        <f t="shared" si="222"/>
        <v>4</v>
      </c>
      <c r="J656" s="9" t="str">
        <f t="shared" si="223"/>
        <v>Valid</v>
      </c>
      <c r="K656" t="s">
        <v>1415</v>
      </c>
      <c r="L656" t="s">
        <v>209</v>
      </c>
      <c r="M656" t="s">
        <v>209</v>
      </c>
      <c r="N656" t="s">
        <v>107</v>
      </c>
      <c r="O656" s="3" t="str">
        <f t="shared" si="224"/>
        <v>Corporate</v>
      </c>
      <c r="P656" t="s">
        <v>41</v>
      </c>
      <c r="Q656" s="3" t="str">
        <f t="shared" si="225"/>
        <v>East</v>
      </c>
      <c r="R656" t="s">
        <v>185</v>
      </c>
      <c r="S656" t="s">
        <v>186</v>
      </c>
      <c r="T656" t="s">
        <v>85</v>
      </c>
      <c r="U656" s="3" t="str">
        <f t="shared" si="226"/>
        <v>Technology</v>
      </c>
      <c r="V656" t="s">
        <v>381</v>
      </c>
      <c r="W656" t="s">
        <v>3092</v>
      </c>
      <c r="X656" t="s">
        <v>47</v>
      </c>
      <c r="Y656" s="3" t="str">
        <f t="shared" si="227"/>
        <v>Same Day</v>
      </c>
      <c r="Z656">
        <v>1</v>
      </c>
      <c r="AA656">
        <v>2570.06</v>
      </c>
      <c r="AB656">
        <v>0.2</v>
      </c>
      <c r="AC656">
        <f t="shared" si="228"/>
        <v>0.2</v>
      </c>
      <c r="AD656" t="str">
        <f t="shared" si="231"/>
        <v>Valid</v>
      </c>
      <c r="AE656">
        <v>2056.0500000000002</v>
      </c>
      <c r="AF656">
        <v>1662.39</v>
      </c>
      <c r="AG656">
        <v>393.66</v>
      </c>
      <c r="AH656" t="s">
        <v>33</v>
      </c>
      <c r="AI656" t="str">
        <f t="shared" si="232"/>
        <v>Include</v>
      </c>
      <c r="AJ656" t="str">
        <f t="shared" si="233"/>
        <v/>
      </c>
      <c r="AK656" t="s">
        <v>34</v>
      </c>
      <c r="AL656" t="str">
        <f t="shared" si="229"/>
        <v>Completed</v>
      </c>
      <c r="AM656" t="str">
        <f t="shared" si="234"/>
        <v>Include</v>
      </c>
      <c r="AN656">
        <f t="shared" si="235"/>
        <v>2056.0480000000002</v>
      </c>
      <c r="AO656">
        <f t="shared" si="236"/>
        <v>393.65800000000013</v>
      </c>
      <c r="AP656">
        <f>IF(AN656=0,0,AO656/AN656)</f>
        <v>0.19146342886936496</v>
      </c>
      <c r="AQ656" t="str">
        <f t="shared" si="237"/>
        <v>October</v>
      </c>
      <c r="AR656">
        <f t="shared" si="238"/>
        <v>2025</v>
      </c>
      <c r="AS656" t="str">
        <f t="shared" si="239"/>
        <v>Clean</v>
      </c>
      <c r="AT656" t="str">
        <f>IF(OR(AC656&lt;0,AC656&gt;0.5),"Invalid Discount","Valid")</f>
        <v>Valid</v>
      </c>
      <c r="AU656" t="str">
        <f>IF(G656&lt;E656,"Invalid Shipping Record","Valid")</f>
        <v>Valid</v>
      </c>
      <c r="AV656" t="str">
        <f>IF(OR(AL656="Cancelled",AH656="Failed"),"Exclude","Include")</f>
        <v>Include</v>
      </c>
      <c r="AW656" t="str">
        <f t="shared" si="240"/>
        <v>Match</v>
      </c>
      <c r="AX656" t="str">
        <f t="shared" si="241"/>
        <v>Match</v>
      </c>
    </row>
    <row r="657" spans="1:50">
      <c r="A657" t="s">
        <v>3093</v>
      </c>
      <c r="B657">
        <f t="shared" si="220"/>
        <v>1</v>
      </c>
      <c r="C657" t="str">
        <f t="shared" si="230"/>
        <v/>
      </c>
      <c r="D657" s="3" t="s">
        <v>698</v>
      </c>
      <c r="E657" s="7">
        <v>45895</v>
      </c>
      <c r="F657" s="3" t="s">
        <v>698</v>
      </c>
      <c r="G657" s="7">
        <v>45895</v>
      </c>
      <c r="H657" s="7" t="str">
        <f t="shared" si="221"/>
        <v>Valid</v>
      </c>
      <c r="I657" s="9">
        <f t="shared" si="222"/>
        <v>0</v>
      </c>
      <c r="J657" s="9" t="str">
        <f t="shared" si="223"/>
        <v>Valid</v>
      </c>
      <c r="K657" t="s">
        <v>3094</v>
      </c>
      <c r="L657" t="s">
        <v>92</v>
      </c>
      <c r="M657" t="s">
        <v>92</v>
      </c>
      <c r="N657" t="s">
        <v>114</v>
      </c>
      <c r="O657" s="3" t="str">
        <f t="shared" si="224"/>
        <v>Home Office</v>
      </c>
      <c r="P657" t="s">
        <v>41</v>
      </c>
      <c r="Q657" s="3" t="str">
        <f t="shared" si="225"/>
        <v>East</v>
      </c>
      <c r="R657" t="s">
        <v>120</v>
      </c>
      <c r="S657" t="s">
        <v>121</v>
      </c>
      <c r="T657" t="s">
        <v>44</v>
      </c>
      <c r="U657" s="3" t="str">
        <f t="shared" si="226"/>
        <v>Furniture</v>
      </c>
      <c r="V657" t="s">
        <v>64</v>
      </c>
      <c r="W657" t="s">
        <v>3095</v>
      </c>
      <c r="X657" t="s">
        <v>66</v>
      </c>
      <c r="Y657" s="3" t="str">
        <f t="shared" si="227"/>
        <v>Standard Class</v>
      </c>
      <c r="Z657">
        <v>4</v>
      </c>
      <c r="AA657">
        <v>2151.8200000000002</v>
      </c>
      <c r="AB657">
        <v>0</v>
      </c>
      <c r="AC657">
        <f t="shared" si="228"/>
        <v>0</v>
      </c>
      <c r="AD657" t="str">
        <f t="shared" si="231"/>
        <v>Valid</v>
      </c>
      <c r="AE657">
        <v>8607.2800000000007</v>
      </c>
      <c r="AF657">
        <v>5124.01</v>
      </c>
      <c r="AG657">
        <v>3483.27</v>
      </c>
      <c r="AH657" t="s">
        <v>33</v>
      </c>
      <c r="AI657" t="str">
        <f t="shared" si="232"/>
        <v>Include</v>
      </c>
      <c r="AJ657" t="str">
        <f t="shared" si="233"/>
        <v/>
      </c>
      <c r="AK657" t="s">
        <v>34</v>
      </c>
      <c r="AL657" t="str">
        <f t="shared" si="229"/>
        <v>Completed</v>
      </c>
      <c r="AM657" t="str">
        <f t="shared" si="234"/>
        <v>Include</v>
      </c>
      <c r="AN657">
        <f t="shared" si="235"/>
        <v>8607.2800000000007</v>
      </c>
      <c r="AO657">
        <f t="shared" si="236"/>
        <v>3483.2700000000004</v>
      </c>
      <c r="AP657">
        <f>IF(AN657=0,0,AO657/AN657)</f>
        <v>0.40468882155570635</v>
      </c>
      <c r="AQ657" t="str">
        <f t="shared" si="237"/>
        <v>August</v>
      </c>
      <c r="AR657">
        <f t="shared" si="238"/>
        <v>2025</v>
      </c>
      <c r="AS657" t="str">
        <f t="shared" si="239"/>
        <v>Clean</v>
      </c>
      <c r="AT657" t="str">
        <f>IF(OR(AC657&lt;0,AC657&gt;0.5),"Invalid Discount","Valid")</f>
        <v>Valid</v>
      </c>
      <c r="AU657" t="str">
        <f>IF(G657&lt;E657,"Invalid Shipping Record","Valid")</f>
        <v>Valid</v>
      </c>
      <c r="AV657" t="str">
        <f>IF(OR(AL657="Cancelled",AH657="Failed"),"Exclude","Include")</f>
        <v>Include</v>
      </c>
      <c r="AW657" t="str">
        <f t="shared" si="240"/>
        <v>Match</v>
      </c>
      <c r="AX657" t="str">
        <f t="shared" si="241"/>
        <v>Match</v>
      </c>
    </row>
    <row r="658" spans="1:50">
      <c r="A658" t="s">
        <v>3096</v>
      </c>
      <c r="B658">
        <f t="shared" si="220"/>
        <v>1</v>
      </c>
      <c r="C658" t="str">
        <f t="shared" si="230"/>
        <v/>
      </c>
      <c r="D658" s="3" t="s">
        <v>3097</v>
      </c>
      <c r="E658" s="7">
        <v>45419</v>
      </c>
      <c r="F658" s="3" t="s">
        <v>2328</v>
      </c>
      <c r="G658" s="7">
        <v>45426</v>
      </c>
      <c r="H658" s="7" t="str">
        <f t="shared" si="221"/>
        <v>Valid</v>
      </c>
      <c r="I658" s="9">
        <f t="shared" si="222"/>
        <v>7</v>
      </c>
      <c r="J658" s="9" t="str">
        <f t="shared" si="223"/>
        <v>Valid</v>
      </c>
      <c r="K658" t="s">
        <v>3098</v>
      </c>
      <c r="L658" t="s">
        <v>92</v>
      </c>
      <c r="M658" t="s">
        <v>92</v>
      </c>
      <c r="N658" t="s">
        <v>40</v>
      </c>
      <c r="O658" s="3" t="str">
        <f t="shared" si="224"/>
        <v>Small Business</v>
      </c>
      <c r="P658" t="s">
        <v>26</v>
      </c>
      <c r="Q658" s="3" t="str">
        <f t="shared" si="225"/>
        <v>North</v>
      </c>
      <c r="R658" t="s">
        <v>322</v>
      </c>
      <c r="S658" t="s">
        <v>323</v>
      </c>
      <c r="T658" t="s">
        <v>85</v>
      </c>
      <c r="U658" s="3" t="str">
        <f t="shared" si="226"/>
        <v>Technology</v>
      </c>
      <c r="V658" t="s">
        <v>381</v>
      </c>
      <c r="W658" t="s">
        <v>3099</v>
      </c>
      <c r="X658" t="s">
        <v>47</v>
      </c>
      <c r="Y658" s="3" t="str">
        <f t="shared" si="227"/>
        <v>Same Day</v>
      </c>
      <c r="Z658">
        <v>4</v>
      </c>
      <c r="AA658">
        <v>2751.1</v>
      </c>
      <c r="AB658">
        <v>-0.05</v>
      </c>
      <c r="AC658">
        <f t="shared" si="228"/>
        <v>-0.05</v>
      </c>
      <c r="AD658" t="str">
        <f t="shared" si="231"/>
        <v>Invalid Discount</v>
      </c>
      <c r="AE658">
        <v>9903.9599999999991</v>
      </c>
      <c r="AF658">
        <v>7696.28</v>
      </c>
      <c r="AG658">
        <v>2207.6799999999998</v>
      </c>
      <c r="AH658" t="s">
        <v>33</v>
      </c>
      <c r="AI658" t="str">
        <f t="shared" si="232"/>
        <v>Include</v>
      </c>
      <c r="AJ658" t="str">
        <f t="shared" si="233"/>
        <v/>
      </c>
      <c r="AK658" t="s">
        <v>34</v>
      </c>
      <c r="AL658" t="str">
        <f t="shared" si="229"/>
        <v>Completed</v>
      </c>
      <c r="AM658" t="str">
        <f t="shared" si="234"/>
        <v>Include</v>
      </c>
      <c r="AN658">
        <f t="shared" si="235"/>
        <v>11554.62</v>
      </c>
      <c r="AO658">
        <f t="shared" si="236"/>
        <v>3858.3400000000011</v>
      </c>
      <c r="AP658">
        <f>IF(AN658=0,0,AO658/AN658)</f>
        <v>0.33392184251840396</v>
      </c>
      <c r="AQ658" t="str">
        <f t="shared" si="237"/>
        <v>May</v>
      </c>
      <c r="AR658">
        <f t="shared" si="238"/>
        <v>2024</v>
      </c>
      <c r="AS658" t="str">
        <f t="shared" si="239"/>
        <v>Invalid</v>
      </c>
      <c r="AT658" t="str">
        <f>IF(OR(AC658&lt;0,AC658&gt;0.5),"Invalid Discount","Valid")</f>
        <v>Invalid Discount</v>
      </c>
      <c r="AU658" t="str">
        <f>IF(G658&lt;E658,"Invalid Shipping Record","Valid")</f>
        <v>Valid</v>
      </c>
      <c r="AV658" t="str">
        <f>IF(OR(AL658="Cancelled",AH658="Failed"),"Exclude","Include")</f>
        <v>Include</v>
      </c>
      <c r="AW658" t="str">
        <f t="shared" si="240"/>
        <v>Mismatch</v>
      </c>
      <c r="AX658" t="str">
        <f t="shared" si="241"/>
        <v>Mismatch</v>
      </c>
    </row>
    <row r="659" spans="1:50">
      <c r="A659" t="s">
        <v>3100</v>
      </c>
      <c r="B659">
        <f t="shared" si="220"/>
        <v>1</v>
      </c>
      <c r="C659" t="str">
        <f t="shared" si="230"/>
        <v/>
      </c>
      <c r="D659" s="3" t="s">
        <v>3101</v>
      </c>
      <c r="E659" s="7">
        <v>45876</v>
      </c>
      <c r="F659" s="3" t="s">
        <v>3102</v>
      </c>
      <c r="G659" s="7">
        <v>45879</v>
      </c>
      <c r="H659" s="7" t="str">
        <f t="shared" si="221"/>
        <v>Valid</v>
      </c>
      <c r="I659" s="9">
        <f t="shared" si="222"/>
        <v>3</v>
      </c>
      <c r="J659" s="9" t="str">
        <f t="shared" si="223"/>
        <v>Valid</v>
      </c>
      <c r="K659" t="s">
        <v>3103</v>
      </c>
      <c r="L659" t="s">
        <v>106</v>
      </c>
      <c r="M659" t="s">
        <v>106</v>
      </c>
      <c r="N659" t="s">
        <v>114</v>
      </c>
      <c r="O659" s="3" t="str">
        <f t="shared" si="224"/>
        <v>Home Office</v>
      </c>
      <c r="P659" t="s">
        <v>41</v>
      </c>
      <c r="Q659" s="3" t="str">
        <f t="shared" si="225"/>
        <v>East</v>
      </c>
      <c r="R659" t="s">
        <v>185</v>
      </c>
      <c r="S659" t="s">
        <v>186</v>
      </c>
      <c r="T659" t="s">
        <v>29</v>
      </c>
      <c r="U659" s="3" t="str">
        <f t="shared" si="226"/>
        <v>Office Supplies</v>
      </c>
      <c r="V659" t="s">
        <v>155</v>
      </c>
      <c r="W659" t="s">
        <v>3104</v>
      </c>
      <c r="X659" t="s">
        <v>32</v>
      </c>
      <c r="Y659" s="3" t="str">
        <f t="shared" si="227"/>
        <v>Second Class</v>
      </c>
      <c r="Z659">
        <v>1</v>
      </c>
      <c r="AA659">
        <v>2541.25</v>
      </c>
      <c r="AB659">
        <v>0.2</v>
      </c>
      <c r="AC659">
        <f t="shared" si="228"/>
        <v>0.2</v>
      </c>
      <c r="AD659" t="str">
        <f t="shared" si="231"/>
        <v>Valid</v>
      </c>
      <c r="AE659">
        <v>2033</v>
      </c>
      <c r="AF659">
        <v>1291.4100000000001</v>
      </c>
      <c r="AG659">
        <v>741.59</v>
      </c>
      <c r="AH659" t="s">
        <v>33</v>
      </c>
      <c r="AI659" t="str">
        <f t="shared" si="232"/>
        <v>Include</v>
      </c>
      <c r="AJ659" t="str">
        <f t="shared" si="233"/>
        <v/>
      </c>
      <c r="AK659" t="s">
        <v>34</v>
      </c>
      <c r="AL659" t="str">
        <f t="shared" si="229"/>
        <v>Completed</v>
      </c>
      <c r="AM659" t="str">
        <f t="shared" si="234"/>
        <v>Include</v>
      </c>
      <c r="AN659">
        <f t="shared" si="235"/>
        <v>2033</v>
      </c>
      <c r="AO659">
        <f t="shared" si="236"/>
        <v>741.58999999999992</v>
      </c>
      <c r="AP659">
        <f>IF(AN659=0,0,AO659/AN659)</f>
        <v>0.36477619281849477</v>
      </c>
      <c r="AQ659" t="str">
        <f t="shared" si="237"/>
        <v>August</v>
      </c>
      <c r="AR659">
        <f t="shared" si="238"/>
        <v>2025</v>
      </c>
      <c r="AS659" t="str">
        <f t="shared" si="239"/>
        <v>Clean</v>
      </c>
      <c r="AT659" t="str">
        <f>IF(OR(AC659&lt;0,AC659&gt;0.5),"Invalid Discount","Valid")</f>
        <v>Valid</v>
      </c>
      <c r="AU659" t="str">
        <f>IF(G659&lt;E659,"Invalid Shipping Record","Valid")</f>
        <v>Valid</v>
      </c>
      <c r="AV659" t="str">
        <f>IF(OR(AL659="Cancelled",AH659="Failed"),"Exclude","Include")</f>
        <v>Include</v>
      </c>
      <c r="AW659" t="str">
        <f t="shared" si="240"/>
        <v>Match</v>
      </c>
      <c r="AX659" t="str">
        <f t="shared" si="241"/>
        <v>Match</v>
      </c>
    </row>
    <row r="660" spans="1:50">
      <c r="A660" t="s">
        <v>3105</v>
      </c>
      <c r="B660">
        <f t="shared" si="220"/>
        <v>1</v>
      </c>
      <c r="C660" t="str">
        <f t="shared" si="230"/>
        <v/>
      </c>
      <c r="D660" s="3" t="s">
        <v>3106</v>
      </c>
      <c r="E660" s="7">
        <v>45817</v>
      </c>
      <c r="F660" s="3" t="s">
        <v>2212</v>
      </c>
      <c r="G660" s="7">
        <v>45820</v>
      </c>
      <c r="H660" s="7" t="str">
        <f t="shared" si="221"/>
        <v>Valid</v>
      </c>
      <c r="I660" s="9">
        <f t="shared" si="222"/>
        <v>3</v>
      </c>
      <c r="J660" s="9" t="str">
        <f t="shared" si="223"/>
        <v>Valid</v>
      </c>
      <c r="K660" t="s">
        <v>3107</v>
      </c>
      <c r="L660" t="s">
        <v>167</v>
      </c>
      <c r="M660" t="s">
        <v>167</v>
      </c>
      <c r="N660" t="s">
        <v>25</v>
      </c>
      <c r="O660" s="3" t="str">
        <f t="shared" si="224"/>
        <v>Consumer</v>
      </c>
      <c r="Q660" s="3" t="str">
        <f t="shared" si="225"/>
        <v>Unknown</v>
      </c>
      <c r="R660" t="s">
        <v>185</v>
      </c>
      <c r="S660" t="s">
        <v>186</v>
      </c>
      <c r="T660" t="s">
        <v>29</v>
      </c>
      <c r="U660" s="3" t="str">
        <f t="shared" si="226"/>
        <v>Office Supplies</v>
      </c>
      <c r="V660" t="s">
        <v>53</v>
      </c>
      <c r="W660" t="s">
        <v>3108</v>
      </c>
      <c r="X660" t="s">
        <v>55</v>
      </c>
      <c r="Y660" s="3" t="str">
        <f t="shared" si="227"/>
        <v>First Class</v>
      </c>
      <c r="Z660">
        <v>7</v>
      </c>
      <c r="AA660">
        <v>2852.42</v>
      </c>
      <c r="AB660">
        <v>0</v>
      </c>
      <c r="AC660">
        <f t="shared" si="228"/>
        <v>0</v>
      </c>
      <c r="AD660" t="str">
        <f t="shared" si="231"/>
        <v>Valid</v>
      </c>
      <c r="AE660">
        <v>19966.939999999999</v>
      </c>
      <c r="AF660">
        <v>12690.83</v>
      </c>
      <c r="AG660">
        <v>7276.11</v>
      </c>
      <c r="AH660" t="s">
        <v>123</v>
      </c>
      <c r="AI660" t="str">
        <f t="shared" si="232"/>
        <v>Exclude</v>
      </c>
      <c r="AJ660" t="str">
        <f t="shared" si="233"/>
        <v>Refunded Order</v>
      </c>
      <c r="AK660" t="s">
        <v>77</v>
      </c>
      <c r="AL660" t="str">
        <f t="shared" si="229"/>
        <v>Cancelled</v>
      </c>
      <c r="AM660" t="str">
        <f t="shared" si="234"/>
        <v>Exclude</v>
      </c>
      <c r="AN660">
        <f t="shared" si="235"/>
        <v>19966.940000000002</v>
      </c>
      <c r="AO660">
        <f t="shared" si="236"/>
        <v>7276.1100000000024</v>
      </c>
      <c r="AP660">
        <f>IF(AN660=0,0,AO660/AN660)</f>
        <v>0.36440786620283339</v>
      </c>
      <c r="AQ660" t="str">
        <f t="shared" si="237"/>
        <v>June</v>
      </c>
      <c r="AR660">
        <f t="shared" si="238"/>
        <v>2025</v>
      </c>
      <c r="AS660" t="str">
        <f t="shared" si="239"/>
        <v>Warning</v>
      </c>
      <c r="AT660" t="str">
        <f>IF(OR(AC660&lt;0,AC660&gt;0.5),"Invalid Discount","Valid")</f>
        <v>Valid</v>
      </c>
      <c r="AU660" t="str">
        <f>IF(G660&lt;E660,"Invalid Shipping Record","Valid")</f>
        <v>Valid</v>
      </c>
      <c r="AV660" t="str">
        <f>IF(OR(AL660="Cancelled",AH660="Failed"),"Exclude","Include")</f>
        <v>Exclude</v>
      </c>
      <c r="AW660" t="str">
        <f t="shared" si="240"/>
        <v>Match</v>
      </c>
      <c r="AX660" t="str">
        <f t="shared" si="241"/>
        <v>Match</v>
      </c>
    </row>
    <row r="661" spans="1:50">
      <c r="A661" t="s">
        <v>3109</v>
      </c>
      <c r="B661">
        <f t="shared" si="220"/>
        <v>1</v>
      </c>
      <c r="C661" t="str">
        <f t="shared" si="230"/>
        <v/>
      </c>
      <c r="D661" s="3" t="s">
        <v>182</v>
      </c>
      <c r="E661" s="7">
        <v>45678</v>
      </c>
      <c r="F661" s="3" t="s">
        <v>1836</v>
      </c>
      <c r="G661" s="7">
        <v>45679</v>
      </c>
      <c r="H661" s="7" t="str">
        <f t="shared" si="221"/>
        <v>Valid</v>
      </c>
      <c r="I661" s="9">
        <f t="shared" si="222"/>
        <v>1</v>
      </c>
      <c r="J661" s="9" t="str">
        <f t="shared" si="223"/>
        <v>Valid</v>
      </c>
      <c r="K661" t="s">
        <v>3110</v>
      </c>
      <c r="L661" t="s">
        <v>209</v>
      </c>
      <c r="M661" t="s">
        <v>209</v>
      </c>
      <c r="N661" t="s">
        <v>107</v>
      </c>
      <c r="O661" s="3" t="str">
        <f t="shared" si="224"/>
        <v>Corporate</v>
      </c>
      <c r="P661" t="s">
        <v>61</v>
      </c>
      <c r="Q661" s="3" t="str">
        <f t="shared" si="225"/>
        <v>South</v>
      </c>
      <c r="R661" t="s">
        <v>228</v>
      </c>
      <c r="S661" t="s">
        <v>229</v>
      </c>
      <c r="T661" t="s">
        <v>85</v>
      </c>
      <c r="U661" s="3" t="str">
        <f t="shared" si="226"/>
        <v>Technology</v>
      </c>
      <c r="V661" t="s">
        <v>222</v>
      </c>
      <c r="W661" t="s">
        <v>3111</v>
      </c>
      <c r="X661" t="s">
        <v>32</v>
      </c>
      <c r="Y661" s="3" t="str">
        <f t="shared" si="227"/>
        <v>Second Class</v>
      </c>
      <c r="Z661">
        <v>2</v>
      </c>
      <c r="AA661">
        <v>444.31</v>
      </c>
      <c r="AB661">
        <v>0.2</v>
      </c>
      <c r="AC661">
        <f t="shared" si="228"/>
        <v>0.2</v>
      </c>
      <c r="AD661" t="str">
        <f t="shared" si="231"/>
        <v>Valid</v>
      </c>
      <c r="AE661">
        <v>710.9</v>
      </c>
      <c r="AF661">
        <v>513.88</v>
      </c>
      <c r="AG661">
        <v>197.02</v>
      </c>
      <c r="AH661" t="s">
        <v>123</v>
      </c>
      <c r="AI661" t="str">
        <f t="shared" si="232"/>
        <v>Exclude</v>
      </c>
      <c r="AJ661" t="str">
        <f t="shared" si="233"/>
        <v>Refunded Order</v>
      </c>
      <c r="AK661" t="s">
        <v>77</v>
      </c>
      <c r="AL661" t="str">
        <f t="shared" si="229"/>
        <v>Cancelled</v>
      </c>
      <c r="AM661" t="str">
        <f t="shared" si="234"/>
        <v>Exclude</v>
      </c>
      <c r="AN661">
        <f t="shared" si="235"/>
        <v>710.89600000000007</v>
      </c>
      <c r="AO661">
        <f t="shared" si="236"/>
        <v>197.01600000000008</v>
      </c>
      <c r="AP661">
        <f>IF(AN661=0,0,AO661/AN661)</f>
        <v>0.27713758411919615</v>
      </c>
      <c r="AQ661" t="str">
        <f t="shared" si="237"/>
        <v>January</v>
      </c>
      <c r="AR661">
        <f t="shared" si="238"/>
        <v>2025</v>
      </c>
      <c r="AS661" t="str">
        <f t="shared" si="239"/>
        <v>Clean</v>
      </c>
      <c r="AT661" t="str">
        <f>IF(OR(AC661&lt;0,AC661&gt;0.5),"Invalid Discount","Valid")</f>
        <v>Valid</v>
      </c>
      <c r="AU661" t="str">
        <f>IF(G661&lt;E661,"Invalid Shipping Record","Valid")</f>
        <v>Valid</v>
      </c>
      <c r="AV661" t="str">
        <f>IF(OR(AL661="Cancelled",AH661="Failed"),"Exclude","Include")</f>
        <v>Exclude</v>
      </c>
      <c r="AW661" t="str">
        <f t="shared" si="240"/>
        <v>Match</v>
      </c>
      <c r="AX661" t="str">
        <f t="shared" si="241"/>
        <v>Match</v>
      </c>
    </row>
    <row r="662" spans="1:50">
      <c r="A662" t="s">
        <v>3112</v>
      </c>
      <c r="B662">
        <f t="shared" si="220"/>
        <v>1</v>
      </c>
      <c r="C662" t="str">
        <f t="shared" si="230"/>
        <v/>
      </c>
      <c r="D662" s="3" t="s">
        <v>170</v>
      </c>
      <c r="E662" s="7">
        <v>45853</v>
      </c>
      <c r="F662" s="3" t="s">
        <v>3113</v>
      </c>
      <c r="G662" s="7">
        <v>45853</v>
      </c>
      <c r="H662" s="7" t="str">
        <f t="shared" si="221"/>
        <v>Valid</v>
      </c>
      <c r="I662" s="9">
        <f t="shared" si="222"/>
        <v>0</v>
      </c>
      <c r="J662" s="9" t="str">
        <f t="shared" si="223"/>
        <v>Valid</v>
      </c>
      <c r="K662" t="s">
        <v>3114</v>
      </c>
      <c r="L662" t="s">
        <v>60</v>
      </c>
      <c r="M662" t="s">
        <v>60</v>
      </c>
      <c r="N662" t="s">
        <v>40</v>
      </c>
      <c r="O662" s="3" t="str">
        <f t="shared" si="224"/>
        <v>Small Business</v>
      </c>
      <c r="P662" t="s">
        <v>41</v>
      </c>
      <c r="Q662" s="3" t="str">
        <f t="shared" si="225"/>
        <v>East</v>
      </c>
      <c r="R662" t="s">
        <v>310</v>
      </c>
      <c r="S662" t="s">
        <v>311</v>
      </c>
      <c r="T662" t="s">
        <v>85</v>
      </c>
      <c r="U662" s="3" t="str">
        <f t="shared" si="226"/>
        <v>Technology</v>
      </c>
      <c r="V662" t="s">
        <v>222</v>
      </c>
      <c r="W662" t="s">
        <v>3115</v>
      </c>
      <c r="X662" t="s">
        <v>47</v>
      </c>
      <c r="Y662" s="3" t="str">
        <f t="shared" si="227"/>
        <v>Same Day</v>
      </c>
      <c r="Z662">
        <v>4</v>
      </c>
      <c r="AA662">
        <v>4442.91</v>
      </c>
      <c r="AB662">
        <v>0.1</v>
      </c>
      <c r="AC662">
        <f t="shared" si="228"/>
        <v>0.1</v>
      </c>
      <c r="AD662" t="str">
        <f t="shared" si="231"/>
        <v>Valid</v>
      </c>
      <c r="AE662">
        <v>15994.48</v>
      </c>
      <c r="AF662">
        <v>9224.2800000000007</v>
      </c>
      <c r="AG662">
        <v>6770.2</v>
      </c>
      <c r="AH662" t="s">
        <v>33</v>
      </c>
      <c r="AI662" t="str">
        <f t="shared" si="232"/>
        <v>Include</v>
      </c>
      <c r="AJ662" t="str">
        <f t="shared" si="233"/>
        <v/>
      </c>
      <c r="AK662" t="s">
        <v>34</v>
      </c>
      <c r="AL662" t="str">
        <f t="shared" si="229"/>
        <v>Completed</v>
      </c>
      <c r="AM662" t="str">
        <f t="shared" si="234"/>
        <v>Include</v>
      </c>
      <c r="AN662">
        <f t="shared" si="235"/>
        <v>15994.476000000001</v>
      </c>
      <c r="AO662">
        <f t="shared" si="236"/>
        <v>6770.1959999999999</v>
      </c>
      <c r="AP662">
        <f>IF(AN662=0,0,AO662/AN662)</f>
        <v>0.42328338858991066</v>
      </c>
      <c r="AQ662" t="str">
        <f t="shared" si="237"/>
        <v>July</v>
      </c>
      <c r="AR662">
        <f t="shared" si="238"/>
        <v>2025</v>
      </c>
      <c r="AS662" t="str">
        <f t="shared" si="239"/>
        <v>Clean</v>
      </c>
      <c r="AT662" t="str">
        <f>IF(OR(AC662&lt;0,AC662&gt;0.5),"Invalid Discount","Valid")</f>
        <v>Valid</v>
      </c>
      <c r="AU662" t="str">
        <f>IF(G662&lt;E662,"Invalid Shipping Record","Valid")</f>
        <v>Valid</v>
      </c>
      <c r="AV662" t="str">
        <f>IF(OR(AL662="Cancelled",AH662="Failed"),"Exclude","Include")</f>
        <v>Include</v>
      </c>
      <c r="AW662" t="str">
        <f t="shared" si="240"/>
        <v>Match</v>
      </c>
      <c r="AX662" t="str">
        <f t="shared" si="241"/>
        <v>Match</v>
      </c>
    </row>
    <row r="663" spans="1:50">
      <c r="A663" t="s">
        <v>3116</v>
      </c>
      <c r="B663">
        <f t="shared" si="220"/>
        <v>1</v>
      </c>
      <c r="C663" t="str">
        <f t="shared" si="230"/>
        <v/>
      </c>
      <c r="D663" s="3" t="s">
        <v>3117</v>
      </c>
      <c r="E663" s="7">
        <v>45429</v>
      </c>
      <c r="F663" s="3" t="s">
        <v>3118</v>
      </c>
      <c r="G663" s="7">
        <v>45434</v>
      </c>
      <c r="H663" s="7" t="str">
        <f t="shared" si="221"/>
        <v>Valid</v>
      </c>
      <c r="I663" s="9">
        <f t="shared" si="222"/>
        <v>5</v>
      </c>
      <c r="J663" s="9" t="str">
        <f t="shared" si="223"/>
        <v>Valid</v>
      </c>
      <c r="K663" t="s">
        <v>3119</v>
      </c>
      <c r="L663" t="s">
        <v>167</v>
      </c>
      <c r="M663" t="s">
        <v>167</v>
      </c>
      <c r="N663" t="s">
        <v>25</v>
      </c>
      <c r="O663" s="3" t="str">
        <f t="shared" si="224"/>
        <v>Consumer</v>
      </c>
      <c r="P663" t="s">
        <v>61</v>
      </c>
      <c r="Q663" s="3" t="str">
        <f t="shared" si="225"/>
        <v>South</v>
      </c>
      <c r="R663" t="s">
        <v>99</v>
      </c>
      <c r="S663" t="s">
        <v>100</v>
      </c>
      <c r="T663" t="s">
        <v>85</v>
      </c>
      <c r="U663" s="3" t="str">
        <f t="shared" si="226"/>
        <v>Technology</v>
      </c>
      <c r="V663" t="s">
        <v>381</v>
      </c>
      <c r="W663" t="s">
        <v>3120</v>
      </c>
      <c r="X663" t="s">
        <v>32</v>
      </c>
      <c r="Y663" s="3" t="str">
        <f t="shared" si="227"/>
        <v>Second Class</v>
      </c>
      <c r="Z663">
        <v>7</v>
      </c>
      <c r="AA663">
        <v>232.5</v>
      </c>
      <c r="AB663">
        <v>0</v>
      </c>
      <c r="AC663">
        <f t="shared" si="228"/>
        <v>0</v>
      </c>
      <c r="AD663" t="str">
        <f t="shared" si="231"/>
        <v>Valid</v>
      </c>
      <c r="AE663">
        <v>1627.5</v>
      </c>
      <c r="AF663">
        <v>939.9</v>
      </c>
      <c r="AG663">
        <v>687.6</v>
      </c>
      <c r="AH663" t="s">
        <v>33</v>
      </c>
      <c r="AI663" t="str">
        <f t="shared" si="232"/>
        <v>Include</v>
      </c>
      <c r="AJ663" t="str">
        <f t="shared" si="233"/>
        <v/>
      </c>
      <c r="AK663" t="s">
        <v>34</v>
      </c>
      <c r="AL663" t="str">
        <f t="shared" si="229"/>
        <v>Completed</v>
      </c>
      <c r="AM663" t="str">
        <f t="shared" si="234"/>
        <v>Include</v>
      </c>
      <c r="AN663">
        <f t="shared" si="235"/>
        <v>1627.5</v>
      </c>
      <c r="AO663">
        <f t="shared" si="236"/>
        <v>687.6</v>
      </c>
      <c r="AP663">
        <f>IF(AN663=0,0,AO663/AN663)</f>
        <v>0.4224884792626728</v>
      </c>
      <c r="AQ663" t="str">
        <f t="shared" si="237"/>
        <v>May</v>
      </c>
      <c r="AR663">
        <f t="shared" si="238"/>
        <v>2024</v>
      </c>
      <c r="AS663" t="str">
        <f t="shared" si="239"/>
        <v>Clean</v>
      </c>
      <c r="AT663" t="str">
        <f>IF(OR(AC663&lt;0,AC663&gt;0.5),"Invalid Discount","Valid")</f>
        <v>Valid</v>
      </c>
      <c r="AU663" t="str">
        <f>IF(G663&lt;E663,"Invalid Shipping Record","Valid")</f>
        <v>Valid</v>
      </c>
      <c r="AV663" t="str">
        <f>IF(OR(AL663="Cancelled",AH663="Failed"),"Exclude","Include")</f>
        <v>Include</v>
      </c>
      <c r="AW663" t="str">
        <f t="shared" si="240"/>
        <v>Match</v>
      </c>
      <c r="AX663" t="str">
        <f t="shared" si="241"/>
        <v>Match</v>
      </c>
    </row>
    <row r="664" spans="1:50">
      <c r="A664" t="s">
        <v>3121</v>
      </c>
      <c r="B664">
        <f t="shared" si="220"/>
        <v>1</v>
      </c>
      <c r="C664" t="str">
        <f t="shared" si="230"/>
        <v/>
      </c>
      <c r="D664" s="3" t="s">
        <v>3122</v>
      </c>
      <c r="E664" s="7">
        <v>45305</v>
      </c>
      <c r="F664" s="3" t="s">
        <v>3123</v>
      </c>
      <c r="G664" s="7">
        <v>45309</v>
      </c>
      <c r="H664" s="7" t="str">
        <f t="shared" si="221"/>
        <v>Valid</v>
      </c>
      <c r="I664" s="9">
        <f t="shared" si="222"/>
        <v>4</v>
      </c>
      <c r="J664" s="9" t="str">
        <f t="shared" si="223"/>
        <v>Valid</v>
      </c>
      <c r="K664" t="s">
        <v>3124</v>
      </c>
      <c r="L664" t="s">
        <v>39</v>
      </c>
      <c r="M664" t="s">
        <v>39</v>
      </c>
      <c r="N664" t="s">
        <v>114</v>
      </c>
      <c r="O664" s="3" t="str">
        <f t="shared" si="224"/>
        <v>Home Office</v>
      </c>
      <c r="P664" t="s">
        <v>72</v>
      </c>
      <c r="Q664" s="3" t="str">
        <f t="shared" si="225"/>
        <v>West</v>
      </c>
      <c r="R664" t="s">
        <v>27</v>
      </c>
      <c r="S664" t="s">
        <v>134</v>
      </c>
      <c r="T664" t="s">
        <v>85</v>
      </c>
      <c r="U664" s="3" t="str">
        <f t="shared" si="226"/>
        <v>Technology</v>
      </c>
      <c r="V664" t="s">
        <v>381</v>
      </c>
      <c r="W664" t="s">
        <v>3125</v>
      </c>
      <c r="X664" t="s">
        <v>47</v>
      </c>
      <c r="Y664" s="3" t="str">
        <f t="shared" si="227"/>
        <v>Same Day</v>
      </c>
      <c r="Z664">
        <v>6</v>
      </c>
      <c r="AA664">
        <v>1784.8</v>
      </c>
      <c r="AB664">
        <v>0.1</v>
      </c>
      <c r="AC664">
        <f t="shared" si="228"/>
        <v>0.1</v>
      </c>
      <c r="AD664" t="str">
        <f t="shared" si="231"/>
        <v>Valid</v>
      </c>
      <c r="AE664">
        <v>9637.92</v>
      </c>
      <c r="AF664">
        <v>7329.29</v>
      </c>
      <c r="AG664">
        <v>2308.63</v>
      </c>
      <c r="AH664" t="s">
        <v>33</v>
      </c>
      <c r="AI664" t="str">
        <f t="shared" si="232"/>
        <v>Include</v>
      </c>
      <c r="AJ664" t="str">
        <f t="shared" si="233"/>
        <v/>
      </c>
      <c r="AK664" t="s">
        <v>34</v>
      </c>
      <c r="AL664" t="str">
        <f t="shared" si="229"/>
        <v>Completed</v>
      </c>
      <c r="AM664" t="str">
        <f t="shared" si="234"/>
        <v>Include</v>
      </c>
      <c r="AN664">
        <f t="shared" si="235"/>
        <v>9637.92</v>
      </c>
      <c r="AO664">
        <f t="shared" si="236"/>
        <v>2308.63</v>
      </c>
      <c r="AP664">
        <f>IF(AN664=0,0,AO664/AN664)</f>
        <v>0.2395361239769577</v>
      </c>
      <c r="AQ664" t="str">
        <f t="shared" si="237"/>
        <v>January</v>
      </c>
      <c r="AR664">
        <f t="shared" si="238"/>
        <v>2024</v>
      </c>
      <c r="AS664" t="str">
        <f t="shared" si="239"/>
        <v>Clean</v>
      </c>
      <c r="AT664" t="str">
        <f>IF(OR(AC664&lt;0,AC664&gt;0.5),"Invalid Discount","Valid")</f>
        <v>Valid</v>
      </c>
      <c r="AU664" t="str">
        <f>IF(G664&lt;E664,"Invalid Shipping Record","Valid")</f>
        <v>Valid</v>
      </c>
      <c r="AV664" t="str">
        <f>IF(OR(AL664="Cancelled",AH664="Failed"),"Exclude","Include")</f>
        <v>Include</v>
      </c>
      <c r="AW664" t="str">
        <f t="shared" si="240"/>
        <v>Match</v>
      </c>
      <c r="AX664" t="str">
        <f t="shared" si="241"/>
        <v>Match</v>
      </c>
    </row>
    <row r="665" spans="1:50">
      <c r="A665" t="s">
        <v>3126</v>
      </c>
      <c r="B665">
        <f t="shared" si="220"/>
        <v>1</v>
      </c>
      <c r="C665" t="str">
        <f t="shared" si="230"/>
        <v/>
      </c>
      <c r="D665" s="3" t="s">
        <v>1224</v>
      </c>
      <c r="E665" s="7">
        <v>45414</v>
      </c>
      <c r="F665" s="3" t="s">
        <v>2681</v>
      </c>
      <c r="G665" s="7">
        <v>45420</v>
      </c>
      <c r="H665" s="7" t="str">
        <f t="shared" si="221"/>
        <v>Valid</v>
      </c>
      <c r="I665" s="9">
        <f t="shared" si="222"/>
        <v>6</v>
      </c>
      <c r="J665" s="9" t="str">
        <f t="shared" si="223"/>
        <v>Valid</v>
      </c>
      <c r="K665" t="s">
        <v>3127</v>
      </c>
      <c r="L665" t="s">
        <v>147</v>
      </c>
      <c r="M665" t="s">
        <v>147</v>
      </c>
      <c r="N665" t="s">
        <v>114</v>
      </c>
      <c r="O665" s="3" t="str">
        <f t="shared" si="224"/>
        <v>Home Office</v>
      </c>
      <c r="P665" t="s">
        <v>41</v>
      </c>
      <c r="Q665" s="3" t="str">
        <f t="shared" si="225"/>
        <v>East</v>
      </c>
      <c r="R665" t="s">
        <v>310</v>
      </c>
      <c r="S665" t="s">
        <v>311</v>
      </c>
      <c r="T665" t="s">
        <v>85</v>
      </c>
      <c r="U665" s="3" t="str">
        <f t="shared" si="226"/>
        <v>Technology</v>
      </c>
      <c r="V665" t="s">
        <v>93</v>
      </c>
      <c r="W665" t="s">
        <v>3128</v>
      </c>
      <c r="X665" t="s">
        <v>32</v>
      </c>
      <c r="Y665" s="3" t="str">
        <f t="shared" si="227"/>
        <v>Second Class</v>
      </c>
      <c r="Z665">
        <v>2</v>
      </c>
      <c r="AA665">
        <v>3185.01</v>
      </c>
      <c r="AB665">
        <v>-0.24</v>
      </c>
      <c r="AC665">
        <f t="shared" si="228"/>
        <v>-0.24</v>
      </c>
      <c r="AD665" t="str">
        <f t="shared" si="231"/>
        <v>Invalid Discount</v>
      </c>
      <c r="AE665">
        <v>4777.5200000000004</v>
      </c>
      <c r="AF665">
        <v>3152.98</v>
      </c>
      <c r="AG665">
        <v>1624.54</v>
      </c>
      <c r="AH665" t="s">
        <v>33</v>
      </c>
      <c r="AI665" t="str">
        <f t="shared" si="232"/>
        <v>Include</v>
      </c>
      <c r="AJ665" t="str">
        <f t="shared" si="233"/>
        <v/>
      </c>
      <c r="AK665" t="s">
        <v>34</v>
      </c>
      <c r="AL665" t="str">
        <f t="shared" si="229"/>
        <v>Completed</v>
      </c>
      <c r="AM665" t="str">
        <f t="shared" si="234"/>
        <v>Include</v>
      </c>
      <c r="AN665">
        <f t="shared" si="235"/>
        <v>7898.8248000000003</v>
      </c>
      <c r="AO665">
        <f t="shared" si="236"/>
        <v>4745.8448000000008</v>
      </c>
      <c r="AP665">
        <f>IF(AN665=0,0,AO665/AN665)</f>
        <v>0.60082922715287979</v>
      </c>
      <c r="AQ665" t="str">
        <f t="shared" si="237"/>
        <v>May</v>
      </c>
      <c r="AR665">
        <f t="shared" si="238"/>
        <v>2024</v>
      </c>
      <c r="AS665" t="str">
        <f t="shared" si="239"/>
        <v>Invalid</v>
      </c>
      <c r="AT665" t="str">
        <f>IF(OR(AC665&lt;0,AC665&gt;0.5),"Invalid Discount","Valid")</f>
        <v>Invalid Discount</v>
      </c>
      <c r="AU665" t="str">
        <f>IF(G665&lt;E665,"Invalid Shipping Record","Valid")</f>
        <v>Valid</v>
      </c>
      <c r="AV665" t="str">
        <f>IF(OR(AL665="Cancelled",AH665="Failed"),"Exclude","Include")</f>
        <v>Include</v>
      </c>
      <c r="AW665" t="str">
        <f t="shared" si="240"/>
        <v>Mismatch</v>
      </c>
      <c r="AX665" t="str">
        <f t="shared" si="241"/>
        <v>Mismatch</v>
      </c>
    </row>
    <row r="666" spans="1:50">
      <c r="A666" t="s">
        <v>3129</v>
      </c>
      <c r="B666">
        <f t="shared" si="220"/>
        <v>1</v>
      </c>
      <c r="C666" t="str">
        <f t="shared" si="230"/>
        <v/>
      </c>
      <c r="D666" s="3" t="s">
        <v>3130</v>
      </c>
      <c r="E666" s="7">
        <v>45633</v>
      </c>
      <c r="F666" s="3" t="s">
        <v>3131</v>
      </c>
      <c r="G666" s="7">
        <v>45636</v>
      </c>
      <c r="H666" s="7" t="str">
        <f t="shared" si="221"/>
        <v>Valid</v>
      </c>
      <c r="I666" s="9">
        <f t="shared" si="222"/>
        <v>3</v>
      </c>
      <c r="J666" s="9" t="str">
        <f t="shared" si="223"/>
        <v>Valid</v>
      </c>
      <c r="K666" t="s">
        <v>3132</v>
      </c>
      <c r="L666" t="s">
        <v>39</v>
      </c>
      <c r="M666" t="s">
        <v>39</v>
      </c>
      <c r="N666" t="s">
        <v>114</v>
      </c>
      <c r="O666" s="3" t="str">
        <f t="shared" si="224"/>
        <v>Home Office</v>
      </c>
      <c r="P666" t="s">
        <v>61</v>
      </c>
      <c r="Q666" s="3" t="str">
        <f t="shared" si="225"/>
        <v>South</v>
      </c>
      <c r="R666" t="s">
        <v>62</v>
      </c>
      <c r="S666" t="s">
        <v>63</v>
      </c>
      <c r="T666" t="s">
        <v>85</v>
      </c>
      <c r="U666" s="3" t="str">
        <f t="shared" si="226"/>
        <v>Technology</v>
      </c>
      <c r="V666" t="s">
        <v>86</v>
      </c>
      <c r="W666" t="s">
        <v>3133</v>
      </c>
      <c r="X666" t="s">
        <v>66</v>
      </c>
      <c r="Y666" s="3" t="str">
        <f t="shared" si="227"/>
        <v>Standard Class</v>
      </c>
      <c r="Z666">
        <v>1</v>
      </c>
      <c r="AA666">
        <v>1908.83</v>
      </c>
      <c r="AB666">
        <v>0.2</v>
      </c>
      <c r="AC666">
        <f t="shared" si="228"/>
        <v>0.2</v>
      </c>
      <c r="AD666" t="str">
        <f t="shared" si="231"/>
        <v>Valid</v>
      </c>
      <c r="AE666">
        <v>1527.06</v>
      </c>
      <c r="AF666">
        <v>1055.8900000000001</v>
      </c>
      <c r="AG666">
        <v>471.17</v>
      </c>
      <c r="AH666" t="s">
        <v>33</v>
      </c>
      <c r="AI666" t="str">
        <f t="shared" si="232"/>
        <v>Include</v>
      </c>
      <c r="AJ666" t="str">
        <f t="shared" si="233"/>
        <v/>
      </c>
      <c r="AK666" t="s">
        <v>34</v>
      </c>
      <c r="AL666" t="str">
        <f t="shared" si="229"/>
        <v>Completed</v>
      </c>
      <c r="AM666" t="str">
        <f t="shared" si="234"/>
        <v>Include</v>
      </c>
      <c r="AN666">
        <f t="shared" si="235"/>
        <v>1527.0640000000001</v>
      </c>
      <c r="AO666">
        <f t="shared" si="236"/>
        <v>471.17399999999998</v>
      </c>
      <c r="AP666">
        <f>IF(AN666=0,0,AO666/AN666)</f>
        <v>0.30854895407134209</v>
      </c>
      <c r="AQ666" t="str">
        <f t="shared" si="237"/>
        <v>December</v>
      </c>
      <c r="AR666">
        <f t="shared" si="238"/>
        <v>2024</v>
      </c>
      <c r="AS666" t="str">
        <f t="shared" si="239"/>
        <v>Clean</v>
      </c>
      <c r="AT666" t="str">
        <f>IF(OR(AC666&lt;0,AC666&gt;0.5),"Invalid Discount","Valid")</f>
        <v>Valid</v>
      </c>
      <c r="AU666" t="str">
        <f>IF(G666&lt;E666,"Invalid Shipping Record","Valid")</f>
        <v>Valid</v>
      </c>
      <c r="AV666" t="str">
        <f>IF(OR(AL666="Cancelled",AH666="Failed"),"Exclude","Include")</f>
        <v>Include</v>
      </c>
      <c r="AW666" t="str">
        <f t="shared" si="240"/>
        <v>Match</v>
      </c>
      <c r="AX666" t="str">
        <f t="shared" si="241"/>
        <v>Match</v>
      </c>
    </row>
    <row r="667" spans="1:50">
      <c r="A667" t="s">
        <v>3134</v>
      </c>
      <c r="B667">
        <f t="shared" si="220"/>
        <v>1</v>
      </c>
      <c r="C667" t="str">
        <f t="shared" si="230"/>
        <v/>
      </c>
      <c r="D667" s="3" t="s">
        <v>3135</v>
      </c>
      <c r="E667" s="7">
        <v>45670</v>
      </c>
      <c r="F667" s="3" t="s">
        <v>3136</v>
      </c>
      <c r="G667" s="7">
        <v>45670</v>
      </c>
      <c r="H667" s="7" t="str">
        <f t="shared" si="221"/>
        <v>Valid</v>
      </c>
      <c r="I667" s="9">
        <f t="shared" si="222"/>
        <v>0</v>
      </c>
      <c r="J667" s="9" t="str">
        <f t="shared" si="223"/>
        <v>Valid</v>
      </c>
      <c r="K667" t="s">
        <v>3137</v>
      </c>
      <c r="L667" t="s">
        <v>147</v>
      </c>
      <c r="M667" t="s">
        <v>147</v>
      </c>
      <c r="N667" t="s">
        <v>114</v>
      </c>
      <c r="O667" s="3" t="str">
        <f t="shared" si="224"/>
        <v>Home Office</v>
      </c>
      <c r="P667" t="s">
        <v>72</v>
      </c>
      <c r="Q667" s="3" t="str">
        <f t="shared" si="225"/>
        <v>West</v>
      </c>
      <c r="R667" t="s">
        <v>234</v>
      </c>
      <c r="S667" t="s">
        <v>235</v>
      </c>
      <c r="T667" t="s">
        <v>29</v>
      </c>
      <c r="U667" s="3" t="str">
        <f t="shared" si="226"/>
        <v>Office Supplies</v>
      </c>
      <c r="V667" t="s">
        <v>53</v>
      </c>
      <c r="W667" t="s">
        <v>3138</v>
      </c>
      <c r="X667" t="s">
        <v>66</v>
      </c>
      <c r="Y667" s="3" t="str">
        <f t="shared" si="227"/>
        <v>Standard Class</v>
      </c>
      <c r="Z667">
        <v>3</v>
      </c>
      <c r="AA667">
        <v>2110.52</v>
      </c>
      <c r="AB667">
        <v>0.1</v>
      </c>
      <c r="AC667">
        <f t="shared" si="228"/>
        <v>0.1</v>
      </c>
      <c r="AD667" t="str">
        <f t="shared" si="231"/>
        <v>Valid</v>
      </c>
      <c r="AE667">
        <v>5698.4</v>
      </c>
      <c r="AF667">
        <v>3640.89</v>
      </c>
      <c r="AG667">
        <v>2057.5100000000002</v>
      </c>
      <c r="AH667" t="s">
        <v>199</v>
      </c>
      <c r="AI667" t="str">
        <f t="shared" si="232"/>
        <v>Exclude</v>
      </c>
      <c r="AJ667" t="str">
        <f t="shared" si="233"/>
        <v/>
      </c>
      <c r="AK667" t="s">
        <v>77</v>
      </c>
      <c r="AL667" t="str">
        <f t="shared" si="229"/>
        <v>Cancelled</v>
      </c>
      <c r="AM667" t="str">
        <f t="shared" si="234"/>
        <v>Exclude</v>
      </c>
      <c r="AN667">
        <f t="shared" si="235"/>
        <v>5698.4039999999995</v>
      </c>
      <c r="AO667">
        <f t="shared" si="236"/>
        <v>2057.5139999999997</v>
      </c>
      <c r="AP667">
        <f>IF(AN667=0,0,AO667/AN667)</f>
        <v>0.36106846759197836</v>
      </c>
      <c r="AQ667" t="str">
        <f t="shared" si="237"/>
        <v>January</v>
      </c>
      <c r="AR667">
        <f t="shared" si="238"/>
        <v>2025</v>
      </c>
      <c r="AS667" t="str">
        <f t="shared" si="239"/>
        <v>Clean</v>
      </c>
      <c r="AT667" t="str">
        <f>IF(OR(AC667&lt;0,AC667&gt;0.5),"Invalid Discount","Valid")</f>
        <v>Valid</v>
      </c>
      <c r="AU667" t="str">
        <f>IF(G667&lt;E667,"Invalid Shipping Record","Valid")</f>
        <v>Valid</v>
      </c>
      <c r="AV667" t="str">
        <f>IF(OR(AL667="Cancelled",AH667="Failed"),"Exclude","Include")</f>
        <v>Exclude</v>
      </c>
      <c r="AW667" t="str">
        <f t="shared" si="240"/>
        <v>Match</v>
      </c>
      <c r="AX667" t="str">
        <f t="shared" si="241"/>
        <v>Match</v>
      </c>
    </row>
    <row r="668" spans="1:50">
      <c r="A668" t="s">
        <v>3139</v>
      </c>
      <c r="B668">
        <f t="shared" ref="B668:B731" si="242">COUNTIF($A:$A,A668)</f>
        <v>1</v>
      </c>
      <c r="C668" t="str">
        <f t="shared" si="230"/>
        <v/>
      </c>
      <c r="D668" s="3" t="s">
        <v>2151</v>
      </c>
      <c r="E668" s="7">
        <v>45464</v>
      </c>
      <c r="F668" s="3" t="s">
        <v>2093</v>
      </c>
      <c r="G668" s="7">
        <v>45469</v>
      </c>
      <c r="H668" s="7" t="str">
        <f t="shared" si="221"/>
        <v>Valid</v>
      </c>
      <c r="I668" s="9">
        <f t="shared" si="222"/>
        <v>5</v>
      </c>
      <c r="J668" s="9" t="str">
        <f t="shared" si="223"/>
        <v>Valid</v>
      </c>
      <c r="K668" t="s">
        <v>3140</v>
      </c>
      <c r="L668" t="s">
        <v>179</v>
      </c>
      <c r="M668" t="s">
        <v>179</v>
      </c>
      <c r="N668" t="s">
        <v>40</v>
      </c>
      <c r="O668" s="3" t="str">
        <f t="shared" si="224"/>
        <v>Small Business</v>
      </c>
      <c r="P668" t="s">
        <v>26</v>
      </c>
      <c r="Q668" s="3" t="str">
        <f t="shared" si="225"/>
        <v>North</v>
      </c>
      <c r="R668" t="s">
        <v>153</v>
      </c>
      <c r="S668" t="s">
        <v>154</v>
      </c>
      <c r="T668" t="s">
        <v>85</v>
      </c>
      <c r="U668" s="3" t="str">
        <f t="shared" si="226"/>
        <v>Technology</v>
      </c>
      <c r="V668" t="s">
        <v>93</v>
      </c>
      <c r="W668" t="s">
        <v>3141</v>
      </c>
      <c r="X668" t="s">
        <v>47</v>
      </c>
      <c r="Y668" s="3" t="str">
        <f t="shared" si="227"/>
        <v>Same Day</v>
      </c>
      <c r="Z668">
        <v>1</v>
      </c>
      <c r="AA668">
        <v>279.83</v>
      </c>
      <c r="AB668">
        <v>0.05</v>
      </c>
      <c r="AC668">
        <f t="shared" si="228"/>
        <v>0.05</v>
      </c>
      <c r="AD668" t="str">
        <f t="shared" si="231"/>
        <v>Valid</v>
      </c>
      <c r="AE668">
        <v>265.83999999999997</v>
      </c>
      <c r="AF668">
        <v>223.49</v>
      </c>
      <c r="AG668">
        <v>42.35</v>
      </c>
      <c r="AH668" t="s">
        <v>33</v>
      </c>
      <c r="AI668" t="str">
        <f t="shared" si="232"/>
        <v>Include</v>
      </c>
      <c r="AJ668" t="str">
        <f t="shared" si="233"/>
        <v/>
      </c>
      <c r="AK668" t="s">
        <v>34</v>
      </c>
      <c r="AL668" t="str">
        <f t="shared" si="229"/>
        <v>Completed</v>
      </c>
      <c r="AM668" t="str">
        <f t="shared" si="234"/>
        <v>Include</v>
      </c>
      <c r="AN668">
        <f t="shared" si="235"/>
        <v>265.83849999999995</v>
      </c>
      <c r="AO668">
        <f t="shared" si="236"/>
        <v>42.348499999999945</v>
      </c>
      <c r="AP668">
        <f>IF(AN668=0,0,AO668/AN668)</f>
        <v>0.15930160605028976</v>
      </c>
      <c r="AQ668" t="str">
        <f t="shared" si="237"/>
        <v>June</v>
      </c>
      <c r="AR668">
        <f t="shared" si="238"/>
        <v>2024</v>
      </c>
      <c r="AS668" t="str">
        <f t="shared" si="239"/>
        <v>Clean</v>
      </c>
      <c r="AT668" t="str">
        <f>IF(OR(AC668&lt;0,AC668&gt;0.5),"Invalid Discount","Valid")</f>
        <v>Valid</v>
      </c>
      <c r="AU668" t="str">
        <f>IF(G668&lt;E668,"Invalid Shipping Record","Valid")</f>
        <v>Valid</v>
      </c>
      <c r="AV668" t="str">
        <f>IF(OR(AL668="Cancelled",AH668="Failed"),"Exclude","Include")</f>
        <v>Include</v>
      </c>
      <c r="AW668" t="str">
        <f t="shared" si="240"/>
        <v>Match</v>
      </c>
      <c r="AX668" t="str">
        <f t="shared" si="241"/>
        <v>Match</v>
      </c>
    </row>
    <row r="669" spans="1:50">
      <c r="A669" t="s">
        <v>3142</v>
      </c>
      <c r="B669">
        <f t="shared" si="242"/>
        <v>1</v>
      </c>
      <c r="C669" t="str">
        <f t="shared" si="230"/>
        <v/>
      </c>
      <c r="D669" s="3" t="s">
        <v>3143</v>
      </c>
      <c r="E669" s="7">
        <v>45797</v>
      </c>
      <c r="F669" s="3" t="s">
        <v>3144</v>
      </c>
      <c r="G669" s="7">
        <v>45804</v>
      </c>
      <c r="H669" s="7" t="str">
        <f t="shared" si="221"/>
        <v>Valid</v>
      </c>
      <c r="I669" s="9">
        <f t="shared" si="222"/>
        <v>7</v>
      </c>
      <c r="J669" s="9" t="str">
        <f t="shared" si="223"/>
        <v>Valid</v>
      </c>
      <c r="K669" t="s">
        <v>3145</v>
      </c>
      <c r="L669" t="s">
        <v>209</v>
      </c>
      <c r="M669" t="s">
        <v>209</v>
      </c>
      <c r="N669" t="s">
        <v>40</v>
      </c>
      <c r="O669" s="3" t="str">
        <f t="shared" si="224"/>
        <v>Small Business</v>
      </c>
      <c r="P669" t="s">
        <v>41</v>
      </c>
      <c r="Q669" s="3" t="str">
        <f t="shared" si="225"/>
        <v>East</v>
      </c>
      <c r="R669" t="s">
        <v>185</v>
      </c>
      <c r="S669" t="s">
        <v>186</v>
      </c>
      <c r="T669" t="s">
        <v>85</v>
      </c>
      <c r="U669" s="3" t="str">
        <f t="shared" si="226"/>
        <v>Technology</v>
      </c>
      <c r="V669" t="s">
        <v>381</v>
      </c>
      <c r="W669" t="s">
        <v>3146</v>
      </c>
      <c r="X669" t="s">
        <v>66</v>
      </c>
      <c r="Y669" s="3" t="str">
        <f t="shared" si="227"/>
        <v>Standard Class</v>
      </c>
      <c r="Z669">
        <v>1</v>
      </c>
      <c r="AA669">
        <v>3959.14</v>
      </c>
      <c r="AB669">
        <v>0</v>
      </c>
      <c r="AC669">
        <f t="shared" si="228"/>
        <v>0</v>
      </c>
      <c r="AD669" t="str">
        <f t="shared" si="231"/>
        <v>Valid</v>
      </c>
      <c r="AE669">
        <v>3959.14</v>
      </c>
      <c r="AF669">
        <v>3239.53</v>
      </c>
      <c r="AG669">
        <v>719.61</v>
      </c>
      <c r="AH669" t="s">
        <v>136</v>
      </c>
      <c r="AI669" t="str">
        <f t="shared" si="232"/>
        <v>Include</v>
      </c>
      <c r="AJ669" t="str">
        <f t="shared" si="233"/>
        <v/>
      </c>
      <c r="AK669" t="s">
        <v>124</v>
      </c>
      <c r="AL669" t="str">
        <f t="shared" si="229"/>
        <v>Returned</v>
      </c>
      <c r="AM669" t="str">
        <f t="shared" si="234"/>
        <v>Include</v>
      </c>
      <c r="AN669">
        <f t="shared" si="235"/>
        <v>3959.14</v>
      </c>
      <c r="AO669">
        <f t="shared" si="236"/>
        <v>719.60999999999967</v>
      </c>
      <c r="AP669">
        <f>IF(AN669=0,0,AO669/AN669)</f>
        <v>0.18175916992074029</v>
      </c>
      <c r="AQ669" t="str">
        <f t="shared" si="237"/>
        <v>May</v>
      </c>
      <c r="AR669">
        <f t="shared" si="238"/>
        <v>2025</v>
      </c>
      <c r="AS669" t="str">
        <f t="shared" si="239"/>
        <v>Clean</v>
      </c>
      <c r="AT669" t="str">
        <f>IF(OR(AC669&lt;0,AC669&gt;0.5),"Invalid Discount","Valid")</f>
        <v>Valid</v>
      </c>
      <c r="AU669" t="str">
        <f>IF(G669&lt;E669,"Invalid Shipping Record","Valid")</f>
        <v>Valid</v>
      </c>
      <c r="AV669" t="str">
        <f>IF(OR(AL669="Cancelled",AH669="Failed"),"Exclude","Include")</f>
        <v>Include</v>
      </c>
      <c r="AW669" t="str">
        <f t="shared" si="240"/>
        <v>Match</v>
      </c>
      <c r="AX669" t="str">
        <f t="shared" si="241"/>
        <v>Match</v>
      </c>
    </row>
    <row r="670" spans="1:50">
      <c r="A670" t="s">
        <v>3147</v>
      </c>
      <c r="B670">
        <f t="shared" si="242"/>
        <v>1</v>
      </c>
      <c r="C670" t="str">
        <f t="shared" si="230"/>
        <v/>
      </c>
      <c r="D670" s="3" t="s">
        <v>3148</v>
      </c>
      <c r="E670" s="7">
        <v>45617</v>
      </c>
      <c r="F670" s="3" t="s">
        <v>220</v>
      </c>
      <c r="G670" s="7">
        <v>45619</v>
      </c>
      <c r="H670" s="7" t="str">
        <f t="shared" si="221"/>
        <v>Valid</v>
      </c>
      <c r="I670" s="9">
        <f t="shared" si="222"/>
        <v>2</v>
      </c>
      <c r="J670" s="9" t="str">
        <f t="shared" si="223"/>
        <v>Valid</v>
      </c>
      <c r="K670" t="s">
        <v>3149</v>
      </c>
      <c r="L670" t="s">
        <v>39</v>
      </c>
      <c r="M670" t="s">
        <v>39</v>
      </c>
      <c r="N670" t="s">
        <v>107</v>
      </c>
      <c r="O670" s="3" t="str">
        <f t="shared" si="224"/>
        <v>Corporate</v>
      </c>
      <c r="P670" t="s">
        <v>72</v>
      </c>
      <c r="Q670" s="3" t="str">
        <f t="shared" si="225"/>
        <v>West</v>
      </c>
      <c r="R670" t="s">
        <v>234</v>
      </c>
      <c r="S670" t="s">
        <v>235</v>
      </c>
      <c r="T670" t="s">
        <v>29</v>
      </c>
      <c r="U670" s="3" t="str">
        <f t="shared" si="226"/>
        <v>Office Supplies</v>
      </c>
      <c r="V670" t="s">
        <v>30</v>
      </c>
      <c r="W670" t="s">
        <v>3150</v>
      </c>
      <c r="X670" t="s">
        <v>32</v>
      </c>
      <c r="Y670" s="3" t="str">
        <f t="shared" si="227"/>
        <v>Second Class</v>
      </c>
      <c r="Z670">
        <v>5</v>
      </c>
      <c r="AA670">
        <v>600.46</v>
      </c>
      <c r="AB670">
        <v>0.2</v>
      </c>
      <c r="AC670">
        <f t="shared" si="228"/>
        <v>0.2</v>
      </c>
      <c r="AD670" t="str">
        <f t="shared" si="231"/>
        <v>Valid</v>
      </c>
      <c r="AE670">
        <v>2401.84</v>
      </c>
      <c r="AF670">
        <v>1873.11</v>
      </c>
      <c r="AG670">
        <v>528.73</v>
      </c>
      <c r="AH670" t="s">
        <v>33</v>
      </c>
      <c r="AI670" t="str">
        <f t="shared" si="232"/>
        <v>Include</v>
      </c>
      <c r="AJ670" t="str">
        <f t="shared" si="233"/>
        <v/>
      </c>
      <c r="AK670" t="s">
        <v>34</v>
      </c>
      <c r="AL670" t="str">
        <f t="shared" si="229"/>
        <v>Completed</v>
      </c>
      <c r="AM670" t="str">
        <f t="shared" si="234"/>
        <v>Include</v>
      </c>
      <c r="AN670">
        <f t="shared" si="235"/>
        <v>2401.84</v>
      </c>
      <c r="AO670">
        <f t="shared" si="236"/>
        <v>528.73000000000025</v>
      </c>
      <c r="AP670">
        <f>IF(AN670=0,0,AO670/AN670)</f>
        <v>0.22013539619624964</v>
      </c>
      <c r="AQ670" t="str">
        <f t="shared" si="237"/>
        <v>November</v>
      </c>
      <c r="AR670">
        <f t="shared" si="238"/>
        <v>2024</v>
      </c>
      <c r="AS670" t="str">
        <f t="shared" si="239"/>
        <v>Clean</v>
      </c>
      <c r="AT670" t="str">
        <f>IF(OR(AC670&lt;0,AC670&gt;0.5),"Invalid Discount","Valid")</f>
        <v>Valid</v>
      </c>
      <c r="AU670" t="str">
        <f>IF(G670&lt;E670,"Invalid Shipping Record","Valid")</f>
        <v>Valid</v>
      </c>
      <c r="AV670" t="str">
        <f>IF(OR(AL670="Cancelled",AH670="Failed"),"Exclude","Include")</f>
        <v>Include</v>
      </c>
      <c r="AW670" t="str">
        <f t="shared" si="240"/>
        <v>Match</v>
      </c>
      <c r="AX670" t="str">
        <f t="shared" si="241"/>
        <v>Match</v>
      </c>
    </row>
    <row r="671" spans="1:50">
      <c r="A671" t="s">
        <v>3151</v>
      </c>
      <c r="B671">
        <f t="shared" si="242"/>
        <v>1</v>
      </c>
      <c r="C671" t="str">
        <f t="shared" si="230"/>
        <v/>
      </c>
      <c r="D671" s="3" t="s">
        <v>3152</v>
      </c>
      <c r="E671" s="7">
        <v>45375</v>
      </c>
      <c r="F671" s="3" t="s">
        <v>3153</v>
      </c>
      <c r="G671" s="7">
        <v>45383</v>
      </c>
      <c r="H671" s="7" t="str">
        <f t="shared" si="221"/>
        <v>Valid</v>
      </c>
      <c r="I671" s="9">
        <f t="shared" si="222"/>
        <v>8</v>
      </c>
      <c r="J671" s="9" t="str">
        <f t="shared" si="223"/>
        <v>Valid</v>
      </c>
      <c r="K671" t="s">
        <v>3154</v>
      </c>
      <c r="L671" t="s">
        <v>71</v>
      </c>
      <c r="M671" t="s">
        <v>71</v>
      </c>
      <c r="N671" t="s">
        <v>114</v>
      </c>
      <c r="O671" s="3" t="str">
        <f t="shared" si="224"/>
        <v>Home Office</v>
      </c>
      <c r="P671" t="s">
        <v>72</v>
      </c>
      <c r="Q671" s="3" t="str">
        <f t="shared" si="225"/>
        <v>West</v>
      </c>
      <c r="R671" t="s">
        <v>73</v>
      </c>
      <c r="S671" t="s">
        <v>74</v>
      </c>
      <c r="T671" t="s">
        <v>44</v>
      </c>
      <c r="U671" s="3" t="str">
        <f t="shared" si="226"/>
        <v>Furniture</v>
      </c>
      <c r="V671" t="s">
        <v>45</v>
      </c>
      <c r="W671" t="s">
        <v>3155</v>
      </c>
      <c r="X671" t="s">
        <v>32</v>
      </c>
      <c r="Y671" s="3" t="str">
        <f t="shared" si="227"/>
        <v>Second Class</v>
      </c>
      <c r="Z671">
        <v>4</v>
      </c>
      <c r="AA671">
        <v>1700.72</v>
      </c>
      <c r="AB671">
        <v>0.25</v>
      </c>
      <c r="AC671">
        <f t="shared" si="228"/>
        <v>0.25</v>
      </c>
      <c r="AD671" t="str">
        <f t="shared" si="231"/>
        <v>Valid</v>
      </c>
      <c r="AE671">
        <v>5102.16</v>
      </c>
      <c r="AF671">
        <v>3226.45</v>
      </c>
      <c r="AG671">
        <v>1875.71</v>
      </c>
      <c r="AH671" t="s">
        <v>33</v>
      </c>
      <c r="AI671" t="str">
        <f t="shared" si="232"/>
        <v>Include</v>
      </c>
      <c r="AJ671" t="str">
        <f t="shared" si="233"/>
        <v/>
      </c>
      <c r="AK671" t="s">
        <v>34</v>
      </c>
      <c r="AL671" t="str">
        <f t="shared" si="229"/>
        <v>Completed</v>
      </c>
      <c r="AM671" t="str">
        <f t="shared" si="234"/>
        <v>Include</v>
      </c>
      <c r="AN671">
        <f t="shared" si="235"/>
        <v>5102.16</v>
      </c>
      <c r="AO671">
        <f t="shared" si="236"/>
        <v>1875.71</v>
      </c>
      <c r="AP671">
        <f>IF(AN671=0,0,AO671/AN671)</f>
        <v>0.36763057214983458</v>
      </c>
      <c r="AQ671" t="str">
        <f t="shared" si="237"/>
        <v>March</v>
      </c>
      <c r="AR671">
        <f t="shared" si="238"/>
        <v>2024</v>
      </c>
      <c r="AS671" t="str">
        <f t="shared" si="239"/>
        <v>Clean</v>
      </c>
      <c r="AT671" t="str">
        <f>IF(OR(AC671&lt;0,AC671&gt;0.5),"Invalid Discount","Valid")</f>
        <v>Valid</v>
      </c>
      <c r="AU671" t="str">
        <f>IF(G671&lt;E671,"Invalid Shipping Record","Valid")</f>
        <v>Valid</v>
      </c>
      <c r="AV671" t="str">
        <f>IF(OR(AL671="Cancelled",AH671="Failed"),"Exclude","Include")</f>
        <v>Include</v>
      </c>
      <c r="AW671" t="str">
        <f t="shared" si="240"/>
        <v>Match</v>
      </c>
      <c r="AX671" t="str">
        <f t="shared" si="241"/>
        <v>Match</v>
      </c>
    </row>
    <row r="672" spans="1:50">
      <c r="A672" t="s">
        <v>3156</v>
      </c>
      <c r="B672">
        <f t="shared" si="242"/>
        <v>1</v>
      </c>
      <c r="C672" t="str">
        <f t="shared" si="230"/>
        <v/>
      </c>
      <c r="D672" s="3" t="s">
        <v>3157</v>
      </c>
      <c r="E672" s="7">
        <v>45690</v>
      </c>
      <c r="F672" s="3" t="s">
        <v>2955</v>
      </c>
      <c r="G672" s="7">
        <v>45694</v>
      </c>
      <c r="H672" s="7" t="str">
        <f t="shared" si="221"/>
        <v>Valid</v>
      </c>
      <c r="I672" s="9">
        <f t="shared" si="222"/>
        <v>4</v>
      </c>
      <c r="J672" s="9" t="str">
        <f t="shared" si="223"/>
        <v>Valid</v>
      </c>
      <c r="K672" t="s">
        <v>2430</v>
      </c>
      <c r="L672" t="s">
        <v>167</v>
      </c>
      <c r="M672" t="s">
        <v>167</v>
      </c>
      <c r="N672" t="s">
        <v>107</v>
      </c>
      <c r="O672" s="3" t="str">
        <f t="shared" si="224"/>
        <v>Corporate</v>
      </c>
      <c r="P672" t="s">
        <v>26</v>
      </c>
      <c r="Q672" s="3" t="str">
        <f t="shared" si="225"/>
        <v>North</v>
      </c>
      <c r="R672" t="s">
        <v>173</v>
      </c>
      <c r="S672" t="s">
        <v>174</v>
      </c>
      <c r="T672" t="s">
        <v>44</v>
      </c>
      <c r="U672" s="3" t="str">
        <f t="shared" si="226"/>
        <v>Furniture</v>
      </c>
      <c r="V672" t="s">
        <v>45</v>
      </c>
      <c r="W672" t="s">
        <v>3158</v>
      </c>
      <c r="X672" t="s">
        <v>66</v>
      </c>
      <c r="Y672" s="3" t="str">
        <f t="shared" si="227"/>
        <v>Standard Class</v>
      </c>
      <c r="Z672">
        <v>8</v>
      </c>
      <c r="AA672">
        <v>857.86</v>
      </c>
      <c r="AB672">
        <v>0.1</v>
      </c>
      <c r="AC672">
        <f t="shared" si="228"/>
        <v>0.1</v>
      </c>
      <c r="AD672" t="str">
        <f t="shared" si="231"/>
        <v>Valid</v>
      </c>
      <c r="AE672">
        <v>6176.59</v>
      </c>
      <c r="AF672">
        <v>3560.96</v>
      </c>
      <c r="AG672">
        <v>2615.63</v>
      </c>
      <c r="AH672" t="s">
        <v>33</v>
      </c>
      <c r="AI672" t="str">
        <f t="shared" si="232"/>
        <v>Include</v>
      </c>
      <c r="AJ672" t="str">
        <f t="shared" si="233"/>
        <v/>
      </c>
      <c r="AK672" t="s">
        <v>34</v>
      </c>
      <c r="AL672" t="str">
        <f t="shared" si="229"/>
        <v>Completed</v>
      </c>
      <c r="AM672" t="str">
        <f t="shared" si="234"/>
        <v>Include</v>
      </c>
      <c r="AN672">
        <f t="shared" si="235"/>
        <v>6176.5920000000006</v>
      </c>
      <c r="AO672">
        <f t="shared" si="236"/>
        <v>2615.6320000000005</v>
      </c>
      <c r="AP672">
        <f>IF(AN672=0,0,AO672/AN672)</f>
        <v>0.42347495188285067</v>
      </c>
      <c r="AQ672" t="str">
        <f t="shared" si="237"/>
        <v>February</v>
      </c>
      <c r="AR672">
        <f t="shared" si="238"/>
        <v>2025</v>
      </c>
      <c r="AS672" t="str">
        <f t="shared" si="239"/>
        <v>Clean</v>
      </c>
      <c r="AT672" t="str">
        <f>IF(OR(AC672&lt;0,AC672&gt;0.5),"Invalid Discount","Valid")</f>
        <v>Valid</v>
      </c>
      <c r="AU672" t="str">
        <f>IF(G672&lt;E672,"Invalid Shipping Record","Valid")</f>
        <v>Valid</v>
      </c>
      <c r="AV672" t="str">
        <f>IF(OR(AL672="Cancelled",AH672="Failed"),"Exclude","Include")</f>
        <v>Include</v>
      </c>
      <c r="AW672" t="str">
        <f t="shared" si="240"/>
        <v>Match</v>
      </c>
      <c r="AX672" t="str">
        <f t="shared" si="241"/>
        <v>Match</v>
      </c>
    </row>
    <row r="673" spans="1:50">
      <c r="A673" t="s">
        <v>3159</v>
      </c>
      <c r="B673">
        <f t="shared" si="242"/>
        <v>1</v>
      </c>
      <c r="C673" t="str">
        <f t="shared" si="230"/>
        <v/>
      </c>
      <c r="D673" s="3" t="s">
        <v>3160</v>
      </c>
      <c r="E673" s="7">
        <v>45373</v>
      </c>
      <c r="F673" s="3" t="s">
        <v>3161</v>
      </c>
      <c r="G673" s="7">
        <v>45378</v>
      </c>
      <c r="H673" s="7" t="str">
        <f t="shared" si="221"/>
        <v>Valid</v>
      </c>
      <c r="I673" s="9">
        <f t="shared" si="222"/>
        <v>5</v>
      </c>
      <c r="J673" s="9" t="str">
        <f t="shared" si="223"/>
        <v>Valid</v>
      </c>
      <c r="K673" t="s">
        <v>3162</v>
      </c>
      <c r="L673" t="s">
        <v>106</v>
      </c>
      <c r="M673" t="s">
        <v>106</v>
      </c>
      <c r="N673" t="s">
        <v>114</v>
      </c>
      <c r="O673" s="3" t="str">
        <f t="shared" si="224"/>
        <v>Home Office</v>
      </c>
      <c r="P673" t="s">
        <v>72</v>
      </c>
      <c r="Q673" s="3" t="str">
        <f t="shared" si="225"/>
        <v>West</v>
      </c>
      <c r="R673" t="s">
        <v>248</v>
      </c>
      <c r="S673" t="s">
        <v>249</v>
      </c>
      <c r="T673" t="s">
        <v>85</v>
      </c>
      <c r="U673" s="3" t="str">
        <f t="shared" si="226"/>
        <v>Technology</v>
      </c>
      <c r="V673" t="s">
        <v>3163</v>
      </c>
      <c r="W673" t="s">
        <v>3164</v>
      </c>
      <c r="X673" t="s">
        <v>32</v>
      </c>
      <c r="Y673" s="3" t="str">
        <f t="shared" si="227"/>
        <v>Second Class</v>
      </c>
      <c r="Z673">
        <v>9</v>
      </c>
      <c r="AA673">
        <v>3649.51</v>
      </c>
      <c r="AB673">
        <v>0.05</v>
      </c>
      <c r="AC673">
        <f t="shared" si="228"/>
        <v>0.05</v>
      </c>
      <c r="AD673" t="str">
        <f t="shared" si="231"/>
        <v>Valid</v>
      </c>
      <c r="AE673">
        <v>31203.31</v>
      </c>
      <c r="AF673">
        <v>17738.13</v>
      </c>
      <c r="AG673">
        <v>13465.18</v>
      </c>
      <c r="AH673" t="s">
        <v>33</v>
      </c>
      <c r="AI673" t="str">
        <f t="shared" si="232"/>
        <v>Include</v>
      </c>
      <c r="AJ673" t="str">
        <f t="shared" si="233"/>
        <v/>
      </c>
      <c r="AK673" t="s">
        <v>34</v>
      </c>
      <c r="AL673" t="str">
        <f t="shared" si="229"/>
        <v>Completed</v>
      </c>
      <c r="AM673" t="str">
        <f t="shared" si="234"/>
        <v>Include</v>
      </c>
      <c r="AN673">
        <f t="shared" si="235"/>
        <v>31203.310500000003</v>
      </c>
      <c r="AO673">
        <f t="shared" si="236"/>
        <v>13465.180500000002</v>
      </c>
      <c r="AP673">
        <f>IF(AN673=0,0,AO673/AN673)</f>
        <v>0.43153051020019179</v>
      </c>
      <c r="AQ673" t="str">
        <f t="shared" si="237"/>
        <v>March</v>
      </c>
      <c r="AR673">
        <f t="shared" si="238"/>
        <v>2024</v>
      </c>
      <c r="AS673" t="str">
        <f t="shared" si="239"/>
        <v>Clean</v>
      </c>
      <c r="AT673" t="str">
        <f>IF(OR(AC673&lt;0,AC673&gt;0.5),"Invalid Discount","Valid")</f>
        <v>Valid</v>
      </c>
      <c r="AU673" t="str">
        <f>IF(G673&lt;E673,"Invalid Shipping Record","Valid")</f>
        <v>Valid</v>
      </c>
      <c r="AV673" t="str">
        <f>IF(OR(AL673="Cancelled",AH673="Failed"),"Exclude","Include")</f>
        <v>Include</v>
      </c>
      <c r="AW673" t="str">
        <f t="shared" si="240"/>
        <v>Match</v>
      </c>
      <c r="AX673" t="str">
        <f t="shared" si="241"/>
        <v>Match</v>
      </c>
    </row>
    <row r="674" spans="1:50">
      <c r="A674" t="s">
        <v>3165</v>
      </c>
      <c r="B674">
        <f t="shared" si="242"/>
        <v>1</v>
      </c>
      <c r="C674" t="str">
        <f t="shared" si="230"/>
        <v/>
      </c>
      <c r="D674" s="3" t="s">
        <v>3166</v>
      </c>
      <c r="E674" s="7">
        <v>45539</v>
      </c>
      <c r="F674" s="3" t="s">
        <v>3167</v>
      </c>
      <c r="G674" s="7">
        <v>45540</v>
      </c>
      <c r="H674" s="7" t="str">
        <f t="shared" si="221"/>
        <v>Valid</v>
      </c>
      <c r="I674" s="9">
        <f t="shared" si="222"/>
        <v>1</v>
      </c>
      <c r="J674" s="9" t="str">
        <f t="shared" si="223"/>
        <v>Valid</v>
      </c>
      <c r="K674" t="s">
        <v>3168</v>
      </c>
      <c r="L674" t="s">
        <v>106</v>
      </c>
      <c r="M674" t="s">
        <v>106</v>
      </c>
      <c r="N674" t="s">
        <v>107</v>
      </c>
      <c r="O674" s="3" t="str">
        <f t="shared" si="224"/>
        <v>Corporate</v>
      </c>
      <c r="P674" t="s">
        <v>72</v>
      </c>
      <c r="Q674" s="3" t="str">
        <f t="shared" si="225"/>
        <v>West</v>
      </c>
      <c r="R674" t="s">
        <v>83</v>
      </c>
      <c r="S674" t="s">
        <v>84</v>
      </c>
      <c r="T674" t="s">
        <v>44</v>
      </c>
      <c r="U674" s="3" t="str">
        <f t="shared" si="226"/>
        <v>Furniture</v>
      </c>
      <c r="V674" t="s">
        <v>75</v>
      </c>
      <c r="W674" t="s">
        <v>3169</v>
      </c>
      <c r="X674" t="s">
        <v>66</v>
      </c>
      <c r="Y674" s="3" t="str">
        <f t="shared" si="227"/>
        <v>Standard Class</v>
      </c>
      <c r="Z674">
        <v>5</v>
      </c>
      <c r="AA674">
        <v>2528.5300000000002</v>
      </c>
      <c r="AB674">
        <v>0.05</v>
      </c>
      <c r="AC674">
        <f t="shared" si="228"/>
        <v>0.05</v>
      </c>
      <c r="AD674" t="str">
        <f t="shared" si="231"/>
        <v>Valid</v>
      </c>
      <c r="AE674">
        <v>12010.52</v>
      </c>
      <c r="AF674">
        <v>7864.61</v>
      </c>
      <c r="AG674">
        <v>4145.91</v>
      </c>
      <c r="AH674" t="s">
        <v>33</v>
      </c>
      <c r="AI674" t="str">
        <f t="shared" si="232"/>
        <v>Include</v>
      </c>
      <c r="AJ674" t="str">
        <f t="shared" si="233"/>
        <v/>
      </c>
      <c r="AK674" t="s">
        <v>124</v>
      </c>
      <c r="AL674" t="str">
        <f t="shared" si="229"/>
        <v>Returned</v>
      </c>
      <c r="AM674" t="str">
        <f t="shared" si="234"/>
        <v>Include</v>
      </c>
      <c r="AN674">
        <f t="shared" si="235"/>
        <v>12010.5175</v>
      </c>
      <c r="AO674">
        <f t="shared" si="236"/>
        <v>4145.9075000000003</v>
      </c>
      <c r="AP674">
        <f>IF(AN674=0,0,AO674/AN674)</f>
        <v>0.34518974723612039</v>
      </c>
      <c r="AQ674" t="str">
        <f t="shared" si="237"/>
        <v>September</v>
      </c>
      <c r="AR674">
        <f t="shared" si="238"/>
        <v>2024</v>
      </c>
      <c r="AS674" t="str">
        <f t="shared" si="239"/>
        <v>Clean</v>
      </c>
      <c r="AT674" t="str">
        <f>IF(OR(AC674&lt;0,AC674&gt;0.5),"Invalid Discount","Valid")</f>
        <v>Valid</v>
      </c>
      <c r="AU674" t="str">
        <f>IF(G674&lt;E674,"Invalid Shipping Record","Valid")</f>
        <v>Valid</v>
      </c>
      <c r="AV674" t="str">
        <f>IF(OR(AL674="Cancelled",AH674="Failed"),"Exclude","Include")</f>
        <v>Include</v>
      </c>
      <c r="AW674" t="str">
        <f t="shared" si="240"/>
        <v>Match</v>
      </c>
      <c r="AX674" t="str">
        <f t="shared" si="241"/>
        <v>Match</v>
      </c>
    </row>
    <row r="675" spans="1:50">
      <c r="A675" t="s">
        <v>3170</v>
      </c>
      <c r="B675">
        <f t="shared" si="242"/>
        <v>1</v>
      </c>
      <c r="C675" t="str">
        <f t="shared" si="230"/>
        <v/>
      </c>
      <c r="D675" s="3" t="s">
        <v>2400</v>
      </c>
      <c r="E675" s="7">
        <v>45701</v>
      </c>
      <c r="F675" s="3" t="s">
        <v>3171</v>
      </c>
      <c r="G675" s="7">
        <v>45704</v>
      </c>
      <c r="H675" s="7" t="str">
        <f t="shared" si="221"/>
        <v>Valid</v>
      </c>
      <c r="I675" s="9">
        <f t="shared" si="222"/>
        <v>3</v>
      </c>
      <c r="J675" s="9" t="str">
        <f t="shared" si="223"/>
        <v>Valid</v>
      </c>
      <c r="K675" t="s">
        <v>3172</v>
      </c>
      <c r="L675" t="s">
        <v>60</v>
      </c>
      <c r="M675" t="s">
        <v>60</v>
      </c>
      <c r="N675" t="s">
        <v>40</v>
      </c>
      <c r="O675" s="3" t="str">
        <f t="shared" si="224"/>
        <v>Small Business</v>
      </c>
      <c r="P675" t="s">
        <v>72</v>
      </c>
      <c r="Q675" s="3" t="str">
        <f t="shared" si="225"/>
        <v>West</v>
      </c>
      <c r="R675" t="s">
        <v>27</v>
      </c>
      <c r="S675" t="s">
        <v>134</v>
      </c>
      <c r="T675" t="s">
        <v>44</v>
      </c>
      <c r="U675" s="3" t="str">
        <f t="shared" si="226"/>
        <v>Furniture</v>
      </c>
      <c r="V675" t="s">
        <v>203</v>
      </c>
      <c r="W675" t="s">
        <v>3173</v>
      </c>
      <c r="X675" t="s">
        <v>32</v>
      </c>
      <c r="Y675" s="3" t="str">
        <f t="shared" si="227"/>
        <v>Second Class</v>
      </c>
      <c r="Z675">
        <v>4</v>
      </c>
      <c r="AA675">
        <v>4072.9</v>
      </c>
      <c r="AB675">
        <v>0.15</v>
      </c>
      <c r="AC675">
        <f t="shared" si="228"/>
        <v>0.15</v>
      </c>
      <c r="AD675" t="str">
        <f t="shared" si="231"/>
        <v>Valid</v>
      </c>
      <c r="AE675">
        <v>13847.86</v>
      </c>
      <c r="AF675">
        <v>8471.7800000000007</v>
      </c>
      <c r="AG675">
        <v>5376.08</v>
      </c>
      <c r="AH675" t="s">
        <v>33</v>
      </c>
      <c r="AI675" t="str">
        <f t="shared" si="232"/>
        <v>Include</v>
      </c>
      <c r="AJ675" t="str">
        <f t="shared" si="233"/>
        <v/>
      </c>
      <c r="AK675" t="s">
        <v>34</v>
      </c>
      <c r="AL675" t="str">
        <f t="shared" si="229"/>
        <v>Completed</v>
      </c>
      <c r="AM675" t="str">
        <f t="shared" si="234"/>
        <v>Include</v>
      </c>
      <c r="AN675">
        <f t="shared" si="235"/>
        <v>13847.86</v>
      </c>
      <c r="AO675">
        <f t="shared" si="236"/>
        <v>5376.08</v>
      </c>
      <c r="AP675">
        <f>IF(AN675=0,0,AO675/AN675)</f>
        <v>0.38822460654570451</v>
      </c>
      <c r="AQ675" t="str">
        <f t="shared" si="237"/>
        <v>February</v>
      </c>
      <c r="AR675">
        <f t="shared" si="238"/>
        <v>2025</v>
      </c>
      <c r="AS675" t="str">
        <f t="shared" si="239"/>
        <v>Clean</v>
      </c>
      <c r="AT675" t="str">
        <f>IF(OR(AC675&lt;0,AC675&gt;0.5),"Invalid Discount","Valid")</f>
        <v>Valid</v>
      </c>
      <c r="AU675" t="str">
        <f>IF(G675&lt;E675,"Invalid Shipping Record","Valid")</f>
        <v>Valid</v>
      </c>
      <c r="AV675" t="str">
        <f>IF(OR(AL675="Cancelled",AH675="Failed"),"Exclude","Include")</f>
        <v>Include</v>
      </c>
      <c r="AW675" t="str">
        <f t="shared" si="240"/>
        <v>Match</v>
      </c>
      <c r="AX675" t="str">
        <f t="shared" si="241"/>
        <v>Match</v>
      </c>
    </row>
    <row r="676" spans="1:50">
      <c r="A676" t="s">
        <v>3174</v>
      </c>
      <c r="B676">
        <f t="shared" si="242"/>
        <v>1</v>
      </c>
      <c r="C676" t="str">
        <f t="shared" si="230"/>
        <v/>
      </c>
      <c r="D676" s="3" t="s">
        <v>3175</v>
      </c>
      <c r="E676" s="7">
        <v>45430</v>
      </c>
      <c r="F676" s="3" t="s">
        <v>3176</v>
      </c>
      <c r="G676" s="7">
        <v>45433</v>
      </c>
      <c r="H676" s="7" t="str">
        <f t="shared" si="221"/>
        <v>Valid</v>
      </c>
      <c r="I676" s="9">
        <f t="shared" si="222"/>
        <v>3</v>
      </c>
      <c r="J676" s="9" t="str">
        <f t="shared" si="223"/>
        <v>Valid</v>
      </c>
      <c r="K676" t="s">
        <v>3177</v>
      </c>
      <c r="L676" t="s">
        <v>82</v>
      </c>
      <c r="M676" t="s">
        <v>82</v>
      </c>
      <c r="N676" t="s">
        <v>107</v>
      </c>
      <c r="O676" s="3" t="str">
        <f t="shared" si="224"/>
        <v>Corporate</v>
      </c>
      <c r="P676" t="s">
        <v>41</v>
      </c>
      <c r="Q676" s="3" t="str">
        <f t="shared" si="225"/>
        <v>East</v>
      </c>
      <c r="R676" t="s">
        <v>310</v>
      </c>
      <c r="S676" t="s">
        <v>311</v>
      </c>
      <c r="T676" t="s">
        <v>85</v>
      </c>
      <c r="U676" s="3" t="str">
        <f t="shared" si="226"/>
        <v>Technology</v>
      </c>
      <c r="V676" t="s">
        <v>86</v>
      </c>
      <c r="W676" t="s">
        <v>3178</v>
      </c>
      <c r="X676" t="s">
        <v>32</v>
      </c>
      <c r="Y676" s="3" t="str">
        <f t="shared" si="227"/>
        <v>Second Class</v>
      </c>
      <c r="Z676">
        <v>1</v>
      </c>
      <c r="AA676">
        <v>1033.71</v>
      </c>
      <c r="AB676">
        <v>0</v>
      </c>
      <c r="AC676">
        <f t="shared" si="228"/>
        <v>0</v>
      </c>
      <c r="AD676" t="str">
        <f t="shared" si="231"/>
        <v>Valid</v>
      </c>
      <c r="AE676">
        <v>1033.71</v>
      </c>
      <c r="AF676">
        <v>630.82000000000005</v>
      </c>
      <c r="AG676">
        <v>402.89</v>
      </c>
      <c r="AH676" t="s">
        <v>136</v>
      </c>
      <c r="AI676" t="str">
        <f t="shared" si="232"/>
        <v>Include</v>
      </c>
      <c r="AJ676" t="str">
        <f t="shared" si="233"/>
        <v/>
      </c>
      <c r="AK676" t="s">
        <v>124</v>
      </c>
      <c r="AL676" t="str">
        <f t="shared" si="229"/>
        <v>Returned</v>
      </c>
      <c r="AM676" t="str">
        <f t="shared" si="234"/>
        <v>Include</v>
      </c>
      <c r="AN676">
        <f t="shared" si="235"/>
        <v>1033.71</v>
      </c>
      <c r="AO676">
        <f t="shared" si="236"/>
        <v>402.89</v>
      </c>
      <c r="AP676">
        <f>IF(AN676=0,0,AO676/AN676)</f>
        <v>0.38975147768716562</v>
      </c>
      <c r="AQ676" t="str">
        <f t="shared" si="237"/>
        <v>May</v>
      </c>
      <c r="AR676">
        <f t="shared" si="238"/>
        <v>2024</v>
      </c>
      <c r="AS676" t="str">
        <f t="shared" si="239"/>
        <v>Clean</v>
      </c>
      <c r="AT676" t="str">
        <f>IF(OR(AC676&lt;0,AC676&gt;0.5),"Invalid Discount","Valid")</f>
        <v>Valid</v>
      </c>
      <c r="AU676" t="str">
        <f>IF(G676&lt;E676,"Invalid Shipping Record","Valid")</f>
        <v>Valid</v>
      </c>
      <c r="AV676" t="str">
        <f>IF(OR(AL676="Cancelled",AH676="Failed"),"Exclude","Include")</f>
        <v>Include</v>
      </c>
      <c r="AW676" t="str">
        <f t="shared" si="240"/>
        <v>Match</v>
      </c>
      <c r="AX676" t="str">
        <f t="shared" si="241"/>
        <v>Match</v>
      </c>
    </row>
    <row r="677" spans="1:50">
      <c r="A677" t="s">
        <v>3179</v>
      </c>
      <c r="B677">
        <f t="shared" si="242"/>
        <v>1</v>
      </c>
      <c r="C677" t="str">
        <f t="shared" si="230"/>
        <v/>
      </c>
      <c r="D677" s="3" t="s">
        <v>3180</v>
      </c>
      <c r="E677" s="7">
        <v>45815</v>
      </c>
      <c r="F677" s="3" t="s">
        <v>3181</v>
      </c>
      <c r="G677" s="7">
        <v>45818</v>
      </c>
      <c r="H677" s="7" t="str">
        <f t="shared" si="221"/>
        <v>Valid</v>
      </c>
      <c r="I677" s="9">
        <f t="shared" si="222"/>
        <v>3</v>
      </c>
      <c r="J677" s="9" t="str">
        <f t="shared" si="223"/>
        <v>Valid</v>
      </c>
      <c r="K677" t="s">
        <v>3032</v>
      </c>
      <c r="L677" t="s">
        <v>161</v>
      </c>
      <c r="M677" t="s">
        <v>161</v>
      </c>
      <c r="N677" t="s">
        <v>25</v>
      </c>
      <c r="O677" s="3" t="str">
        <f t="shared" si="224"/>
        <v>Consumer</v>
      </c>
      <c r="P677" t="s">
        <v>26</v>
      </c>
      <c r="Q677" s="3" t="str">
        <f t="shared" si="225"/>
        <v>North</v>
      </c>
      <c r="R677" t="s">
        <v>27</v>
      </c>
      <c r="S677" t="s">
        <v>28</v>
      </c>
      <c r="T677" t="s">
        <v>44</v>
      </c>
      <c r="U677" s="3" t="str">
        <f t="shared" si="226"/>
        <v>Furniture</v>
      </c>
      <c r="V677" t="s">
        <v>64</v>
      </c>
      <c r="W677" t="s">
        <v>3182</v>
      </c>
      <c r="X677" t="s">
        <v>47</v>
      </c>
      <c r="Y677" s="3" t="str">
        <f t="shared" si="227"/>
        <v>Same Day</v>
      </c>
      <c r="Z677">
        <v>3</v>
      </c>
      <c r="AA677">
        <v>963.26</v>
      </c>
      <c r="AB677">
        <v>0</v>
      </c>
      <c r="AC677">
        <f t="shared" si="228"/>
        <v>0</v>
      </c>
      <c r="AD677" t="str">
        <f t="shared" si="231"/>
        <v>Valid</v>
      </c>
      <c r="AE677">
        <v>2889.78</v>
      </c>
      <c r="AF677">
        <v>1811.23</v>
      </c>
      <c r="AG677">
        <v>1078.55</v>
      </c>
      <c r="AH677" t="s">
        <v>33</v>
      </c>
      <c r="AI677" t="str">
        <f t="shared" si="232"/>
        <v>Include</v>
      </c>
      <c r="AJ677" t="str">
        <f t="shared" si="233"/>
        <v/>
      </c>
      <c r="AK677" t="s">
        <v>34</v>
      </c>
      <c r="AL677" t="str">
        <f t="shared" si="229"/>
        <v>Completed</v>
      </c>
      <c r="AM677" t="str">
        <f t="shared" si="234"/>
        <v>Include</v>
      </c>
      <c r="AN677">
        <f t="shared" si="235"/>
        <v>2889.7799999999997</v>
      </c>
      <c r="AO677">
        <f t="shared" si="236"/>
        <v>1078.5499999999997</v>
      </c>
      <c r="AP677">
        <f>IF(AN677=0,0,AO677/AN677)</f>
        <v>0.37322910394562903</v>
      </c>
      <c r="AQ677" t="str">
        <f t="shared" si="237"/>
        <v>June</v>
      </c>
      <c r="AR677">
        <f t="shared" si="238"/>
        <v>2025</v>
      </c>
      <c r="AS677" t="str">
        <f t="shared" si="239"/>
        <v>Clean</v>
      </c>
      <c r="AT677" t="str">
        <f>IF(OR(AC677&lt;0,AC677&gt;0.5),"Invalid Discount","Valid")</f>
        <v>Valid</v>
      </c>
      <c r="AU677" t="str">
        <f>IF(G677&lt;E677,"Invalid Shipping Record","Valid")</f>
        <v>Valid</v>
      </c>
      <c r="AV677" t="str">
        <f>IF(OR(AL677="Cancelled",AH677="Failed"),"Exclude","Include")</f>
        <v>Include</v>
      </c>
      <c r="AW677" t="str">
        <f t="shared" si="240"/>
        <v>Match</v>
      </c>
      <c r="AX677" t="str">
        <f t="shared" si="241"/>
        <v>Match</v>
      </c>
    </row>
    <row r="678" spans="1:50">
      <c r="A678" t="s">
        <v>3183</v>
      </c>
      <c r="B678">
        <f t="shared" si="242"/>
        <v>1</v>
      </c>
      <c r="C678" t="str">
        <f t="shared" si="230"/>
        <v/>
      </c>
      <c r="D678" s="3" t="s">
        <v>3184</v>
      </c>
      <c r="E678" s="7">
        <v>45911</v>
      </c>
      <c r="F678" s="3" t="s">
        <v>3185</v>
      </c>
      <c r="G678" s="7">
        <v>45918</v>
      </c>
      <c r="H678" s="7" t="str">
        <f t="shared" si="221"/>
        <v>Valid</v>
      </c>
      <c r="I678" s="9">
        <f t="shared" si="222"/>
        <v>7</v>
      </c>
      <c r="J678" s="9" t="str">
        <f t="shared" si="223"/>
        <v>Valid</v>
      </c>
      <c r="K678" t="s">
        <v>3186</v>
      </c>
      <c r="L678" t="s">
        <v>147</v>
      </c>
      <c r="M678" t="s">
        <v>147</v>
      </c>
      <c r="N678" t="s">
        <v>40</v>
      </c>
      <c r="O678" s="3" t="str">
        <f t="shared" si="224"/>
        <v>Small Business</v>
      </c>
      <c r="P678" t="s">
        <v>26</v>
      </c>
      <c r="Q678" s="3" t="str">
        <f t="shared" si="225"/>
        <v>North</v>
      </c>
      <c r="R678" t="s">
        <v>505</v>
      </c>
      <c r="S678" t="s">
        <v>506</v>
      </c>
      <c r="T678" t="s">
        <v>85</v>
      </c>
      <c r="U678" s="3" t="str">
        <f t="shared" si="226"/>
        <v>Technology</v>
      </c>
      <c r="V678" t="s">
        <v>222</v>
      </c>
      <c r="W678" t="s">
        <v>3187</v>
      </c>
      <c r="X678" t="s">
        <v>47</v>
      </c>
      <c r="Y678" s="3" t="str">
        <f t="shared" si="227"/>
        <v>Same Day</v>
      </c>
      <c r="Z678">
        <v>7</v>
      </c>
      <c r="AA678">
        <v>3411.21</v>
      </c>
      <c r="AB678">
        <v>0.15</v>
      </c>
      <c r="AC678">
        <f t="shared" si="228"/>
        <v>0.15</v>
      </c>
      <c r="AD678" t="str">
        <f t="shared" si="231"/>
        <v>Valid</v>
      </c>
      <c r="AE678">
        <v>20296.7</v>
      </c>
      <c r="AF678">
        <v>14920.87</v>
      </c>
      <c r="AG678">
        <v>5375.83</v>
      </c>
      <c r="AH678" t="s">
        <v>33</v>
      </c>
      <c r="AI678" t="str">
        <f t="shared" si="232"/>
        <v>Include</v>
      </c>
      <c r="AJ678" t="str">
        <f t="shared" si="233"/>
        <v/>
      </c>
      <c r="AK678" t="s">
        <v>34</v>
      </c>
      <c r="AL678" t="str">
        <f t="shared" si="229"/>
        <v>Completed</v>
      </c>
      <c r="AM678" t="str">
        <f t="shared" si="234"/>
        <v>Include</v>
      </c>
      <c r="AN678">
        <f t="shared" si="235"/>
        <v>20296.699499999999</v>
      </c>
      <c r="AO678">
        <f t="shared" si="236"/>
        <v>5375.829499999998</v>
      </c>
      <c r="AP678">
        <f>IF(AN678=0,0,AO678/AN678)</f>
        <v>0.26486225014071862</v>
      </c>
      <c r="AQ678" t="str">
        <f t="shared" si="237"/>
        <v>September</v>
      </c>
      <c r="AR678">
        <f t="shared" si="238"/>
        <v>2025</v>
      </c>
      <c r="AS678" t="str">
        <f t="shared" si="239"/>
        <v>Clean</v>
      </c>
      <c r="AT678" t="str">
        <f>IF(OR(AC678&lt;0,AC678&gt;0.5),"Invalid Discount","Valid")</f>
        <v>Valid</v>
      </c>
      <c r="AU678" t="str">
        <f>IF(G678&lt;E678,"Invalid Shipping Record","Valid")</f>
        <v>Valid</v>
      </c>
      <c r="AV678" t="str">
        <f>IF(OR(AL678="Cancelled",AH678="Failed"),"Exclude","Include")</f>
        <v>Include</v>
      </c>
      <c r="AW678" t="str">
        <f t="shared" si="240"/>
        <v>Match</v>
      </c>
      <c r="AX678" t="str">
        <f t="shared" si="241"/>
        <v>Match</v>
      </c>
    </row>
    <row r="679" spans="1:50">
      <c r="A679" t="s">
        <v>3188</v>
      </c>
      <c r="B679">
        <f t="shared" si="242"/>
        <v>1</v>
      </c>
      <c r="C679" t="str">
        <f t="shared" si="230"/>
        <v/>
      </c>
      <c r="D679" s="3" t="s">
        <v>3189</v>
      </c>
      <c r="E679" s="7">
        <v>45465</v>
      </c>
      <c r="F679" s="3" t="s">
        <v>3190</v>
      </c>
      <c r="G679" s="7">
        <v>45470</v>
      </c>
      <c r="H679" s="7" t="str">
        <f t="shared" si="221"/>
        <v>Valid</v>
      </c>
      <c r="I679" s="9">
        <f t="shared" si="222"/>
        <v>5</v>
      </c>
      <c r="J679" s="9" t="str">
        <f t="shared" si="223"/>
        <v>Valid</v>
      </c>
      <c r="K679" t="s">
        <v>23</v>
      </c>
      <c r="L679" t="s">
        <v>52</v>
      </c>
      <c r="M679" t="s">
        <v>52</v>
      </c>
      <c r="N679" t="s">
        <v>114</v>
      </c>
      <c r="O679" s="3" t="str">
        <f t="shared" si="224"/>
        <v>Home Office</v>
      </c>
      <c r="P679" t="s">
        <v>61</v>
      </c>
      <c r="Q679" s="3" t="str">
        <f t="shared" si="225"/>
        <v>South</v>
      </c>
      <c r="R679" t="s">
        <v>228</v>
      </c>
      <c r="S679" t="s">
        <v>229</v>
      </c>
      <c r="T679" t="s">
        <v>44</v>
      </c>
      <c r="U679" s="3" t="str">
        <f t="shared" si="226"/>
        <v>Furniture</v>
      </c>
      <c r="V679" t="s">
        <v>75</v>
      </c>
      <c r="W679" t="s">
        <v>3191</v>
      </c>
      <c r="X679" t="s">
        <v>47</v>
      </c>
      <c r="Y679" s="3" t="str">
        <f t="shared" si="227"/>
        <v>Same Day</v>
      </c>
      <c r="Z679">
        <v>7</v>
      </c>
      <c r="AA679">
        <v>2623.48</v>
      </c>
      <c r="AB679">
        <v>0</v>
      </c>
      <c r="AC679">
        <f t="shared" si="228"/>
        <v>0</v>
      </c>
      <c r="AD679" t="str">
        <f t="shared" si="231"/>
        <v>Valid</v>
      </c>
      <c r="AE679">
        <v>18364.36</v>
      </c>
      <c r="AF679">
        <v>15445.81</v>
      </c>
      <c r="AG679">
        <v>2918.55</v>
      </c>
      <c r="AH679" t="s">
        <v>33</v>
      </c>
      <c r="AI679" t="str">
        <f t="shared" si="232"/>
        <v>Include</v>
      </c>
      <c r="AJ679" t="str">
        <f t="shared" si="233"/>
        <v/>
      </c>
      <c r="AK679" t="s">
        <v>34</v>
      </c>
      <c r="AL679" t="str">
        <f t="shared" si="229"/>
        <v>Completed</v>
      </c>
      <c r="AM679" t="str">
        <f t="shared" si="234"/>
        <v>Include</v>
      </c>
      <c r="AN679">
        <f t="shared" si="235"/>
        <v>18364.36</v>
      </c>
      <c r="AO679">
        <f t="shared" si="236"/>
        <v>2918.5500000000011</v>
      </c>
      <c r="AP679">
        <f>IF(AN679=0,0,AO679/AN679)</f>
        <v>0.15892467801763857</v>
      </c>
      <c r="AQ679" t="str">
        <f t="shared" si="237"/>
        <v>June</v>
      </c>
      <c r="AR679">
        <f t="shared" si="238"/>
        <v>2024</v>
      </c>
      <c r="AS679" t="str">
        <f t="shared" si="239"/>
        <v>Clean</v>
      </c>
      <c r="AT679" t="str">
        <f>IF(OR(AC679&lt;0,AC679&gt;0.5),"Invalid Discount","Valid")</f>
        <v>Valid</v>
      </c>
      <c r="AU679" t="str">
        <f>IF(G679&lt;E679,"Invalid Shipping Record","Valid")</f>
        <v>Valid</v>
      </c>
      <c r="AV679" t="str">
        <f>IF(OR(AL679="Cancelled",AH679="Failed"),"Exclude","Include")</f>
        <v>Include</v>
      </c>
      <c r="AW679" t="str">
        <f t="shared" si="240"/>
        <v>Match</v>
      </c>
      <c r="AX679" t="str">
        <f t="shared" si="241"/>
        <v>Match</v>
      </c>
    </row>
    <row r="680" spans="1:50">
      <c r="A680" t="s">
        <v>3192</v>
      </c>
      <c r="B680">
        <f t="shared" si="242"/>
        <v>1</v>
      </c>
      <c r="C680" t="str">
        <f t="shared" si="230"/>
        <v/>
      </c>
      <c r="D680" s="3" t="s">
        <v>3193</v>
      </c>
      <c r="E680" s="7">
        <v>45620</v>
      </c>
      <c r="F680" s="3" t="s">
        <v>3194</v>
      </c>
      <c r="G680" s="7">
        <v>45627</v>
      </c>
      <c r="H680" s="7" t="str">
        <f t="shared" si="221"/>
        <v>Valid</v>
      </c>
      <c r="I680" s="9">
        <f t="shared" si="222"/>
        <v>7</v>
      </c>
      <c r="J680" s="9" t="str">
        <f t="shared" si="223"/>
        <v>Valid</v>
      </c>
      <c r="K680" t="s">
        <v>3195</v>
      </c>
      <c r="L680" t="s">
        <v>365</v>
      </c>
      <c r="M680" t="s">
        <v>365</v>
      </c>
      <c r="N680" t="s">
        <v>107</v>
      </c>
      <c r="O680" s="3" t="str">
        <f t="shared" si="224"/>
        <v>Corporate</v>
      </c>
      <c r="P680" t="s">
        <v>61</v>
      </c>
      <c r="Q680" s="3" t="str">
        <f t="shared" si="225"/>
        <v>South</v>
      </c>
      <c r="R680" t="s">
        <v>228</v>
      </c>
      <c r="S680" t="s">
        <v>229</v>
      </c>
      <c r="T680" t="s">
        <v>44</v>
      </c>
      <c r="U680" s="3" t="str">
        <f t="shared" si="226"/>
        <v>Furniture</v>
      </c>
      <c r="V680" t="s">
        <v>45</v>
      </c>
      <c r="W680" t="s">
        <v>3196</v>
      </c>
      <c r="X680" t="s">
        <v>32</v>
      </c>
      <c r="Y680" s="3" t="str">
        <f t="shared" si="227"/>
        <v>Second Class</v>
      </c>
      <c r="Z680">
        <v>9</v>
      </c>
      <c r="AA680">
        <v>2763.61</v>
      </c>
      <c r="AB680">
        <v>0.15</v>
      </c>
      <c r="AC680">
        <f t="shared" si="228"/>
        <v>0.15</v>
      </c>
      <c r="AD680" t="str">
        <f t="shared" si="231"/>
        <v>Valid</v>
      </c>
      <c r="AE680">
        <v>21141.62</v>
      </c>
      <c r="AF680">
        <v>11676.33</v>
      </c>
      <c r="AG680">
        <v>9465.2900000000009</v>
      </c>
      <c r="AH680" t="s">
        <v>33</v>
      </c>
      <c r="AI680" t="str">
        <f t="shared" si="232"/>
        <v>Include</v>
      </c>
      <c r="AJ680" t="str">
        <f t="shared" si="233"/>
        <v/>
      </c>
      <c r="AK680" t="s">
        <v>34</v>
      </c>
      <c r="AL680" t="str">
        <f t="shared" si="229"/>
        <v>Completed</v>
      </c>
      <c r="AM680" t="str">
        <f t="shared" si="234"/>
        <v>Include</v>
      </c>
      <c r="AN680">
        <f t="shared" si="235"/>
        <v>21141.6165</v>
      </c>
      <c r="AO680">
        <f t="shared" si="236"/>
        <v>9465.2865000000002</v>
      </c>
      <c r="AP680">
        <f>IF(AN680=0,0,AO680/AN680)</f>
        <v>0.44770874071999178</v>
      </c>
      <c r="AQ680" t="str">
        <f t="shared" si="237"/>
        <v>November</v>
      </c>
      <c r="AR680">
        <f t="shared" si="238"/>
        <v>2024</v>
      </c>
      <c r="AS680" t="str">
        <f t="shared" si="239"/>
        <v>Clean</v>
      </c>
      <c r="AT680" t="str">
        <f>IF(OR(AC680&lt;0,AC680&gt;0.5),"Invalid Discount","Valid")</f>
        <v>Valid</v>
      </c>
      <c r="AU680" t="str">
        <f>IF(G680&lt;E680,"Invalid Shipping Record","Valid")</f>
        <v>Valid</v>
      </c>
      <c r="AV680" t="str">
        <f>IF(OR(AL680="Cancelled",AH680="Failed"),"Exclude","Include")</f>
        <v>Include</v>
      </c>
      <c r="AW680" t="str">
        <f t="shared" si="240"/>
        <v>Match</v>
      </c>
      <c r="AX680" t="str">
        <f t="shared" si="241"/>
        <v>Match</v>
      </c>
    </row>
    <row r="681" spans="1:50">
      <c r="A681" t="s">
        <v>3197</v>
      </c>
      <c r="B681">
        <f t="shared" si="242"/>
        <v>1</v>
      </c>
      <c r="C681" t="str">
        <f t="shared" si="230"/>
        <v/>
      </c>
      <c r="D681" s="3" t="s">
        <v>3198</v>
      </c>
      <c r="E681" s="7">
        <v>45885</v>
      </c>
      <c r="F681" s="3" t="s">
        <v>639</v>
      </c>
      <c r="G681" s="7">
        <v>45892</v>
      </c>
      <c r="H681" s="7" t="str">
        <f t="shared" si="221"/>
        <v>Valid</v>
      </c>
      <c r="I681" s="9">
        <f t="shared" si="222"/>
        <v>7</v>
      </c>
      <c r="J681" s="9" t="str">
        <f t="shared" si="223"/>
        <v>Valid</v>
      </c>
      <c r="K681" t="s">
        <v>3199</v>
      </c>
      <c r="L681" t="s">
        <v>179</v>
      </c>
      <c r="M681" t="s">
        <v>179</v>
      </c>
      <c r="N681" t="s">
        <v>107</v>
      </c>
      <c r="O681" s="3" t="str">
        <f t="shared" si="224"/>
        <v>Corporate</v>
      </c>
      <c r="P681" t="s">
        <v>26</v>
      </c>
      <c r="Q681" s="3" t="str">
        <f t="shared" si="225"/>
        <v>North</v>
      </c>
      <c r="R681" t="s">
        <v>153</v>
      </c>
      <c r="S681" t="s">
        <v>154</v>
      </c>
      <c r="T681" t="s">
        <v>85</v>
      </c>
      <c r="U681" s="3" t="str">
        <f t="shared" si="226"/>
        <v>Technology</v>
      </c>
      <c r="V681" t="s">
        <v>93</v>
      </c>
      <c r="W681" t="s">
        <v>3200</v>
      </c>
      <c r="X681" t="s">
        <v>47</v>
      </c>
      <c r="Y681" s="3" t="str">
        <f t="shared" si="227"/>
        <v>Same Day</v>
      </c>
      <c r="Z681">
        <v>4</v>
      </c>
      <c r="AA681">
        <v>1410.57</v>
      </c>
      <c r="AB681" t="s">
        <v>680</v>
      </c>
      <c r="AC681" t="str">
        <f t="shared" si="228"/>
        <v>70%</v>
      </c>
      <c r="AD681" t="str">
        <f t="shared" si="231"/>
        <v>Valid</v>
      </c>
      <c r="AE681">
        <v>5360.17</v>
      </c>
      <c r="AF681">
        <v>3881.51</v>
      </c>
      <c r="AG681">
        <v>1478.66</v>
      </c>
      <c r="AH681" t="s">
        <v>123</v>
      </c>
      <c r="AI681" t="str">
        <f t="shared" si="232"/>
        <v>Exclude</v>
      </c>
      <c r="AJ681" t="str">
        <f t="shared" si="233"/>
        <v>Refunded Order</v>
      </c>
      <c r="AK681" t="s">
        <v>77</v>
      </c>
      <c r="AL681" t="str">
        <f t="shared" si="229"/>
        <v>Cancelled</v>
      </c>
      <c r="AM681" t="str">
        <f t="shared" si="234"/>
        <v>Exclude</v>
      </c>
      <c r="AN681">
        <f t="shared" si="235"/>
        <v>1692.6840000000002</v>
      </c>
      <c r="AO681">
        <f t="shared" si="236"/>
        <v>-2188.826</v>
      </c>
      <c r="AP681">
        <f>IF(AN681=0,0,AO681/AN681)</f>
        <v>-1.2931096412561351</v>
      </c>
      <c r="AQ681" t="str">
        <f t="shared" si="237"/>
        <v>August</v>
      </c>
      <c r="AR681">
        <f t="shared" si="238"/>
        <v>2025</v>
      </c>
      <c r="AS681" t="str">
        <f t="shared" si="239"/>
        <v>Invalid</v>
      </c>
      <c r="AT681" t="str">
        <f>IF(OR(AC681&lt;0,AC681&gt;0.5),"Invalid Discount","Valid")</f>
        <v>Invalid Discount</v>
      </c>
      <c r="AU681" t="str">
        <f>IF(G681&lt;E681,"Invalid Shipping Record","Valid")</f>
        <v>Valid</v>
      </c>
      <c r="AV681" t="str">
        <f>IF(OR(AL681="Cancelled",AH681="Failed"),"Exclude","Include")</f>
        <v>Exclude</v>
      </c>
      <c r="AW681" t="str">
        <f t="shared" si="240"/>
        <v>Mismatch</v>
      </c>
      <c r="AX681" t="str">
        <f t="shared" si="241"/>
        <v>Mismatch</v>
      </c>
    </row>
    <row r="682" spans="1:50">
      <c r="A682" t="s">
        <v>3201</v>
      </c>
      <c r="B682">
        <f t="shared" si="242"/>
        <v>1</v>
      </c>
      <c r="C682" t="str">
        <f t="shared" si="230"/>
        <v/>
      </c>
      <c r="D682" s="3" t="s">
        <v>273</v>
      </c>
      <c r="E682" s="7">
        <v>45441</v>
      </c>
      <c r="F682" s="3" t="s">
        <v>576</v>
      </c>
      <c r="G682" s="7">
        <v>45448</v>
      </c>
      <c r="H682" s="7" t="str">
        <f t="shared" si="221"/>
        <v>Valid</v>
      </c>
      <c r="I682" s="9">
        <f t="shared" si="222"/>
        <v>7</v>
      </c>
      <c r="J682" s="9" t="str">
        <f t="shared" si="223"/>
        <v>Valid</v>
      </c>
      <c r="K682" t="s">
        <v>3202</v>
      </c>
      <c r="L682" t="s">
        <v>365</v>
      </c>
      <c r="M682" t="s">
        <v>365</v>
      </c>
      <c r="N682" t="s">
        <v>107</v>
      </c>
      <c r="O682" s="3" t="str">
        <f t="shared" si="224"/>
        <v>Corporate</v>
      </c>
      <c r="P682" t="s">
        <v>61</v>
      </c>
      <c r="Q682" s="3" t="str">
        <f t="shared" si="225"/>
        <v>South</v>
      </c>
      <c r="R682" t="s">
        <v>338</v>
      </c>
      <c r="S682" t="s">
        <v>339</v>
      </c>
      <c r="T682" t="s">
        <v>85</v>
      </c>
      <c r="U682" s="3" t="str">
        <f t="shared" si="226"/>
        <v>Technology</v>
      </c>
      <c r="V682" t="s">
        <v>86</v>
      </c>
      <c r="W682" t="s">
        <v>3203</v>
      </c>
      <c r="X682" t="s">
        <v>55</v>
      </c>
      <c r="Y682" s="3" t="str">
        <f t="shared" si="227"/>
        <v>First Class</v>
      </c>
      <c r="Z682">
        <v>4</v>
      </c>
      <c r="AA682">
        <v>3700.24</v>
      </c>
      <c r="AB682">
        <v>0</v>
      </c>
      <c r="AC682">
        <f t="shared" si="228"/>
        <v>0</v>
      </c>
      <c r="AD682" t="str">
        <f t="shared" si="231"/>
        <v>Valid</v>
      </c>
      <c r="AE682">
        <v>14800.96</v>
      </c>
      <c r="AF682">
        <v>12048.39</v>
      </c>
      <c r="AG682">
        <v>2752.57</v>
      </c>
      <c r="AH682" t="s">
        <v>33</v>
      </c>
      <c r="AI682" t="str">
        <f t="shared" si="232"/>
        <v>Include</v>
      </c>
      <c r="AJ682" t="str">
        <f t="shared" si="233"/>
        <v/>
      </c>
      <c r="AK682" t="s">
        <v>34</v>
      </c>
      <c r="AL682" t="str">
        <f t="shared" si="229"/>
        <v>Completed</v>
      </c>
      <c r="AM682" t="str">
        <f t="shared" si="234"/>
        <v>Include</v>
      </c>
      <c r="AN682">
        <f t="shared" si="235"/>
        <v>14800.96</v>
      </c>
      <c r="AO682">
        <f t="shared" si="236"/>
        <v>2752.5699999999997</v>
      </c>
      <c r="AP682">
        <f>IF(AN682=0,0,AO682/AN682)</f>
        <v>0.18597239638509933</v>
      </c>
      <c r="AQ682" t="str">
        <f t="shared" si="237"/>
        <v>May</v>
      </c>
      <c r="AR682">
        <f t="shared" si="238"/>
        <v>2024</v>
      </c>
      <c r="AS682" t="str">
        <f t="shared" si="239"/>
        <v>Clean</v>
      </c>
      <c r="AT682" t="str">
        <f>IF(OR(AC682&lt;0,AC682&gt;0.5),"Invalid Discount","Valid")</f>
        <v>Valid</v>
      </c>
      <c r="AU682" t="str">
        <f>IF(G682&lt;E682,"Invalid Shipping Record","Valid")</f>
        <v>Valid</v>
      </c>
      <c r="AV682" t="str">
        <f>IF(OR(AL682="Cancelled",AH682="Failed"),"Exclude","Include")</f>
        <v>Include</v>
      </c>
      <c r="AW682" t="str">
        <f t="shared" si="240"/>
        <v>Match</v>
      </c>
      <c r="AX682" t="str">
        <f t="shared" si="241"/>
        <v>Match</v>
      </c>
    </row>
    <row r="683" spans="1:50">
      <c r="A683" t="s">
        <v>3204</v>
      </c>
      <c r="B683">
        <f t="shared" si="242"/>
        <v>1</v>
      </c>
      <c r="C683" t="str">
        <f t="shared" si="230"/>
        <v/>
      </c>
      <c r="D683" s="3" t="s">
        <v>3205</v>
      </c>
      <c r="E683" s="7">
        <v>45477</v>
      </c>
      <c r="F683" s="3" t="s">
        <v>3206</v>
      </c>
      <c r="G683" s="7">
        <v>45483</v>
      </c>
      <c r="H683" s="7" t="str">
        <f t="shared" si="221"/>
        <v>Valid</v>
      </c>
      <c r="I683" s="9">
        <f t="shared" si="222"/>
        <v>6</v>
      </c>
      <c r="J683" s="9" t="str">
        <f t="shared" si="223"/>
        <v>Valid</v>
      </c>
      <c r="K683" t="s">
        <v>3207</v>
      </c>
      <c r="L683" t="s">
        <v>82</v>
      </c>
      <c r="M683" t="s">
        <v>82</v>
      </c>
      <c r="N683" t="s">
        <v>107</v>
      </c>
      <c r="O683" s="3" t="str">
        <f t="shared" si="224"/>
        <v>Corporate</v>
      </c>
      <c r="P683" t="s">
        <v>26</v>
      </c>
      <c r="Q683" s="3" t="str">
        <f t="shared" si="225"/>
        <v>North</v>
      </c>
      <c r="R683" t="s">
        <v>505</v>
      </c>
      <c r="S683" t="s">
        <v>506</v>
      </c>
      <c r="T683" t="s">
        <v>44</v>
      </c>
      <c r="U683" s="3" t="str">
        <f t="shared" si="226"/>
        <v>Furniture</v>
      </c>
      <c r="V683" t="s">
        <v>45</v>
      </c>
      <c r="W683" t="s">
        <v>3208</v>
      </c>
      <c r="X683" t="s">
        <v>32</v>
      </c>
      <c r="Y683" s="3" t="str">
        <f t="shared" si="227"/>
        <v>Second Class</v>
      </c>
      <c r="Z683">
        <v>5</v>
      </c>
      <c r="AA683">
        <v>1200.27</v>
      </c>
      <c r="AB683">
        <v>0</v>
      </c>
      <c r="AC683">
        <f t="shared" si="228"/>
        <v>0</v>
      </c>
      <c r="AD683" t="str">
        <f t="shared" si="231"/>
        <v>Valid</v>
      </c>
      <c r="AE683">
        <v>6001.35</v>
      </c>
      <c r="AF683">
        <v>4182.99</v>
      </c>
      <c r="AG683">
        <v>1818.36</v>
      </c>
      <c r="AH683" t="s">
        <v>33</v>
      </c>
      <c r="AI683" t="str">
        <f t="shared" si="232"/>
        <v>Exclude</v>
      </c>
      <c r="AJ683" t="str">
        <f t="shared" si="233"/>
        <v/>
      </c>
      <c r="AK683" t="s">
        <v>77</v>
      </c>
      <c r="AL683" t="str">
        <f t="shared" si="229"/>
        <v>Cancelled</v>
      </c>
      <c r="AM683" t="str">
        <f t="shared" si="234"/>
        <v>Exclude</v>
      </c>
      <c r="AN683">
        <f t="shared" si="235"/>
        <v>6001.35</v>
      </c>
      <c r="AO683">
        <f t="shared" si="236"/>
        <v>1818.3600000000006</v>
      </c>
      <c r="AP683">
        <f>IF(AN683=0,0,AO683/AN683)</f>
        <v>0.30299182683896131</v>
      </c>
      <c r="AQ683" t="str">
        <f t="shared" si="237"/>
        <v>July</v>
      </c>
      <c r="AR683">
        <f t="shared" si="238"/>
        <v>2024</v>
      </c>
      <c r="AS683" t="str">
        <f t="shared" si="239"/>
        <v>Clean</v>
      </c>
      <c r="AT683" t="str">
        <f>IF(OR(AC683&lt;0,AC683&gt;0.5),"Invalid Discount","Valid")</f>
        <v>Valid</v>
      </c>
      <c r="AU683" t="str">
        <f>IF(G683&lt;E683,"Invalid Shipping Record","Valid")</f>
        <v>Valid</v>
      </c>
      <c r="AV683" t="str">
        <f>IF(OR(AL683="Cancelled",AH683="Failed"),"Exclude","Include")</f>
        <v>Exclude</v>
      </c>
      <c r="AW683" t="str">
        <f t="shared" si="240"/>
        <v>Match</v>
      </c>
      <c r="AX683" t="str">
        <f t="shared" si="241"/>
        <v>Match</v>
      </c>
    </row>
    <row r="684" spans="1:50">
      <c r="A684" t="s">
        <v>3209</v>
      </c>
      <c r="B684">
        <f t="shared" si="242"/>
        <v>1</v>
      </c>
      <c r="C684" t="str">
        <f t="shared" si="230"/>
        <v/>
      </c>
      <c r="D684" s="3" t="s">
        <v>343</v>
      </c>
      <c r="E684" s="7">
        <v>45693</v>
      </c>
      <c r="F684" s="3" t="s">
        <v>2882</v>
      </c>
      <c r="G684" s="7">
        <v>45693</v>
      </c>
      <c r="H684" s="7" t="str">
        <f t="shared" si="221"/>
        <v>Valid</v>
      </c>
      <c r="I684" s="9">
        <f t="shared" si="222"/>
        <v>0</v>
      </c>
      <c r="J684" s="9" t="str">
        <f t="shared" si="223"/>
        <v>Valid</v>
      </c>
      <c r="K684" t="s">
        <v>3210</v>
      </c>
      <c r="L684" t="s">
        <v>3211</v>
      </c>
      <c r="M684" t="s">
        <v>3211</v>
      </c>
      <c r="N684" t="s">
        <v>107</v>
      </c>
      <c r="O684" s="3" t="str">
        <f t="shared" si="224"/>
        <v>Corporate</v>
      </c>
      <c r="P684" t="s">
        <v>26</v>
      </c>
      <c r="Q684" s="3" t="str">
        <f t="shared" si="225"/>
        <v>North</v>
      </c>
      <c r="R684" t="s">
        <v>322</v>
      </c>
      <c r="S684" t="s">
        <v>323</v>
      </c>
      <c r="T684" t="s">
        <v>29</v>
      </c>
      <c r="U684" s="3" t="str">
        <f t="shared" si="226"/>
        <v>Office Supplies</v>
      </c>
      <c r="V684" t="s">
        <v>155</v>
      </c>
      <c r="W684" t="s">
        <v>3212</v>
      </c>
      <c r="X684" t="s">
        <v>47</v>
      </c>
      <c r="Y684" s="3" t="str">
        <f t="shared" si="227"/>
        <v>Same Day</v>
      </c>
      <c r="Z684">
        <v>3</v>
      </c>
      <c r="AA684">
        <v>2590.7800000000002</v>
      </c>
      <c r="AC684">
        <f t="shared" si="228"/>
        <v>0</v>
      </c>
      <c r="AD684" t="str">
        <f t="shared" si="231"/>
        <v>Valid</v>
      </c>
      <c r="AE684">
        <v>7383.72</v>
      </c>
      <c r="AF684">
        <v>4113.66</v>
      </c>
      <c r="AG684">
        <v>3270.06</v>
      </c>
      <c r="AH684" t="s">
        <v>33</v>
      </c>
      <c r="AI684" t="str">
        <f t="shared" si="232"/>
        <v>Include</v>
      </c>
      <c r="AJ684" t="str">
        <f t="shared" si="233"/>
        <v/>
      </c>
      <c r="AK684" t="s">
        <v>34</v>
      </c>
      <c r="AL684" t="str">
        <f t="shared" si="229"/>
        <v>Completed</v>
      </c>
      <c r="AM684" t="str">
        <f t="shared" si="234"/>
        <v>Include</v>
      </c>
      <c r="AN684">
        <f t="shared" si="235"/>
        <v>7772.34</v>
      </c>
      <c r="AO684">
        <f t="shared" si="236"/>
        <v>3658.6800000000003</v>
      </c>
      <c r="AP684">
        <f>IF(AN684=0,0,AO684/AN684)</f>
        <v>0.47073082237781677</v>
      </c>
      <c r="AQ684" t="str">
        <f t="shared" si="237"/>
        <v>February</v>
      </c>
      <c r="AR684">
        <f t="shared" si="238"/>
        <v>2025</v>
      </c>
      <c r="AS684" t="str">
        <f t="shared" si="239"/>
        <v>Clean</v>
      </c>
      <c r="AT684" t="str">
        <f>IF(OR(AC684&lt;0,AC684&gt;0.5),"Invalid Discount","Valid")</f>
        <v>Valid</v>
      </c>
      <c r="AU684" t="str">
        <f>IF(G684&lt;E684,"Invalid Shipping Record","Valid")</f>
        <v>Valid</v>
      </c>
      <c r="AV684" t="str">
        <f>IF(OR(AL684="Cancelled",AH684="Failed"),"Exclude","Include")</f>
        <v>Include</v>
      </c>
      <c r="AW684" t="str">
        <f t="shared" si="240"/>
        <v>Mismatch</v>
      </c>
      <c r="AX684" t="str">
        <f t="shared" si="241"/>
        <v>Mismatch</v>
      </c>
    </row>
    <row r="685" spans="1:50">
      <c r="A685" t="s">
        <v>3213</v>
      </c>
      <c r="B685">
        <f t="shared" si="242"/>
        <v>1</v>
      </c>
      <c r="C685" t="str">
        <f t="shared" si="230"/>
        <v/>
      </c>
      <c r="D685" s="3" t="s">
        <v>3214</v>
      </c>
      <c r="E685" s="7">
        <v>45858</v>
      </c>
      <c r="F685" s="3" t="s">
        <v>1728</v>
      </c>
      <c r="G685" s="7">
        <v>45862</v>
      </c>
      <c r="H685" s="7" t="str">
        <f t="shared" si="221"/>
        <v>Valid</v>
      </c>
      <c r="I685" s="9">
        <f t="shared" si="222"/>
        <v>4</v>
      </c>
      <c r="J685" s="9" t="str">
        <f t="shared" si="223"/>
        <v>Valid</v>
      </c>
      <c r="K685" t="s">
        <v>3215</v>
      </c>
      <c r="L685" t="s">
        <v>60</v>
      </c>
      <c r="M685" t="s">
        <v>60</v>
      </c>
      <c r="N685" t="s">
        <v>40</v>
      </c>
      <c r="O685" s="3" t="str">
        <f t="shared" si="224"/>
        <v>Small Business</v>
      </c>
      <c r="P685" t="s">
        <v>61</v>
      </c>
      <c r="Q685" s="3" t="str">
        <f t="shared" si="225"/>
        <v>South</v>
      </c>
      <c r="R685" t="s">
        <v>62</v>
      </c>
      <c r="S685" t="s">
        <v>63</v>
      </c>
      <c r="T685" t="s">
        <v>44</v>
      </c>
      <c r="U685" s="3" t="str">
        <f t="shared" si="226"/>
        <v>Furniture</v>
      </c>
      <c r="V685" t="s">
        <v>64</v>
      </c>
      <c r="W685" t="s">
        <v>3216</v>
      </c>
      <c r="X685" t="s">
        <v>32</v>
      </c>
      <c r="Y685" s="3" t="str">
        <f t="shared" si="227"/>
        <v>Second Class</v>
      </c>
      <c r="Z685">
        <v>6</v>
      </c>
      <c r="AA685">
        <v>1646.45</v>
      </c>
      <c r="AB685">
        <v>0.2</v>
      </c>
      <c r="AC685">
        <f t="shared" si="228"/>
        <v>0.2</v>
      </c>
      <c r="AD685" t="str">
        <f t="shared" si="231"/>
        <v>Valid</v>
      </c>
      <c r="AE685">
        <v>7902.96</v>
      </c>
      <c r="AF685">
        <v>5512.03</v>
      </c>
      <c r="AG685">
        <v>2390.9299999999998</v>
      </c>
      <c r="AH685" t="s">
        <v>123</v>
      </c>
      <c r="AI685" t="str">
        <f t="shared" si="232"/>
        <v>Exclude</v>
      </c>
      <c r="AJ685" t="str">
        <f t="shared" si="233"/>
        <v>Refunded Order</v>
      </c>
      <c r="AK685" t="s">
        <v>77</v>
      </c>
      <c r="AL685" t="str">
        <f t="shared" si="229"/>
        <v>Cancelled</v>
      </c>
      <c r="AM685" t="str">
        <f t="shared" si="234"/>
        <v>Exclude</v>
      </c>
      <c r="AN685">
        <f t="shared" si="235"/>
        <v>7902.9600000000009</v>
      </c>
      <c r="AO685">
        <f t="shared" si="236"/>
        <v>2390.9300000000012</v>
      </c>
      <c r="AP685">
        <f>IF(AN685=0,0,AO685/AN685)</f>
        <v>0.30253601182341816</v>
      </c>
      <c r="AQ685" t="str">
        <f t="shared" si="237"/>
        <v>July</v>
      </c>
      <c r="AR685">
        <f t="shared" si="238"/>
        <v>2025</v>
      </c>
      <c r="AS685" t="str">
        <f t="shared" si="239"/>
        <v>Clean</v>
      </c>
      <c r="AT685" t="str">
        <f>IF(OR(AC685&lt;0,AC685&gt;0.5),"Invalid Discount","Valid")</f>
        <v>Valid</v>
      </c>
      <c r="AU685" t="str">
        <f>IF(G685&lt;E685,"Invalid Shipping Record","Valid")</f>
        <v>Valid</v>
      </c>
      <c r="AV685" t="str">
        <f>IF(OR(AL685="Cancelled",AH685="Failed"),"Exclude","Include")</f>
        <v>Exclude</v>
      </c>
      <c r="AW685" t="str">
        <f t="shared" si="240"/>
        <v>Match</v>
      </c>
      <c r="AX685" t="str">
        <f t="shared" si="241"/>
        <v>Match</v>
      </c>
    </row>
    <row r="686" spans="1:50">
      <c r="A686" t="s">
        <v>3217</v>
      </c>
      <c r="B686">
        <f t="shared" si="242"/>
        <v>1</v>
      </c>
      <c r="C686" t="str">
        <f t="shared" si="230"/>
        <v/>
      </c>
      <c r="D686" s="3" t="s">
        <v>3218</v>
      </c>
      <c r="E686" s="7">
        <v>45859</v>
      </c>
      <c r="F686" s="3" t="s">
        <v>493</v>
      </c>
      <c r="G686" s="7">
        <v>45859</v>
      </c>
      <c r="H686" s="7" t="str">
        <f t="shared" si="221"/>
        <v>Valid</v>
      </c>
      <c r="I686" s="9">
        <f t="shared" si="222"/>
        <v>0</v>
      </c>
      <c r="J686" s="9" t="str">
        <f t="shared" si="223"/>
        <v>Valid</v>
      </c>
      <c r="K686" t="s">
        <v>3219</v>
      </c>
      <c r="L686" t="s">
        <v>52</v>
      </c>
      <c r="M686" t="s">
        <v>52</v>
      </c>
      <c r="N686" t="s">
        <v>114</v>
      </c>
      <c r="O686" s="3" t="str">
        <f t="shared" si="224"/>
        <v>Home Office</v>
      </c>
      <c r="P686" t="s">
        <v>61</v>
      </c>
      <c r="Q686" s="3" t="str">
        <f t="shared" si="225"/>
        <v>South</v>
      </c>
      <c r="R686" t="s">
        <v>338</v>
      </c>
      <c r="S686" t="s">
        <v>339</v>
      </c>
      <c r="T686" t="s">
        <v>44</v>
      </c>
      <c r="U686" s="3" t="str">
        <f t="shared" si="226"/>
        <v>Furniture</v>
      </c>
      <c r="V686" t="s">
        <v>203</v>
      </c>
      <c r="W686" t="s">
        <v>3220</v>
      </c>
      <c r="X686" t="s">
        <v>55</v>
      </c>
      <c r="Y686" s="3" t="str">
        <f t="shared" si="227"/>
        <v>First Class</v>
      </c>
      <c r="Z686">
        <v>7</v>
      </c>
      <c r="AA686">
        <v>4396.6499999999996</v>
      </c>
      <c r="AB686">
        <v>0.2</v>
      </c>
      <c r="AC686">
        <f t="shared" si="228"/>
        <v>0.2</v>
      </c>
      <c r="AD686" t="str">
        <f t="shared" si="231"/>
        <v>Valid</v>
      </c>
      <c r="AE686">
        <v>24621.24</v>
      </c>
      <c r="AF686">
        <v>17155.48</v>
      </c>
      <c r="AG686">
        <v>7465.76</v>
      </c>
      <c r="AH686" t="s">
        <v>123</v>
      </c>
      <c r="AI686" t="str">
        <f t="shared" si="232"/>
        <v>Exclude</v>
      </c>
      <c r="AJ686" t="str">
        <f t="shared" si="233"/>
        <v>Refunded Order</v>
      </c>
      <c r="AK686" t="s">
        <v>77</v>
      </c>
      <c r="AL686" t="str">
        <f t="shared" si="229"/>
        <v>Cancelled</v>
      </c>
      <c r="AM686" t="str">
        <f t="shared" si="234"/>
        <v>Exclude</v>
      </c>
      <c r="AN686">
        <f t="shared" si="235"/>
        <v>24621.239999999998</v>
      </c>
      <c r="AO686">
        <f t="shared" si="236"/>
        <v>7465.7599999999984</v>
      </c>
      <c r="AP686">
        <f>IF(AN686=0,0,AO686/AN686)</f>
        <v>0.3032243705028666</v>
      </c>
      <c r="AQ686" t="str">
        <f t="shared" si="237"/>
        <v>July</v>
      </c>
      <c r="AR686">
        <f t="shared" si="238"/>
        <v>2025</v>
      </c>
      <c r="AS686" t="str">
        <f t="shared" si="239"/>
        <v>Clean</v>
      </c>
      <c r="AT686" t="str">
        <f>IF(OR(AC686&lt;0,AC686&gt;0.5),"Invalid Discount","Valid")</f>
        <v>Valid</v>
      </c>
      <c r="AU686" t="str">
        <f>IF(G686&lt;E686,"Invalid Shipping Record","Valid")</f>
        <v>Valid</v>
      </c>
      <c r="AV686" t="str">
        <f>IF(OR(AL686="Cancelled",AH686="Failed"),"Exclude","Include")</f>
        <v>Exclude</v>
      </c>
      <c r="AW686" t="str">
        <f t="shared" si="240"/>
        <v>Match</v>
      </c>
      <c r="AX686" t="str">
        <f t="shared" si="241"/>
        <v>Match</v>
      </c>
    </row>
    <row r="687" spans="1:50">
      <c r="A687" t="s">
        <v>3221</v>
      </c>
      <c r="B687">
        <f t="shared" si="242"/>
        <v>1</v>
      </c>
      <c r="C687" t="str">
        <f t="shared" si="230"/>
        <v/>
      </c>
      <c r="D687" s="3" t="s">
        <v>3222</v>
      </c>
      <c r="E687" s="7">
        <v>45931</v>
      </c>
      <c r="F687" s="3" t="s">
        <v>498</v>
      </c>
      <c r="G687" s="7">
        <v>45933</v>
      </c>
      <c r="H687" s="7" t="str">
        <f t="shared" si="221"/>
        <v>Valid</v>
      </c>
      <c r="I687" s="9">
        <f t="shared" si="222"/>
        <v>2</v>
      </c>
      <c r="J687" s="9" t="str">
        <f t="shared" si="223"/>
        <v>Valid</v>
      </c>
      <c r="K687" t="s">
        <v>2733</v>
      </c>
      <c r="L687" t="s">
        <v>92</v>
      </c>
      <c r="M687" t="s">
        <v>92</v>
      </c>
      <c r="N687" t="s">
        <v>107</v>
      </c>
      <c r="O687" s="3" t="str">
        <f t="shared" si="224"/>
        <v>Corporate</v>
      </c>
      <c r="P687" t="s">
        <v>72</v>
      </c>
      <c r="Q687" s="3" t="str">
        <f t="shared" si="225"/>
        <v>West</v>
      </c>
      <c r="R687" t="s">
        <v>248</v>
      </c>
      <c r="S687" t="s">
        <v>249</v>
      </c>
      <c r="T687" t="s">
        <v>29</v>
      </c>
      <c r="U687" s="3" t="str">
        <f t="shared" si="226"/>
        <v>Office Supplies</v>
      </c>
      <c r="V687" t="s">
        <v>53</v>
      </c>
      <c r="W687" t="s">
        <v>3223</v>
      </c>
      <c r="X687" t="s">
        <v>66</v>
      </c>
      <c r="Y687" s="3" t="str">
        <f t="shared" si="227"/>
        <v>Standard Class</v>
      </c>
      <c r="Z687">
        <v>9</v>
      </c>
      <c r="AA687">
        <v>818.15</v>
      </c>
      <c r="AB687">
        <v>0.55000000000000004</v>
      </c>
      <c r="AC687">
        <f t="shared" si="228"/>
        <v>0.55000000000000004</v>
      </c>
      <c r="AD687" t="str">
        <f t="shared" si="231"/>
        <v>Valid</v>
      </c>
      <c r="AE687">
        <v>6627.01</v>
      </c>
      <c r="AF687">
        <v>5606.79</v>
      </c>
      <c r="AG687">
        <v>1020.22</v>
      </c>
      <c r="AH687" t="s">
        <v>199</v>
      </c>
      <c r="AI687" t="str">
        <f t="shared" si="232"/>
        <v>Exclude</v>
      </c>
      <c r="AJ687" t="str">
        <f t="shared" si="233"/>
        <v/>
      </c>
      <c r="AK687" t="s">
        <v>77</v>
      </c>
      <c r="AL687" t="str">
        <f t="shared" si="229"/>
        <v>Cancelled</v>
      </c>
      <c r="AM687" t="str">
        <f t="shared" si="234"/>
        <v>Exclude</v>
      </c>
      <c r="AN687">
        <f t="shared" si="235"/>
        <v>3313.5074999999993</v>
      </c>
      <c r="AO687">
        <f t="shared" si="236"/>
        <v>-2293.2825000000007</v>
      </c>
      <c r="AP687">
        <f>IF(AN687=0,0,AO687/AN687)</f>
        <v>-0.69210119488185895</v>
      </c>
      <c r="AQ687" t="str">
        <f t="shared" si="237"/>
        <v>October</v>
      </c>
      <c r="AR687">
        <f t="shared" si="238"/>
        <v>2025</v>
      </c>
      <c r="AS687" t="str">
        <f t="shared" si="239"/>
        <v>Clean</v>
      </c>
      <c r="AT687" t="str">
        <f>IF(OR(AC687&lt;0,AC687&gt;0.5),"Invalid Discount","Valid")</f>
        <v>Invalid Discount</v>
      </c>
      <c r="AU687" t="str">
        <f>IF(G687&lt;E687,"Invalid Shipping Record","Valid")</f>
        <v>Valid</v>
      </c>
      <c r="AV687" t="str">
        <f>IF(OR(AL687="Cancelled",AH687="Failed"),"Exclude","Include")</f>
        <v>Exclude</v>
      </c>
      <c r="AW687" t="str">
        <f t="shared" si="240"/>
        <v>Mismatch</v>
      </c>
      <c r="AX687" t="str">
        <f t="shared" si="241"/>
        <v>Mismatch</v>
      </c>
    </row>
    <row r="688" spans="1:50">
      <c r="A688" t="s">
        <v>3224</v>
      </c>
      <c r="B688">
        <f t="shared" si="242"/>
        <v>1</v>
      </c>
      <c r="C688" t="str">
        <f t="shared" si="230"/>
        <v/>
      </c>
      <c r="D688" s="3" t="s">
        <v>3225</v>
      </c>
      <c r="E688" s="7">
        <v>45376</v>
      </c>
      <c r="F688" s="3" t="s">
        <v>2169</v>
      </c>
      <c r="G688" s="7">
        <v>45384</v>
      </c>
      <c r="H688" s="7" t="str">
        <f t="shared" si="221"/>
        <v>Valid</v>
      </c>
      <c r="I688" s="9">
        <f t="shared" si="222"/>
        <v>8</v>
      </c>
      <c r="J688" s="9" t="str">
        <f t="shared" si="223"/>
        <v>Valid</v>
      </c>
      <c r="K688" t="s">
        <v>3226</v>
      </c>
      <c r="L688" t="s">
        <v>167</v>
      </c>
      <c r="M688" t="s">
        <v>167</v>
      </c>
      <c r="N688" t="s">
        <v>114</v>
      </c>
      <c r="O688" s="3" t="str">
        <f t="shared" si="224"/>
        <v>Home Office</v>
      </c>
      <c r="P688" t="s">
        <v>61</v>
      </c>
      <c r="Q688" s="3" t="str">
        <f t="shared" si="225"/>
        <v>South</v>
      </c>
      <c r="R688" t="s">
        <v>338</v>
      </c>
      <c r="S688" t="s">
        <v>339</v>
      </c>
      <c r="T688" t="s">
        <v>85</v>
      </c>
      <c r="U688" s="3" t="str">
        <f t="shared" si="226"/>
        <v>Technology</v>
      </c>
      <c r="V688" t="s">
        <v>93</v>
      </c>
      <c r="W688" t="s">
        <v>3227</v>
      </c>
      <c r="X688" t="s">
        <v>66</v>
      </c>
      <c r="Y688" s="3" t="str">
        <f t="shared" si="227"/>
        <v>Standard Class</v>
      </c>
      <c r="Z688">
        <v>2</v>
      </c>
      <c r="AA688">
        <v>2349.13</v>
      </c>
      <c r="AB688">
        <v>0</v>
      </c>
      <c r="AC688">
        <f t="shared" si="228"/>
        <v>0</v>
      </c>
      <c r="AD688" t="str">
        <f t="shared" si="231"/>
        <v>Valid</v>
      </c>
      <c r="AE688">
        <v>4698.26</v>
      </c>
      <c r="AF688">
        <v>2654.92</v>
      </c>
      <c r="AG688">
        <v>2043.34</v>
      </c>
      <c r="AH688" t="s">
        <v>33</v>
      </c>
      <c r="AI688" t="str">
        <f t="shared" si="232"/>
        <v>Include</v>
      </c>
      <c r="AJ688" t="str">
        <f t="shared" si="233"/>
        <v/>
      </c>
      <c r="AK688" t="s">
        <v>34</v>
      </c>
      <c r="AL688" t="str">
        <f t="shared" si="229"/>
        <v>Completed</v>
      </c>
      <c r="AM688" t="str">
        <f t="shared" si="234"/>
        <v>Include</v>
      </c>
      <c r="AN688">
        <f t="shared" si="235"/>
        <v>4698.26</v>
      </c>
      <c r="AO688">
        <f t="shared" si="236"/>
        <v>2043.3400000000001</v>
      </c>
      <c r="AP688">
        <f>IF(AN688=0,0,AO688/AN688)</f>
        <v>0.43491420227914163</v>
      </c>
      <c r="AQ688" t="str">
        <f t="shared" si="237"/>
        <v>March</v>
      </c>
      <c r="AR688">
        <f t="shared" si="238"/>
        <v>2024</v>
      </c>
      <c r="AS688" t="str">
        <f t="shared" si="239"/>
        <v>Clean</v>
      </c>
      <c r="AT688" t="str">
        <f>IF(OR(AC688&lt;0,AC688&gt;0.5),"Invalid Discount","Valid")</f>
        <v>Valid</v>
      </c>
      <c r="AU688" t="str">
        <f>IF(G688&lt;E688,"Invalid Shipping Record","Valid")</f>
        <v>Valid</v>
      </c>
      <c r="AV688" t="str">
        <f>IF(OR(AL688="Cancelled",AH688="Failed"),"Exclude","Include")</f>
        <v>Include</v>
      </c>
      <c r="AW688" t="str">
        <f t="shared" si="240"/>
        <v>Match</v>
      </c>
      <c r="AX688" t="str">
        <f t="shared" si="241"/>
        <v>Match</v>
      </c>
    </row>
    <row r="689" spans="1:50">
      <c r="A689" t="s">
        <v>3228</v>
      </c>
      <c r="B689">
        <f t="shared" si="242"/>
        <v>1</v>
      </c>
      <c r="C689" t="str">
        <f t="shared" si="230"/>
        <v/>
      </c>
      <c r="D689" s="3" t="s">
        <v>1190</v>
      </c>
      <c r="E689" s="7">
        <v>45938</v>
      </c>
      <c r="F689" s="3" t="s">
        <v>3229</v>
      </c>
      <c r="G689" s="7">
        <v>45943</v>
      </c>
      <c r="H689" s="7" t="str">
        <f t="shared" si="221"/>
        <v>Valid</v>
      </c>
      <c r="I689" s="9">
        <f t="shared" si="222"/>
        <v>5</v>
      </c>
      <c r="J689" s="9" t="str">
        <f t="shared" si="223"/>
        <v>Valid</v>
      </c>
      <c r="K689" t="s">
        <v>3230</v>
      </c>
      <c r="L689" t="s">
        <v>39</v>
      </c>
      <c r="M689" t="s">
        <v>39</v>
      </c>
      <c r="N689" t="s">
        <v>114</v>
      </c>
      <c r="O689" s="3" t="str">
        <f t="shared" si="224"/>
        <v>Home Office</v>
      </c>
      <c r="P689" t="s">
        <v>26</v>
      </c>
      <c r="Q689" s="3" t="str">
        <f t="shared" si="225"/>
        <v>North</v>
      </c>
      <c r="R689" t="s">
        <v>153</v>
      </c>
      <c r="S689" t="s">
        <v>154</v>
      </c>
      <c r="T689" t="s">
        <v>44</v>
      </c>
      <c r="U689" s="3" t="str">
        <f t="shared" si="226"/>
        <v>Furniture</v>
      </c>
      <c r="V689" t="s">
        <v>45</v>
      </c>
      <c r="W689" t="s">
        <v>3231</v>
      </c>
      <c r="X689" t="s">
        <v>55</v>
      </c>
      <c r="Y689" s="3" t="str">
        <f t="shared" si="227"/>
        <v>First Class</v>
      </c>
      <c r="Z689">
        <v>4</v>
      </c>
      <c r="AA689">
        <v>172.05</v>
      </c>
      <c r="AB689">
        <v>0</v>
      </c>
      <c r="AC689">
        <f t="shared" si="228"/>
        <v>0</v>
      </c>
      <c r="AD689" t="str">
        <f t="shared" si="231"/>
        <v>Valid</v>
      </c>
      <c r="AE689">
        <v>688.2</v>
      </c>
      <c r="AF689">
        <v>497.68</v>
      </c>
      <c r="AG689">
        <v>190.52</v>
      </c>
      <c r="AH689" t="s">
        <v>199</v>
      </c>
      <c r="AI689" t="str">
        <f t="shared" si="232"/>
        <v>Exclude</v>
      </c>
      <c r="AJ689" t="str">
        <f t="shared" si="233"/>
        <v/>
      </c>
      <c r="AK689" t="s">
        <v>77</v>
      </c>
      <c r="AL689" t="str">
        <f t="shared" si="229"/>
        <v>Cancelled</v>
      </c>
      <c r="AM689" t="str">
        <f t="shared" si="234"/>
        <v>Exclude</v>
      </c>
      <c r="AN689">
        <f t="shared" si="235"/>
        <v>688.2</v>
      </c>
      <c r="AO689">
        <f t="shared" si="236"/>
        <v>190.52000000000004</v>
      </c>
      <c r="AP689">
        <f>IF(AN689=0,0,AO689/AN689)</f>
        <v>0.27683812845103173</v>
      </c>
      <c r="AQ689" t="str">
        <f t="shared" si="237"/>
        <v>October</v>
      </c>
      <c r="AR689">
        <f t="shared" si="238"/>
        <v>2025</v>
      </c>
      <c r="AS689" t="str">
        <f t="shared" si="239"/>
        <v>Clean</v>
      </c>
      <c r="AT689" t="str">
        <f>IF(OR(AC689&lt;0,AC689&gt;0.5),"Invalid Discount","Valid")</f>
        <v>Valid</v>
      </c>
      <c r="AU689" t="str">
        <f>IF(G689&lt;E689,"Invalid Shipping Record","Valid")</f>
        <v>Valid</v>
      </c>
      <c r="AV689" t="str">
        <f>IF(OR(AL689="Cancelled",AH689="Failed"),"Exclude","Include")</f>
        <v>Exclude</v>
      </c>
      <c r="AW689" t="str">
        <f t="shared" si="240"/>
        <v>Match</v>
      </c>
      <c r="AX689" t="str">
        <f t="shared" si="241"/>
        <v>Match</v>
      </c>
    </row>
    <row r="690" spans="1:50">
      <c r="A690" t="s">
        <v>3232</v>
      </c>
      <c r="B690">
        <f t="shared" si="242"/>
        <v>1</v>
      </c>
      <c r="C690" t="str">
        <f t="shared" si="230"/>
        <v/>
      </c>
      <c r="D690" s="3" t="s">
        <v>1161</v>
      </c>
      <c r="E690" s="7">
        <v>45714</v>
      </c>
      <c r="F690" s="3" t="s">
        <v>3233</v>
      </c>
      <c r="G690" s="7">
        <v>45715</v>
      </c>
      <c r="H690" s="7" t="str">
        <f t="shared" si="221"/>
        <v>Valid</v>
      </c>
      <c r="I690" s="9">
        <f t="shared" si="222"/>
        <v>1</v>
      </c>
      <c r="J690" s="9" t="str">
        <f t="shared" si="223"/>
        <v>Valid</v>
      </c>
      <c r="K690" t="s">
        <v>3234</v>
      </c>
      <c r="L690" t="s">
        <v>92</v>
      </c>
      <c r="M690" t="s">
        <v>92</v>
      </c>
      <c r="N690" t="s">
        <v>114</v>
      </c>
      <c r="O690" s="3" t="str">
        <f t="shared" si="224"/>
        <v>Home Office</v>
      </c>
      <c r="P690" t="s">
        <v>26</v>
      </c>
      <c r="Q690" s="3" t="str">
        <f t="shared" si="225"/>
        <v>North</v>
      </c>
      <c r="R690" t="s">
        <v>322</v>
      </c>
      <c r="S690" t="s">
        <v>323</v>
      </c>
      <c r="T690" t="s">
        <v>29</v>
      </c>
      <c r="U690" s="3" t="str">
        <f t="shared" si="226"/>
        <v>Office Supplies</v>
      </c>
      <c r="V690" t="s">
        <v>53</v>
      </c>
      <c r="W690" t="s">
        <v>3235</v>
      </c>
      <c r="X690" t="s">
        <v>32</v>
      </c>
      <c r="Y690" s="3" t="str">
        <f t="shared" si="227"/>
        <v>Second Class</v>
      </c>
      <c r="Z690">
        <v>6</v>
      </c>
      <c r="AA690">
        <v>3037.66</v>
      </c>
      <c r="AB690">
        <v>0.15</v>
      </c>
      <c r="AC690">
        <f t="shared" si="228"/>
        <v>0.15</v>
      </c>
      <c r="AD690" t="str">
        <f t="shared" si="231"/>
        <v>Valid</v>
      </c>
      <c r="AE690">
        <v>15492.07</v>
      </c>
      <c r="AF690">
        <v>12581.23</v>
      </c>
      <c r="AG690">
        <v>2910.84</v>
      </c>
      <c r="AH690" t="s">
        <v>33</v>
      </c>
      <c r="AI690" t="str">
        <f t="shared" si="232"/>
        <v>Include</v>
      </c>
      <c r="AJ690" t="str">
        <f t="shared" si="233"/>
        <v/>
      </c>
      <c r="AK690" t="s">
        <v>34</v>
      </c>
      <c r="AL690" t="str">
        <f t="shared" si="229"/>
        <v>Completed</v>
      </c>
      <c r="AM690" t="str">
        <f t="shared" si="234"/>
        <v>Include</v>
      </c>
      <c r="AN690">
        <f t="shared" si="235"/>
        <v>15492.065999999999</v>
      </c>
      <c r="AO690">
        <f t="shared" si="236"/>
        <v>2910.8359999999993</v>
      </c>
      <c r="AP690">
        <f>IF(AN690=0,0,AO690/AN690)</f>
        <v>0.18789204745190213</v>
      </c>
      <c r="AQ690" t="str">
        <f t="shared" si="237"/>
        <v>February</v>
      </c>
      <c r="AR690">
        <f t="shared" si="238"/>
        <v>2025</v>
      </c>
      <c r="AS690" t="str">
        <f t="shared" si="239"/>
        <v>Clean</v>
      </c>
      <c r="AT690" t="str">
        <f>IF(OR(AC690&lt;0,AC690&gt;0.5),"Invalid Discount","Valid")</f>
        <v>Valid</v>
      </c>
      <c r="AU690" t="str">
        <f>IF(G690&lt;E690,"Invalid Shipping Record","Valid")</f>
        <v>Valid</v>
      </c>
      <c r="AV690" t="str">
        <f>IF(OR(AL690="Cancelled",AH690="Failed"),"Exclude","Include")</f>
        <v>Include</v>
      </c>
      <c r="AW690" t="str">
        <f t="shared" si="240"/>
        <v>Match</v>
      </c>
      <c r="AX690" t="str">
        <f t="shared" si="241"/>
        <v>Match</v>
      </c>
    </row>
    <row r="691" spans="1:50">
      <c r="A691" t="s">
        <v>3236</v>
      </c>
      <c r="B691">
        <f t="shared" si="242"/>
        <v>1</v>
      </c>
      <c r="C691" t="str">
        <f t="shared" si="230"/>
        <v/>
      </c>
      <c r="D691" s="3" t="s">
        <v>3237</v>
      </c>
      <c r="E691" s="7">
        <v>45570</v>
      </c>
      <c r="F691" s="3" t="s">
        <v>3238</v>
      </c>
      <c r="G691" s="7">
        <v>45571</v>
      </c>
      <c r="H691" s="7" t="str">
        <f t="shared" si="221"/>
        <v>Valid</v>
      </c>
      <c r="I691" s="9">
        <f t="shared" si="222"/>
        <v>1</v>
      </c>
      <c r="J691" s="9" t="str">
        <f t="shared" si="223"/>
        <v>Valid</v>
      </c>
      <c r="K691" t="s">
        <v>3239</v>
      </c>
      <c r="L691" t="s">
        <v>179</v>
      </c>
      <c r="M691" t="s">
        <v>179</v>
      </c>
      <c r="N691" t="s">
        <v>40</v>
      </c>
      <c r="O691" s="3" t="str">
        <f t="shared" si="224"/>
        <v>Small Business</v>
      </c>
      <c r="P691" t="s">
        <v>26</v>
      </c>
      <c r="Q691" s="3" t="str">
        <f t="shared" si="225"/>
        <v>North</v>
      </c>
      <c r="R691" t="s">
        <v>153</v>
      </c>
      <c r="S691" t="s">
        <v>154</v>
      </c>
      <c r="T691" t="s">
        <v>44</v>
      </c>
      <c r="U691" s="3" t="str">
        <f t="shared" si="226"/>
        <v>Furniture</v>
      </c>
      <c r="V691" t="s">
        <v>45</v>
      </c>
      <c r="W691" t="s">
        <v>3240</v>
      </c>
      <c r="X691" t="s">
        <v>66</v>
      </c>
      <c r="Y691" s="3" t="str">
        <f t="shared" si="227"/>
        <v>Standard Class</v>
      </c>
      <c r="Z691">
        <v>9</v>
      </c>
      <c r="AA691">
        <v>489.58</v>
      </c>
      <c r="AB691">
        <v>0.15</v>
      </c>
      <c r="AC691">
        <f t="shared" si="228"/>
        <v>0.15</v>
      </c>
      <c r="AD691" t="str">
        <f t="shared" si="231"/>
        <v>Valid</v>
      </c>
      <c r="AE691">
        <v>3745.29</v>
      </c>
      <c r="AF691">
        <v>2302.65</v>
      </c>
      <c r="AG691">
        <v>1442.64</v>
      </c>
      <c r="AH691" t="s">
        <v>199</v>
      </c>
      <c r="AI691" t="str">
        <f t="shared" si="232"/>
        <v>Exclude</v>
      </c>
      <c r="AJ691" t="str">
        <f t="shared" si="233"/>
        <v/>
      </c>
      <c r="AK691" t="s">
        <v>77</v>
      </c>
      <c r="AL691" t="str">
        <f t="shared" si="229"/>
        <v>Cancelled</v>
      </c>
      <c r="AM691" t="str">
        <f t="shared" si="234"/>
        <v>Exclude</v>
      </c>
      <c r="AN691">
        <f t="shared" si="235"/>
        <v>3745.2870000000003</v>
      </c>
      <c r="AO691">
        <f t="shared" si="236"/>
        <v>1442.6370000000002</v>
      </c>
      <c r="AP691">
        <f>IF(AN691=0,0,AO691/AN691)</f>
        <v>0.38518730340291679</v>
      </c>
      <c r="AQ691" t="str">
        <f t="shared" si="237"/>
        <v>October</v>
      </c>
      <c r="AR691">
        <f t="shared" si="238"/>
        <v>2024</v>
      </c>
      <c r="AS691" t="str">
        <f t="shared" si="239"/>
        <v>Clean</v>
      </c>
      <c r="AT691" t="str">
        <f>IF(OR(AC691&lt;0,AC691&gt;0.5),"Invalid Discount","Valid")</f>
        <v>Valid</v>
      </c>
      <c r="AU691" t="str">
        <f>IF(G691&lt;E691,"Invalid Shipping Record","Valid")</f>
        <v>Valid</v>
      </c>
      <c r="AV691" t="str">
        <f>IF(OR(AL691="Cancelled",AH691="Failed"),"Exclude","Include")</f>
        <v>Exclude</v>
      </c>
      <c r="AW691" t="str">
        <f t="shared" si="240"/>
        <v>Match</v>
      </c>
      <c r="AX691" t="str">
        <f t="shared" si="241"/>
        <v>Match</v>
      </c>
    </row>
    <row r="692" spans="1:50">
      <c r="A692" t="s">
        <v>3241</v>
      </c>
      <c r="B692">
        <f t="shared" si="242"/>
        <v>1</v>
      </c>
      <c r="C692" t="str">
        <f t="shared" si="230"/>
        <v/>
      </c>
      <c r="D692" s="3" t="s">
        <v>876</v>
      </c>
      <c r="E692" s="7">
        <v>45546</v>
      </c>
      <c r="F692" s="3" t="s">
        <v>3242</v>
      </c>
      <c r="G692" s="7">
        <v>45550</v>
      </c>
      <c r="H692" s="7" t="str">
        <f t="shared" si="221"/>
        <v>Valid</v>
      </c>
      <c r="I692" s="9">
        <f t="shared" si="222"/>
        <v>4</v>
      </c>
      <c r="J692" s="9" t="str">
        <f t="shared" si="223"/>
        <v>Valid</v>
      </c>
      <c r="K692" t="s">
        <v>3243</v>
      </c>
      <c r="L692" t="s">
        <v>167</v>
      </c>
      <c r="M692" t="s">
        <v>167</v>
      </c>
      <c r="N692" t="s">
        <v>107</v>
      </c>
      <c r="O692" s="3" t="str">
        <f t="shared" si="224"/>
        <v>Corporate</v>
      </c>
      <c r="P692" t="s">
        <v>61</v>
      </c>
      <c r="Q692" s="3" t="str">
        <f t="shared" si="225"/>
        <v>South</v>
      </c>
      <c r="R692" t="s">
        <v>338</v>
      </c>
      <c r="S692" t="s">
        <v>339</v>
      </c>
      <c r="T692" t="s">
        <v>29</v>
      </c>
      <c r="U692" s="3" t="str">
        <f t="shared" si="226"/>
        <v>Office Supplies</v>
      </c>
      <c r="V692" t="s">
        <v>53</v>
      </c>
      <c r="W692" t="s">
        <v>3244</v>
      </c>
      <c r="X692" t="s">
        <v>66</v>
      </c>
      <c r="Y692" s="3" t="str">
        <f t="shared" si="227"/>
        <v>Standard Class</v>
      </c>
      <c r="Z692">
        <v>4</v>
      </c>
      <c r="AA692">
        <v>865.63</v>
      </c>
      <c r="AB692">
        <v>0</v>
      </c>
      <c r="AC692">
        <f t="shared" si="228"/>
        <v>0</v>
      </c>
      <c r="AD692" t="str">
        <f t="shared" si="231"/>
        <v>Valid</v>
      </c>
      <c r="AE692">
        <v>3462.52</v>
      </c>
      <c r="AF692">
        <v>2797.29</v>
      </c>
      <c r="AG692">
        <v>665.23</v>
      </c>
      <c r="AH692" t="s">
        <v>199</v>
      </c>
      <c r="AI692" t="str">
        <f t="shared" si="232"/>
        <v>Exclude</v>
      </c>
      <c r="AJ692" t="str">
        <f t="shared" si="233"/>
        <v/>
      </c>
      <c r="AK692" t="s">
        <v>124</v>
      </c>
      <c r="AL692" t="str">
        <f t="shared" si="229"/>
        <v>Returned</v>
      </c>
      <c r="AM692" t="str">
        <f t="shared" si="234"/>
        <v>Include</v>
      </c>
      <c r="AN692">
        <f t="shared" si="235"/>
        <v>3462.52</v>
      </c>
      <c r="AO692">
        <f t="shared" si="236"/>
        <v>665.23</v>
      </c>
      <c r="AP692">
        <f>IF(AN692=0,0,AO692/AN692)</f>
        <v>0.19212307798944123</v>
      </c>
      <c r="AQ692" t="str">
        <f t="shared" si="237"/>
        <v>September</v>
      </c>
      <c r="AR692">
        <f t="shared" si="238"/>
        <v>2024</v>
      </c>
      <c r="AS692" t="str">
        <f t="shared" si="239"/>
        <v>Clean</v>
      </c>
      <c r="AT692" t="str">
        <f>IF(OR(AC692&lt;0,AC692&gt;0.5),"Invalid Discount","Valid")</f>
        <v>Valid</v>
      </c>
      <c r="AU692" t="str">
        <f>IF(G692&lt;E692,"Invalid Shipping Record","Valid")</f>
        <v>Valid</v>
      </c>
      <c r="AV692" t="str">
        <f>IF(OR(AL692="Cancelled",AH692="Failed"),"Exclude","Include")</f>
        <v>Exclude</v>
      </c>
      <c r="AW692" t="str">
        <f t="shared" si="240"/>
        <v>Match</v>
      </c>
      <c r="AX692" t="str">
        <f t="shared" si="241"/>
        <v>Match</v>
      </c>
    </row>
    <row r="693" spans="1:50">
      <c r="A693" t="s">
        <v>3245</v>
      </c>
      <c r="B693">
        <f t="shared" si="242"/>
        <v>1</v>
      </c>
      <c r="C693" t="str">
        <f t="shared" si="230"/>
        <v/>
      </c>
      <c r="D693" s="3" t="s">
        <v>2460</v>
      </c>
      <c r="E693" s="7">
        <v>45641</v>
      </c>
      <c r="F693" s="3" t="s">
        <v>3246</v>
      </c>
      <c r="G693" s="7">
        <v>45642</v>
      </c>
      <c r="H693" s="7" t="str">
        <f t="shared" si="221"/>
        <v>Valid</v>
      </c>
      <c r="I693" s="9">
        <f t="shared" si="222"/>
        <v>1</v>
      </c>
      <c r="J693" s="9" t="str">
        <f t="shared" si="223"/>
        <v>Valid</v>
      </c>
      <c r="K693" t="s">
        <v>3247</v>
      </c>
      <c r="L693" t="s">
        <v>179</v>
      </c>
      <c r="M693" t="s">
        <v>179</v>
      </c>
      <c r="N693" t="s">
        <v>25</v>
      </c>
      <c r="O693" s="3" t="str">
        <f t="shared" si="224"/>
        <v>Consumer</v>
      </c>
      <c r="P693" t="s">
        <v>41</v>
      </c>
      <c r="Q693" s="3" t="str">
        <f t="shared" si="225"/>
        <v>East</v>
      </c>
      <c r="R693" t="s">
        <v>42</v>
      </c>
      <c r="S693" t="s">
        <v>43</v>
      </c>
      <c r="T693" t="s">
        <v>85</v>
      </c>
      <c r="U693" s="3" t="str">
        <f t="shared" si="226"/>
        <v>Technology</v>
      </c>
      <c r="V693" t="s">
        <v>93</v>
      </c>
      <c r="W693" t="s">
        <v>3248</v>
      </c>
      <c r="X693" t="s">
        <v>32</v>
      </c>
      <c r="Y693" s="3" t="str">
        <f t="shared" si="227"/>
        <v>Second Class</v>
      </c>
      <c r="Z693">
        <v>6</v>
      </c>
      <c r="AA693">
        <v>1538.1</v>
      </c>
      <c r="AB693">
        <v>0.05</v>
      </c>
      <c r="AC693">
        <f t="shared" si="228"/>
        <v>0.05</v>
      </c>
      <c r="AD693" t="str">
        <f t="shared" si="231"/>
        <v>Valid</v>
      </c>
      <c r="AE693">
        <v>8767.17</v>
      </c>
      <c r="AF693">
        <v>5098.2</v>
      </c>
      <c r="AG693">
        <v>3668.97</v>
      </c>
      <c r="AH693" t="s">
        <v>33</v>
      </c>
      <c r="AI693" t="str">
        <f t="shared" si="232"/>
        <v>Include</v>
      </c>
      <c r="AJ693" t="str">
        <f t="shared" si="233"/>
        <v/>
      </c>
      <c r="AK693" t="s">
        <v>34</v>
      </c>
      <c r="AL693" t="str">
        <f t="shared" si="229"/>
        <v>Completed</v>
      </c>
      <c r="AM693" t="str">
        <f t="shared" si="234"/>
        <v>Include</v>
      </c>
      <c r="AN693">
        <f t="shared" si="235"/>
        <v>8767.1699999999983</v>
      </c>
      <c r="AO693">
        <f t="shared" si="236"/>
        <v>3668.9699999999984</v>
      </c>
      <c r="AP693">
        <f>IF(AN693=0,0,AO693/AN693)</f>
        <v>0.41848966085977563</v>
      </c>
      <c r="AQ693" t="str">
        <f t="shared" si="237"/>
        <v>December</v>
      </c>
      <c r="AR693">
        <f t="shared" si="238"/>
        <v>2024</v>
      </c>
      <c r="AS693" t="str">
        <f t="shared" si="239"/>
        <v>Clean</v>
      </c>
      <c r="AT693" t="str">
        <f>IF(OR(AC693&lt;0,AC693&gt;0.5),"Invalid Discount","Valid")</f>
        <v>Valid</v>
      </c>
      <c r="AU693" t="str">
        <f>IF(G693&lt;E693,"Invalid Shipping Record","Valid")</f>
        <v>Valid</v>
      </c>
      <c r="AV693" t="str">
        <f>IF(OR(AL693="Cancelled",AH693="Failed"),"Exclude","Include")</f>
        <v>Include</v>
      </c>
      <c r="AW693" t="str">
        <f t="shared" si="240"/>
        <v>Match</v>
      </c>
      <c r="AX693" t="str">
        <f t="shared" si="241"/>
        <v>Match</v>
      </c>
    </row>
    <row r="694" spans="1:50">
      <c r="A694" t="s">
        <v>3249</v>
      </c>
      <c r="B694">
        <f t="shared" si="242"/>
        <v>1</v>
      </c>
      <c r="C694" t="str">
        <f t="shared" si="230"/>
        <v/>
      </c>
      <c r="D694" s="3" t="s">
        <v>226</v>
      </c>
      <c r="E694" s="7">
        <v>45935</v>
      </c>
      <c r="F694" s="3" t="s">
        <v>3250</v>
      </c>
      <c r="G694" s="7">
        <v>45940</v>
      </c>
      <c r="H694" s="7" t="str">
        <f t="shared" si="221"/>
        <v>Valid</v>
      </c>
      <c r="I694" s="9">
        <f t="shared" si="222"/>
        <v>5</v>
      </c>
      <c r="J694" s="9" t="str">
        <f t="shared" si="223"/>
        <v>Valid</v>
      </c>
      <c r="K694" t="s">
        <v>3251</v>
      </c>
      <c r="L694" t="s">
        <v>52</v>
      </c>
      <c r="M694" t="s">
        <v>52</v>
      </c>
      <c r="N694" t="s">
        <v>1780</v>
      </c>
      <c r="O694" s="3" t="str">
        <f t="shared" si="224"/>
        <v>Corporate</v>
      </c>
      <c r="P694" t="s">
        <v>61</v>
      </c>
      <c r="Q694" s="3" t="str">
        <f t="shared" si="225"/>
        <v>South</v>
      </c>
      <c r="R694" t="s">
        <v>228</v>
      </c>
      <c r="S694" t="s">
        <v>229</v>
      </c>
      <c r="T694" t="s">
        <v>44</v>
      </c>
      <c r="U694" s="3" t="str">
        <f t="shared" si="226"/>
        <v>Furniture</v>
      </c>
      <c r="V694" t="s">
        <v>64</v>
      </c>
      <c r="W694" t="s">
        <v>3252</v>
      </c>
      <c r="X694" t="s">
        <v>32</v>
      </c>
      <c r="Y694" s="3" t="str">
        <f t="shared" si="227"/>
        <v>Second Class</v>
      </c>
      <c r="Z694">
        <v>4</v>
      </c>
      <c r="AA694">
        <v>2365.6799999999998</v>
      </c>
      <c r="AB694">
        <v>0.1</v>
      </c>
      <c r="AC694">
        <f t="shared" si="228"/>
        <v>0.1</v>
      </c>
      <c r="AD694" t="str">
        <f t="shared" si="231"/>
        <v>Valid</v>
      </c>
      <c r="AE694">
        <v>8516.4500000000007</v>
      </c>
      <c r="AF694">
        <v>5903.81</v>
      </c>
      <c r="AG694">
        <v>2612.64</v>
      </c>
      <c r="AH694" t="s">
        <v>33</v>
      </c>
      <c r="AI694" t="str">
        <f t="shared" si="232"/>
        <v>Include</v>
      </c>
      <c r="AJ694" t="str">
        <f t="shared" si="233"/>
        <v/>
      </c>
      <c r="AK694" t="s">
        <v>34</v>
      </c>
      <c r="AL694" t="str">
        <f t="shared" si="229"/>
        <v>Completed</v>
      </c>
      <c r="AM694" t="str">
        <f t="shared" si="234"/>
        <v>Include</v>
      </c>
      <c r="AN694">
        <f t="shared" si="235"/>
        <v>8516.4480000000003</v>
      </c>
      <c r="AO694">
        <f t="shared" si="236"/>
        <v>2612.6379999999999</v>
      </c>
      <c r="AP694">
        <f>IF(AN694=0,0,AO694/AN694)</f>
        <v>0.30677554774009069</v>
      </c>
      <c r="AQ694" t="str">
        <f t="shared" si="237"/>
        <v>October</v>
      </c>
      <c r="AR694">
        <f t="shared" si="238"/>
        <v>2025</v>
      </c>
      <c r="AS694" t="str">
        <f t="shared" si="239"/>
        <v>Clean</v>
      </c>
      <c r="AT694" t="str">
        <f>IF(OR(AC694&lt;0,AC694&gt;0.5),"Invalid Discount","Valid")</f>
        <v>Valid</v>
      </c>
      <c r="AU694" t="str">
        <f>IF(G694&lt;E694,"Invalid Shipping Record","Valid")</f>
        <v>Valid</v>
      </c>
      <c r="AV694" t="str">
        <f>IF(OR(AL694="Cancelled",AH694="Failed"),"Exclude","Include")</f>
        <v>Include</v>
      </c>
      <c r="AW694" t="str">
        <f t="shared" si="240"/>
        <v>Match</v>
      </c>
      <c r="AX694" t="str">
        <f t="shared" si="241"/>
        <v>Match</v>
      </c>
    </row>
    <row r="695" spans="1:50">
      <c r="A695" t="s">
        <v>3253</v>
      </c>
      <c r="B695">
        <f t="shared" si="242"/>
        <v>1</v>
      </c>
      <c r="C695" t="str">
        <f t="shared" si="230"/>
        <v/>
      </c>
      <c r="D695" s="3" t="s">
        <v>3254</v>
      </c>
      <c r="E695" s="7">
        <v>45750</v>
      </c>
      <c r="F695" s="3" t="s">
        <v>2497</v>
      </c>
      <c r="G695" s="7">
        <v>45758</v>
      </c>
      <c r="H695" s="7" t="str">
        <f t="shared" si="221"/>
        <v>Valid</v>
      </c>
      <c r="I695" s="9">
        <f t="shared" si="222"/>
        <v>8</v>
      </c>
      <c r="J695" s="9" t="str">
        <f t="shared" si="223"/>
        <v>Valid</v>
      </c>
      <c r="K695" t="s">
        <v>3255</v>
      </c>
      <c r="L695" t="s">
        <v>60</v>
      </c>
      <c r="M695" t="s">
        <v>60</v>
      </c>
      <c r="N695" t="s">
        <v>25</v>
      </c>
      <c r="O695" s="3" t="str">
        <f t="shared" si="224"/>
        <v>Consumer</v>
      </c>
      <c r="P695" t="s">
        <v>61</v>
      </c>
      <c r="Q695" s="3" t="str">
        <f t="shared" si="225"/>
        <v>South</v>
      </c>
      <c r="R695" t="s">
        <v>338</v>
      </c>
      <c r="S695" t="s">
        <v>339</v>
      </c>
      <c r="T695" t="s">
        <v>44</v>
      </c>
      <c r="U695" s="3" t="str">
        <f t="shared" si="226"/>
        <v>Furniture</v>
      </c>
      <c r="V695" t="s">
        <v>203</v>
      </c>
      <c r="W695" t="s">
        <v>3256</v>
      </c>
      <c r="X695" t="s">
        <v>32</v>
      </c>
      <c r="Y695" s="3" t="str">
        <f t="shared" si="227"/>
        <v>Second Class</v>
      </c>
      <c r="Z695">
        <v>3</v>
      </c>
      <c r="AA695">
        <v>4149.7700000000004</v>
      </c>
      <c r="AB695">
        <v>0.05</v>
      </c>
      <c r="AC695">
        <f t="shared" si="228"/>
        <v>0.05</v>
      </c>
      <c r="AD695" t="str">
        <f t="shared" si="231"/>
        <v>Valid</v>
      </c>
      <c r="AE695">
        <v>11826.84</v>
      </c>
      <c r="AF695">
        <v>8035.96</v>
      </c>
      <c r="AG695">
        <v>3790.88</v>
      </c>
      <c r="AH695" t="s">
        <v>33</v>
      </c>
      <c r="AI695" t="str">
        <f t="shared" si="232"/>
        <v>Include</v>
      </c>
      <c r="AJ695" t="str">
        <f t="shared" si="233"/>
        <v/>
      </c>
      <c r="AK695" t="s">
        <v>34</v>
      </c>
      <c r="AL695" t="str">
        <f t="shared" si="229"/>
        <v>Completed</v>
      </c>
      <c r="AM695" t="str">
        <f t="shared" si="234"/>
        <v>Include</v>
      </c>
      <c r="AN695">
        <f t="shared" si="235"/>
        <v>11826.844500000001</v>
      </c>
      <c r="AO695">
        <f t="shared" si="236"/>
        <v>3790.884500000001</v>
      </c>
      <c r="AP695">
        <f>IF(AN695=0,0,AO695/AN695)</f>
        <v>0.32053220112938835</v>
      </c>
      <c r="AQ695" t="str">
        <f t="shared" si="237"/>
        <v>April</v>
      </c>
      <c r="AR695">
        <f t="shared" si="238"/>
        <v>2025</v>
      </c>
      <c r="AS695" t="str">
        <f t="shared" si="239"/>
        <v>Clean</v>
      </c>
      <c r="AT695" t="str">
        <f>IF(OR(AC695&lt;0,AC695&gt;0.5),"Invalid Discount","Valid")</f>
        <v>Valid</v>
      </c>
      <c r="AU695" t="str">
        <f>IF(G695&lt;E695,"Invalid Shipping Record","Valid")</f>
        <v>Valid</v>
      </c>
      <c r="AV695" t="str">
        <f>IF(OR(AL695="Cancelled",AH695="Failed"),"Exclude","Include")</f>
        <v>Include</v>
      </c>
      <c r="AW695" t="str">
        <f t="shared" si="240"/>
        <v>Match</v>
      </c>
      <c r="AX695" t="str">
        <f t="shared" si="241"/>
        <v>Match</v>
      </c>
    </row>
    <row r="696" spans="1:50">
      <c r="A696" t="s">
        <v>3257</v>
      </c>
      <c r="B696">
        <f t="shared" si="242"/>
        <v>1</v>
      </c>
      <c r="C696" t="str">
        <f t="shared" si="230"/>
        <v/>
      </c>
      <c r="D696" s="3" t="s">
        <v>1729</v>
      </c>
      <c r="E696" s="7">
        <v>45870</v>
      </c>
      <c r="F696" s="3" t="s">
        <v>3078</v>
      </c>
      <c r="G696" s="7">
        <v>45878</v>
      </c>
      <c r="H696" s="7" t="str">
        <f t="shared" si="221"/>
        <v>Valid</v>
      </c>
      <c r="I696" s="9">
        <f t="shared" si="222"/>
        <v>8</v>
      </c>
      <c r="J696" s="9" t="str">
        <f t="shared" si="223"/>
        <v>Valid</v>
      </c>
      <c r="K696" t="s">
        <v>1737</v>
      </c>
      <c r="L696" t="s">
        <v>52</v>
      </c>
      <c r="M696" t="s">
        <v>52</v>
      </c>
      <c r="N696" t="s">
        <v>25</v>
      </c>
      <c r="O696" s="3" t="str">
        <f t="shared" si="224"/>
        <v>Consumer</v>
      </c>
      <c r="P696" t="s">
        <v>61</v>
      </c>
      <c r="Q696" s="3" t="str">
        <f t="shared" si="225"/>
        <v>South</v>
      </c>
      <c r="R696" t="s">
        <v>99</v>
      </c>
      <c r="S696" t="s">
        <v>100</v>
      </c>
      <c r="T696" t="s">
        <v>29</v>
      </c>
      <c r="U696" s="3" t="str">
        <f t="shared" si="226"/>
        <v>Office Supplies</v>
      </c>
      <c r="V696" t="s">
        <v>155</v>
      </c>
      <c r="W696" t="s">
        <v>3258</v>
      </c>
      <c r="X696" t="s">
        <v>55</v>
      </c>
      <c r="Y696" s="3" t="str">
        <f t="shared" si="227"/>
        <v>First Class</v>
      </c>
      <c r="Z696">
        <v>5</v>
      </c>
      <c r="AA696">
        <v>2736.24</v>
      </c>
      <c r="AB696">
        <v>0.15</v>
      </c>
      <c r="AC696">
        <f t="shared" si="228"/>
        <v>0.15</v>
      </c>
      <c r="AD696" t="str">
        <f t="shared" si="231"/>
        <v>Valid</v>
      </c>
      <c r="AE696">
        <v>11629.02</v>
      </c>
      <c r="AF696">
        <v>9627.2099999999991</v>
      </c>
      <c r="AG696">
        <v>2001.81</v>
      </c>
      <c r="AH696" t="s">
        <v>33</v>
      </c>
      <c r="AI696" t="str">
        <f t="shared" si="232"/>
        <v>Include</v>
      </c>
      <c r="AJ696" t="str">
        <f t="shared" si="233"/>
        <v/>
      </c>
      <c r="AK696" t="s">
        <v>34</v>
      </c>
      <c r="AL696" t="str">
        <f t="shared" si="229"/>
        <v>Completed</v>
      </c>
      <c r="AM696" t="str">
        <f t="shared" si="234"/>
        <v>Include</v>
      </c>
      <c r="AN696">
        <f t="shared" si="235"/>
        <v>11629.019999999999</v>
      </c>
      <c r="AO696">
        <f t="shared" si="236"/>
        <v>2001.8099999999995</v>
      </c>
      <c r="AP696">
        <f>IF(AN696=0,0,AO696/AN696)</f>
        <v>0.17213918283741877</v>
      </c>
      <c r="AQ696" t="str">
        <f t="shared" si="237"/>
        <v>August</v>
      </c>
      <c r="AR696">
        <f t="shared" si="238"/>
        <v>2025</v>
      </c>
      <c r="AS696" t="str">
        <f t="shared" si="239"/>
        <v>Clean</v>
      </c>
      <c r="AT696" t="str">
        <f>IF(OR(AC696&lt;0,AC696&gt;0.5),"Invalid Discount","Valid")</f>
        <v>Valid</v>
      </c>
      <c r="AU696" t="str">
        <f>IF(G696&lt;E696,"Invalid Shipping Record","Valid")</f>
        <v>Valid</v>
      </c>
      <c r="AV696" t="str">
        <f>IF(OR(AL696="Cancelled",AH696="Failed"),"Exclude","Include")</f>
        <v>Include</v>
      </c>
      <c r="AW696" t="str">
        <f t="shared" si="240"/>
        <v>Match</v>
      </c>
      <c r="AX696" t="str">
        <f t="shared" si="241"/>
        <v>Match</v>
      </c>
    </row>
    <row r="697" spans="1:50">
      <c r="A697" t="s">
        <v>3259</v>
      </c>
      <c r="B697">
        <f t="shared" si="242"/>
        <v>1</v>
      </c>
      <c r="C697" t="str">
        <f t="shared" si="230"/>
        <v/>
      </c>
      <c r="D697" s="3" t="s">
        <v>3260</v>
      </c>
      <c r="E697" s="7">
        <v>45474</v>
      </c>
      <c r="F697" s="3" t="s">
        <v>2104</v>
      </c>
      <c r="G697" s="7">
        <v>45474</v>
      </c>
      <c r="H697" s="7" t="str">
        <f t="shared" si="221"/>
        <v>Valid</v>
      </c>
      <c r="I697" s="9">
        <f t="shared" si="222"/>
        <v>0</v>
      </c>
      <c r="J697" s="9" t="str">
        <f t="shared" si="223"/>
        <v>Valid</v>
      </c>
      <c r="K697" t="s">
        <v>3261</v>
      </c>
      <c r="L697" t="s">
        <v>161</v>
      </c>
      <c r="M697" t="s">
        <v>161</v>
      </c>
      <c r="N697" t="s">
        <v>25</v>
      </c>
      <c r="O697" s="3" t="str">
        <f t="shared" si="224"/>
        <v>Consumer</v>
      </c>
      <c r="P697" t="s">
        <v>72</v>
      </c>
      <c r="Q697" s="3" t="str">
        <f t="shared" si="225"/>
        <v>West</v>
      </c>
      <c r="R697" t="s">
        <v>83</v>
      </c>
      <c r="S697" t="s">
        <v>84</v>
      </c>
      <c r="T697" t="s">
        <v>85</v>
      </c>
      <c r="U697" s="3" t="str">
        <f t="shared" si="226"/>
        <v>Technology</v>
      </c>
      <c r="V697" t="s">
        <v>381</v>
      </c>
      <c r="W697" t="s">
        <v>3262</v>
      </c>
      <c r="X697" t="s">
        <v>66</v>
      </c>
      <c r="Y697" s="3" t="str">
        <f t="shared" si="227"/>
        <v>Standard Class</v>
      </c>
      <c r="Z697">
        <v>4</v>
      </c>
      <c r="AA697">
        <v>257.39</v>
      </c>
      <c r="AB697">
        <v>0</v>
      </c>
      <c r="AC697">
        <f t="shared" si="228"/>
        <v>0</v>
      </c>
      <c r="AD697" t="str">
        <f t="shared" si="231"/>
        <v>Valid</v>
      </c>
      <c r="AE697">
        <v>1029.56</v>
      </c>
      <c r="AF697">
        <v>626.33000000000004</v>
      </c>
      <c r="AG697">
        <v>403.23</v>
      </c>
      <c r="AH697" t="s">
        <v>33</v>
      </c>
      <c r="AI697" t="str">
        <f t="shared" si="232"/>
        <v>Include</v>
      </c>
      <c r="AJ697" t="str">
        <f t="shared" si="233"/>
        <v/>
      </c>
      <c r="AK697" t="s">
        <v>34</v>
      </c>
      <c r="AL697" t="str">
        <f t="shared" si="229"/>
        <v>Completed</v>
      </c>
      <c r="AM697" t="str">
        <f t="shared" si="234"/>
        <v>Include</v>
      </c>
      <c r="AN697">
        <f t="shared" si="235"/>
        <v>1029.56</v>
      </c>
      <c r="AO697">
        <f t="shared" si="236"/>
        <v>403.2299999999999</v>
      </c>
      <c r="AP697">
        <f>IF(AN697=0,0,AO697/AN697)</f>
        <v>0.39165274486188267</v>
      </c>
      <c r="AQ697" t="str">
        <f t="shared" si="237"/>
        <v>July</v>
      </c>
      <c r="AR697">
        <f t="shared" si="238"/>
        <v>2024</v>
      </c>
      <c r="AS697" t="str">
        <f t="shared" si="239"/>
        <v>Clean</v>
      </c>
      <c r="AT697" t="str">
        <f>IF(OR(AC697&lt;0,AC697&gt;0.5),"Invalid Discount","Valid")</f>
        <v>Valid</v>
      </c>
      <c r="AU697" t="str">
        <f>IF(G697&lt;E697,"Invalid Shipping Record","Valid")</f>
        <v>Valid</v>
      </c>
      <c r="AV697" t="str">
        <f>IF(OR(AL697="Cancelled",AH697="Failed"),"Exclude","Include")</f>
        <v>Include</v>
      </c>
      <c r="AW697" t="str">
        <f t="shared" si="240"/>
        <v>Match</v>
      </c>
      <c r="AX697" t="str">
        <f t="shared" si="241"/>
        <v>Match</v>
      </c>
    </row>
    <row r="698" spans="1:50">
      <c r="A698" t="s">
        <v>3263</v>
      </c>
      <c r="B698">
        <f t="shared" si="242"/>
        <v>1</v>
      </c>
      <c r="C698" t="str">
        <f t="shared" si="230"/>
        <v/>
      </c>
      <c r="D698" s="3" t="s">
        <v>3264</v>
      </c>
      <c r="E698" s="7">
        <v>45922</v>
      </c>
      <c r="F698" s="3" t="s">
        <v>3265</v>
      </c>
      <c r="G698" s="7">
        <v>45925</v>
      </c>
      <c r="H698" s="7" t="str">
        <f t="shared" si="221"/>
        <v>Valid</v>
      </c>
      <c r="I698" s="9">
        <f t="shared" si="222"/>
        <v>3</v>
      </c>
      <c r="J698" s="9" t="str">
        <f t="shared" si="223"/>
        <v>Valid</v>
      </c>
      <c r="K698" t="s">
        <v>3266</v>
      </c>
      <c r="L698" t="s">
        <v>52</v>
      </c>
      <c r="M698" t="s">
        <v>52</v>
      </c>
      <c r="N698" t="s">
        <v>40</v>
      </c>
      <c r="O698" s="3" t="str">
        <f t="shared" si="224"/>
        <v>Small Business</v>
      </c>
      <c r="P698" t="s">
        <v>61</v>
      </c>
      <c r="Q698" s="3" t="str">
        <f t="shared" si="225"/>
        <v>South</v>
      </c>
      <c r="R698" t="s">
        <v>241</v>
      </c>
      <c r="S698" t="s">
        <v>242</v>
      </c>
      <c r="T698" t="s">
        <v>85</v>
      </c>
      <c r="U698" s="3" t="str">
        <f t="shared" si="226"/>
        <v>Technology</v>
      </c>
      <c r="V698" t="s">
        <v>222</v>
      </c>
      <c r="W698" t="s">
        <v>3267</v>
      </c>
      <c r="Y698" s="3" t="str">
        <f t="shared" si="227"/>
        <v>Unknown</v>
      </c>
      <c r="Z698">
        <v>4</v>
      </c>
      <c r="AA698">
        <v>1178.8399999999999</v>
      </c>
      <c r="AB698">
        <v>0.25</v>
      </c>
      <c r="AC698">
        <f t="shared" si="228"/>
        <v>0.25</v>
      </c>
      <c r="AD698" t="str">
        <f t="shared" si="231"/>
        <v>Valid</v>
      </c>
      <c r="AE698">
        <v>3536.52</v>
      </c>
      <c r="AF698">
        <v>2102.41</v>
      </c>
      <c r="AG698">
        <v>1363.28</v>
      </c>
      <c r="AH698" t="s">
        <v>33</v>
      </c>
      <c r="AI698" t="str">
        <f t="shared" si="232"/>
        <v>Include</v>
      </c>
      <c r="AJ698" t="str">
        <f t="shared" si="233"/>
        <v/>
      </c>
      <c r="AK698" t="s">
        <v>34</v>
      </c>
      <c r="AL698" t="str">
        <f t="shared" si="229"/>
        <v>Completed</v>
      </c>
      <c r="AM698" t="str">
        <f t="shared" si="234"/>
        <v>Include</v>
      </c>
      <c r="AN698">
        <f t="shared" si="235"/>
        <v>3536.5199999999995</v>
      </c>
      <c r="AO698">
        <f t="shared" si="236"/>
        <v>1434.1099999999997</v>
      </c>
      <c r="AP698">
        <f>IF(AN698=0,0,AO698/AN698)</f>
        <v>0.40551446054313278</v>
      </c>
      <c r="AQ698" t="str">
        <f t="shared" si="237"/>
        <v>September</v>
      </c>
      <c r="AR698">
        <f t="shared" si="238"/>
        <v>2025</v>
      </c>
      <c r="AS698" t="str">
        <f t="shared" si="239"/>
        <v>Warning</v>
      </c>
      <c r="AT698" t="str">
        <f>IF(OR(AC698&lt;0,AC698&gt;0.5),"Invalid Discount","Valid")</f>
        <v>Valid</v>
      </c>
      <c r="AU698" t="str">
        <f>IF(G698&lt;E698,"Invalid Shipping Record","Valid")</f>
        <v>Valid</v>
      </c>
      <c r="AV698" t="str">
        <f>IF(OR(AL698="Cancelled",AH698="Failed"),"Exclude","Include")</f>
        <v>Include</v>
      </c>
      <c r="AW698" t="str">
        <f t="shared" si="240"/>
        <v>Match</v>
      </c>
      <c r="AX698" t="str">
        <f t="shared" si="241"/>
        <v>Mismatch</v>
      </c>
    </row>
    <row r="699" spans="1:50">
      <c r="A699" t="s">
        <v>3268</v>
      </c>
      <c r="B699">
        <f t="shared" si="242"/>
        <v>1</v>
      </c>
      <c r="C699" t="str">
        <f t="shared" si="230"/>
        <v/>
      </c>
      <c r="D699" s="3" t="s">
        <v>2322</v>
      </c>
      <c r="E699" s="7">
        <v>45717</v>
      </c>
      <c r="F699" s="3" t="s">
        <v>786</v>
      </c>
      <c r="G699" s="7">
        <v>45723</v>
      </c>
      <c r="H699" s="7" t="str">
        <f t="shared" si="221"/>
        <v>Valid</v>
      </c>
      <c r="I699" s="9">
        <f t="shared" si="222"/>
        <v>6</v>
      </c>
      <c r="J699" s="9" t="str">
        <f t="shared" si="223"/>
        <v>Valid</v>
      </c>
      <c r="K699" t="s">
        <v>3269</v>
      </c>
      <c r="L699" t="s">
        <v>60</v>
      </c>
      <c r="M699" t="s">
        <v>60</v>
      </c>
      <c r="N699" t="s">
        <v>107</v>
      </c>
      <c r="O699" s="3" t="str">
        <f t="shared" si="224"/>
        <v>Corporate</v>
      </c>
      <c r="P699" t="s">
        <v>61</v>
      </c>
      <c r="Q699" s="3" t="str">
        <f t="shared" si="225"/>
        <v>South</v>
      </c>
      <c r="R699" t="s">
        <v>99</v>
      </c>
      <c r="S699" t="s">
        <v>100</v>
      </c>
      <c r="T699" t="s">
        <v>29</v>
      </c>
      <c r="U699" s="3" t="str">
        <f t="shared" si="226"/>
        <v>Office Supplies</v>
      </c>
      <c r="V699" t="s">
        <v>108</v>
      </c>
      <c r="W699" t="s">
        <v>3270</v>
      </c>
      <c r="X699" t="s">
        <v>55</v>
      </c>
      <c r="Y699" s="3" t="str">
        <f t="shared" si="227"/>
        <v>First Class</v>
      </c>
      <c r="Z699">
        <v>7</v>
      </c>
      <c r="AA699">
        <v>567.15</v>
      </c>
      <c r="AC699">
        <f t="shared" si="228"/>
        <v>0</v>
      </c>
      <c r="AD699" t="str">
        <f t="shared" si="231"/>
        <v>Valid</v>
      </c>
      <c r="AE699">
        <v>2977.54</v>
      </c>
      <c r="AF699">
        <v>1849.3</v>
      </c>
      <c r="AG699">
        <v>1128.24</v>
      </c>
      <c r="AH699" t="s">
        <v>123</v>
      </c>
      <c r="AI699" t="str">
        <f t="shared" si="232"/>
        <v>Include</v>
      </c>
      <c r="AJ699" t="str">
        <f t="shared" si="233"/>
        <v>Refunded Order</v>
      </c>
      <c r="AK699" t="s">
        <v>124</v>
      </c>
      <c r="AL699" t="str">
        <f t="shared" si="229"/>
        <v>Returned</v>
      </c>
      <c r="AM699" t="str">
        <f t="shared" si="234"/>
        <v>Include</v>
      </c>
      <c r="AN699">
        <f t="shared" si="235"/>
        <v>3970.0499999999997</v>
      </c>
      <c r="AO699">
        <f t="shared" si="236"/>
        <v>2120.75</v>
      </c>
      <c r="AP699">
        <f>IF(AN699=0,0,AO699/AN699)</f>
        <v>0.53418722686112274</v>
      </c>
      <c r="AQ699" t="str">
        <f t="shared" si="237"/>
        <v>March</v>
      </c>
      <c r="AR699">
        <f t="shared" si="238"/>
        <v>2025</v>
      </c>
      <c r="AS699" t="str">
        <f t="shared" si="239"/>
        <v>Clean</v>
      </c>
      <c r="AT699" t="str">
        <f>IF(OR(AC699&lt;0,AC699&gt;0.5),"Invalid Discount","Valid")</f>
        <v>Valid</v>
      </c>
      <c r="AU699" t="str">
        <f>IF(G699&lt;E699,"Invalid Shipping Record","Valid")</f>
        <v>Valid</v>
      </c>
      <c r="AV699" t="str">
        <f>IF(OR(AL699="Cancelled",AH699="Failed"),"Exclude","Include")</f>
        <v>Include</v>
      </c>
      <c r="AW699" t="str">
        <f t="shared" si="240"/>
        <v>Mismatch</v>
      </c>
      <c r="AX699" t="str">
        <f t="shared" si="241"/>
        <v>Mismatch</v>
      </c>
    </row>
    <row r="700" spans="1:50">
      <c r="A700" t="s">
        <v>3271</v>
      </c>
      <c r="B700">
        <f t="shared" si="242"/>
        <v>1</v>
      </c>
      <c r="C700" t="str">
        <f t="shared" si="230"/>
        <v/>
      </c>
      <c r="D700" s="3" t="s">
        <v>3272</v>
      </c>
      <c r="E700" s="7">
        <v>45549</v>
      </c>
      <c r="F700" s="3" t="s">
        <v>1740</v>
      </c>
      <c r="G700" s="7">
        <v>45549</v>
      </c>
      <c r="H700" s="7" t="str">
        <f t="shared" si="221"/>
        <v>Valid</v>
      </c>
      <c r="I700" s="9">
        <f t="shared" si="222"/>
        <v>0</v>
      </c>
      <c r="J700" s="9" t="str">
        <f t="shared" si="223"/>
        <v>Valid</v>
      </c>
      <c r="K700" t="s">
        <v>3273</v>
      </c>
      <c r="L700" t="s">
        <v>39</v>
      </c>
      <c r="M700" t="s">
        <v>39</v>
      </c>
      <c r="N700" t="s">
        <v>107</v>
      </c>
      <c r="O700" s="3" t="str">
        <f t="shared" si="224"/>
        <v>Corporate</v>
      </c>
      <c r="P700" t="s">
        <v>26</v>
      </c>
      <c r="Q700" s="3" t="str">
        <f t="shared" si="225"/>
        <v>North</v>
      </c>
      <c r="R700" t="s">
        <v>27</v>
      </c>
      <c r="S700" t="s">
        <v>28</v>
      </c>
      <c r="T700" t="s">
        <v>85</v>
      </c>
      <c r="U700" s="3" t="str">
        <f t="shared" si="226"/>
        <v>Technology</v>
      </c>
      <c r="V700" t="s">
        <v>381</v>
      </c>
      <c r="W700" t="s">
        <v>3274</v>
      </c>
      <c r="X700" t="s">
        <v>66</v>
      </c>
      <c r="Y700" s="3" t="str">
        <f t="shared" si="227"/>
        <v>Standard Class</v>
      </c>
      <c r="Z700">
        <v>8</v>
      </c>
      <c r="AA700">
        <v>4081.66</v>
      </c>
      <c r="AB700">
        <v>0.15</v>
      </c>
      <c r="AC700">
        <f t="shared" si="228"/>
        <v>0.15</v>
      </c>
      <c r="AD700" t="str">
        <f t="shared" si="231"/>
        <v>Valid</v>
      </c>
      <c r="AE700">
        <v>28208.1</v>
      </c>
      <c r="AF700">
        <v>23751.91</v>
      </c>
      <c r="AG700">
        <v>4003.38</v>
      </c>
      <c r="AH700" t="s">
        <v>33</v>
      </c>
      <c r="AI700" t="str">
        <f t="shared" si="232"/>
        <v>Include</v>
      </c>
      <c r="AJ700" t="str">
        <f t="shared" si="233"/>
        <v/>
      </c>
      <c r="AK700" t="s">
        <v>124</v>
      </c>
      <c r="AL700" t="str">
        <f t="shared" si="229"/>
        <v>Returned</v>
      </c>
      <c r="AM700" t="str">
        <f t="shared" si="234"/>
        <v>Include</v>
      </c>
      <c r="AN700">
        <f t="shared" si="235"/>
        <v>27755.287999999997</v>
      </c>
      <c r="AO700">
        <f t="shared" si="236"/>
        <v>4003.377999999997</v>
      </c>
      <c r="AP700">
        <f>IF(AN700=0,0,AO700/AN700)</f>
        <v>0.14423838801456493</v>
      </c>
      <c r="AQ700" t="str">
        <f t="shared" si="237"/>
        <v>September</v>
      </c>
      <c r="AR700">
        <f t="shared" si="238"/>
        <v>2024</v>
      </c>
      <c r="AS700" t="str">
        <f t="shared" si="239"/>
        <v>Clean</v>
      </c>
      <c r="AT700" t="str">
        <f>IF(OR(AC700&lt;0,AC700&gt;0.5),"Invalid Discount","Valid")</f>
        <v>Valid</v>
      </c>
      <c r="AU700" t="str">
        <f>IF(G700&lt;E700,"Invalid Shipping Record","Valid")</f>
        <v>Valid</v>
      </c>
      <c r="AV700" t="str">
        <f>IF(OR(AL700="Cancelled",AH700="Failed"),"Exclude","Include")</f>
        <v>Include</v>
      </c>
      <c r="AW700" t="str">
        <f t="shared" si="240"/>
        <v>Mismatch</v>
      </c>
      <c r="AX700" t="str">
        <f t="shared" si="241"/>
        <v>Match</v>
      </c>
    </row>
    <row r="701" spans="1:50">
      <c r="A701" t="s">
        <v>3275</v>
      </c>
      <c r="B701">
        <f t="shared" si="242"/>
        <v>1</v>
      </c>
      <c r="C701" t="str">
        <f t="shared" si="230"/>
        <v/>
      </c>
      <c r="D701" s="3" t="s">
        <v>3276</v>
      </c>
      <c r="E701" s="7">
        <v>45454</v>
      </c>
      <c r="F701" s="3" t="s">
        <v>3277</v>
      </c>
      <c r="G701" s="7">
        <v>45454</v>
      </c>
      <c r="H701" s="7" t="str">
        <f t="shared" si="221"/>
        <v>Valid</v>
      </c>
      <c r="I701" s="9">
        <f t="shared" si="222"/>
        <v>0</v>
      </c>
      <c r="J701" s="9" t="str">
        <f t="shared" si="223"/>
        <v>Valid</v>
      </c>
      <c r="K701" t="s">
        <v>3278</v>
      </c>
      <c r="L701" t="s">
        <v>60</v>
      </c>
      <c r="M701" t="s">
        <v>60</v>
      </c>
      <c r="N701" t="s">
        <v>40</v>
      </c>
      <c r="O701" s="3" t="str">
        <f t="shared" si="224"/>
        <v>Small Business</v>
      </c>
      <c r="P701" t="s">
        <v>61</v>
      </c>
      <c r="Q701" s="3" t="str">
        <f t="shared" si="225"/>
        <v>South</v>
      </c>
      <c r="R701" t="s">
        <v>228</v>
      </c>
      <c r="S701" t="s">
        <v>229</v>
      </c>
      <c r="T701" t="s">
        <v>44</v>
      </c>
      <c r="U701" s="3" t="str">
        <f t="shared" si="226"/>
        <v>Furniture</v>
      </c>
      <c r="V701" t="s">
        <v>203</v>
      </c>
      <c r="W701" t="s">
        <v>3279</v>
      </c>
      <c r="X701" t="s">
        <v>66</v>
      </c>
      <c r="Y701" s="3" t="str">
        <f t="shared" si="227"/>
        <v>Standard Class</v>
      </c>
      <c r="Z701">
        <v>9</v>
      </c>
      <c r="AA701">
        <v>1400.11</v>
      </c>
      <c r="AB701">
        <v>0.25</v>
      </c>
      <c r="AC701">
        <f t="shared" si="228"/>
        <v>0.25</v>
      </c>
      <c r="AD701" t="str">
        <f t="shared" si="231"/>
        <v>Valid</v>
      </c>
      <c r="AE701">
        <v>9450.74</v>
      </c>
      <c r="AF701">
        <v>7798.56</v>
      </c>
      <c r="AG701">
        <v>1652.18</v>
      </c>
      <c r="AH701" t="s">
        <v>33</v>
      </c>
      <c r="AI701" t="str">
        <f t="shared" si="232"/>
        <v>Include</v>
      </c>
      <c r="AJ701" t="str">
        <f t="shared" si="233"/>
        <v/>
      </c>
      <c r="AK701" t="s">
        <v>34</v>
      </c>
      <c r="AL701" t="str">
        <f t="shared" si="229"/>
        <v>Completed</v>
      </c>
      <c r="AM701" t="str">
        <f t="shared" si="234"/>
        <v>Include</v>
      </c>
      <c r="AN701">
        <f t="shared" si="235"/>
        <v>9450.7425000000003</v>
      </c>
      <c r="AO701">
        <f t="shared" si="236"/>
        <v>1652.1824999999999</v>
      </c>
      <c r="AP701">
        <f>IF(AN701=0,0,AO701/AN701)</f>
        <v>0.17482039109625511</v>
      </c>
      <c r="AQ701" t="str">
        <f t="shared" si="237"/>
        <v>June</v>
      </c>
      <c r="AR701">
        <f t="shared" si="238"/>
        <v>2024</v>
      </c>
      <c r="AS701" t="str">
        <f t="shared" si="239"/>
        <v>Clean</v>
      </c>
      <c r="AT701" t="str">
        <f>IF(OR(AC701&lt;0,AC701&gt;0.5),"Invalid Discount","Valid")</f>
        <v>Valid</v>
      </c>
      <c r="AU701" t="str">
        <f>IF(G701&lt;E701,"Invalid Shipping Record","Valid")</f>
        <v>Valid</v>
      </c>
      <c r="AV701" t="str">
        <f>IF(OR(AL701="Cancelled",AH701="Failed"),"Exclude","Include")</f>
        <v>Include</v>
      </c>
      <c r="AW701" t="str">
        <f t="shared" si="240"/>
        <v>Match</v>
      </c>
      <c r="AX701" t="str">
        <f t="shared" si="241"/>
        <v>Match</v>
      </c>
    </row>
    <row r="702" spans="1:50">
      <c r="A702" t="s">
        <v>3280</v>
      </c>
      <c r="B702">
        <f t="shared" si="242"/>
        <v>1</v>
      </c>
      <c r="C702" t="str">
        <f t="shared" si="230"/>
        <v/>
      </c>
      <c r="D702" s="3" t="s">
        <v>3281</v>
      </c>
      <c r="E702" s="7">
        <v>45553</v>
      </c>
      <c r="F702" s="3" t="s">
        <v>1133</v>
      </c>
      <c r="G702" s="7">
        <v>45556</v>
      </c>
      <c r="H702" s="7" t="str">
        <f t="shared" si="221"/>
        <v>Valid</v>
      </c>
      <c r="I702" s="9">
        <f t="shared" si="222"/>
        <v>3</v>
      </c>
      <c r="J702" s="9" t="str">
        <f t="shared" si="223"/>
        <v>Valid</v>
      </c>
      <c r="K702" t="s">
        <v>3282</v>
      </c>
      <c r="L702" t="s">
        <v>92</v>
      </c>
      <c r="M702" t="s">
        <v>92</v>
      </c>
      <c r="N702" t="s">
        <v>107</v>
      </c>
      <c r="O702" s="3" t="str">
        <f t="shared" si="224"/>
        <v>Corporate</v>
      </c>
      <c r="P702" t="s">
        <v>41</v>
      </c>
      <c r="Q702" s="3" t="str">
        <f t="shared" si="225"/>
        <v>East</v>
      </c>
      <c r="R702" t="s">
        <v>120</v>
      </c>
      <c r="S702" t="s">
        <v>121</v>
      </c>
      <c r="T702" t="s">
        <v>85</v>
      </c>
      <c r="U702" s="3" t="str">
        <f t="shared" si="226"/>
        <v>Technology</v>
      </c>
      <c r="V702" t="s">
        <v>381</v>
      </c>
      <c r="W702" t="s">
        <v>3283</v>
      </c>
      <c r="X702" t="s">
        <v>66</v>
      </c>
      <c r="Y702" s="3" t="str">
        <f t="shared" si="227"/>
        <v>Standard Class</v>
      </c>
      <c r="Z702">
        <v>3</v>
      </c>
      <c r="AA702">
        <v>3055.9</v>
      </c>
      <c r="AB702">
        <v>0.15</v>
      </c>
      <c r="AC702">
        <f t="shared" si="228"/>
        <v>0.15</v>
      </c>
      <c r="AD702" t="str">
        <f t="shared" si="231"/>
        <v>Valid</v>
      </c>
      <c r="AE702">
        <v>7792.55</v>
      </c>
      <c r="AF702">
        <v>4691.7299999999996</v>
      </c>
      <c r="AG702">
        <v>3100.82</v>
      </c>
      <c r="AH702" t="s">
        <v>33</v>
      </c>
      <c r="AI702" t="str">
        <f t="shared" si="232"/>
        <v>Include</v>
      </c>
      <c r="AJ702" t="str">
        <f t="shared" si="233"/>
        <v/>
      </c>
      <c r="AK702" t="s">
        <v>34</v>
      </c>
      <c r="AL702" t="str">
        <f t="shared" si="229"/>
        <v>Completed</v>
      </c>
      <c r="AM702" t="str">
        <f t="shared" si="234"/>
        <v>Include</v>
      </c>
      <c r="AN702">
        <f t="shared" si="235"/>
        <v>7792.5450000000001</v>
      </c>
      <c r="AO702">
        <f t="shared" si="236"/>
        <v>3100.8150000000005</v>
      </c>
      <c r="AP702">
        <f>IF(AN702=0,0,AO702/AN702)</f>
        <v>0.39792070498149201</v>
      </c>
      <c r="AQ702" t="str">
        <f t="shared" si="237"/>
        <v>September</v>
      </c>
      <c r="AR702">
        <f t="shared" si="238"/>
        <v>2024</v>
      </c>
      <c r="AS702" t="str">
        <f t="shared" si="239"/>
        <v>Clean</v>
      </c>
      <c r="AT702" t="str">
        <f>IF(OR(AC702&lt;0,AC702&gt;0.5),"Invalid Discount","Valid")</f>
        <v>Valid</v>
      </c>
      <c r="AU702" t="str">
        <f>IF(G702&lt;E702,"Invalid Shipping Record","Valid")</f>
        <v>Valid</v>
      </c>
      <c r="AV702" t="str">
        <f>IF(OR(AL702="Cancelled",AH702="Failed"),"Exclude","Include")</f>
        <v>Include</v>
      </c>
      <c r="AW702" t="str">
        <f t="shared" si="240"/>
        <v>Match</v>
      </c>
      <c r="AX702" t="str">
        <f t="shared" si="241"/>
        <v>Match</v>
      </c>
    </row>
    <row r="703" spans="1:50">
      <c r="A703" t="s">
        <v>3284</v>
      </c>
      <c r="B703">
        <f t="shared" si="242"/>
        <v>1</v>
      </c>
      <c r="C703" t="str">
        <f t="shared" si="230"/>
        <v/>
      </c>
      <c r="D703" s="3" t="s">
        <v>1621</v>
      </c>
      <c r="E703" s="7">
        <v>45412</v>
      </c>
      <c r="F703" s="3" t="s">
        <v>1292</v>
      </c>
      <c r="G703" s="7">
        <v>45416</v>
      </c>
      <c r="H703" s="7" t="str">
        <f t="shared" si="221"/>
        <v>Valid</v>
      </c>
      <c r="I703" s="9">
        <f t="shared" si="222"/>
        <v>4</v>
      </c>
      <c r="J703" s="9" t="str">
        <f t="shared" si="223"/>
        <v>Valid</v>
      </c>
      <c r="K703" t="s">
        <v>3285</v>
      </c>
      <c r="L703" t="s">
        <v>179</v>
      </c>
      <c r="M703" t="s">
        <v>179</v>
      </c>
      <c r="N703" t="s">
        <v>40</v>
      </c>
      <c r="O703" s="3" t="str">
        <f t="shared" si="224"/>
        <v>Small Business</v>
      </c>
      <c r="P703" t="s">
        <v>72</v>
      </c>
      <c r="Q703" s="3" t="str">
        <f t="shared" si="225"/>
        <v>West</v>
      </c>
      <c r="R703" t="s">
        <v>234</v>
      </c>
      <c r="S703" t="s">
        <v>235</v>
      </c>
      <c r="T703" t="s">
        <v>29</v>
      </c>
      <c r="U703" s="3" t="str">
        <f t="shared" si="226"/>
        <v>Office Supplies</v>
      </c>
      <c r="V703" t="s">
        <v>53</v>
      </c>
      <c r="W703" t="s">
        <v>3286</v>
      </c>
      <c r="X703" t="s">
        <v>47</v>
      </c>
      <c r="Y703" s="3" t="str">
        <f t="shared" si="227"/>
        <v>Same Day</v>
      </c>
      <c r="Z703">
        <v>7</v>
      </c>
      <c r="AA703">
        <v>1224.94</v>
      </c>
      <c r="AB703">
        <v>0</v>
      </c>
      <c r="AC703">
        <f t="shared" si="228"/>
        <v>0</v>
      </c>
      <c r="AD703" t="str">
        <f t="shared" si="231"/>
        <v>Valid</v>
      </c>
      <c r="AE703">
        <v>8574.58</v>
      </c>
      <c r="AF703">
        <v>6685.81</v>
      </c>
      <c r="AG703">
        <v>1888.77</v>
      </c>
      <c r="AH703" t="s">
        <v>33</v>
      </c>
      <c r="AI703" t="str">
        <f t="shared" si="232"/>
        <v>Include</v>
      </c>
      <c r="AJ703" t="str">
        <f t="shared" si="233"/>
        <v/>
      </c>
      <c r="AK703" t="s">
        <v>124</v>
      </c>
      <c r="AL703" t="str">
        <f t="shared" si="229"/>
        <v>Returned</v>
      </c>
      <c r="AM703" t="str">
        <f t="shared" si="234"/>
        <v>Include</v>
      </c>
      <c r="AN703">
        <f t="shared" si="235"/>
        <v>8574.58</v>
      </c>
      <c r="AO703">
        <f t="shared" si="236"/>
        <v>1888.7699999999995</v>
      </c>
      <c r="AP703">
        <f>IF(AN703=0,0,AO703/AN703)</f>
        <v>0.22027551203674112</v>
      </c>
      <c r="AQ703" t="str">
        <f t="shared" si="237"/>
        <v>April</v>
      </c>
      <c r="AR703">
        <f t="shared" si="238"/>
        <v>2024</v>
      </c>
      <c r="AS703" t="str">
        <f t="shared" si="239"/>
        <v>Clean</v>
      </c>
      <c r="AT703" t="str">
        <f>IF(OR(AC703&lt;0,AC703&gt;0.5),"Invalid Discount","Valid")</f>
        <v>Valid</v>
      </c>
      <c r="AU703" t="str">
        <f>IF(G703&lt;E703,"Invalid Shipping Record","Valid")</f>
        <v>Valid</v>
      </c>
      <c r="AV703" t="str">
        <f>IF(OR(AL703="Cancelled",AH703="Failed"),"Exclude","Include")</f>
        <v>Include</v>
      </c>
      <c r="AW703" t="str">
        <f t="shared" si="240"/>
        <v>Match</v>
      </c>
      <c r="AX703" t="str">
        <f t="shared" si="241"/>
        <v>Match</v>
      </c>
    </row>
    <row r="704" spans="1:50">
      <c r="A704" t="s">
        <v>3287</v>
      </c>
      <c r="B704">
        <f t="shared" si="242"/>
        <v>1</v>
      </c>
      <c r="C704" t="str">
        <f t="shared" si="230"/>
        <v/>
      </c>
      <c r="D704" s="3" t="s">
        <v>3288</v>
      </c>
      <c r="E704" s="7">
        <v>45690</v>
      </c>
      <c r="F704" s="3" t="s">
        <v>2883</v>
      </c>
      <c r="G704" s="7">
        <v>45694</v>
      </c>
      <c r="H704" s="7" t="str">
        <f t="shared" si="221"/>
        <v>Valid</v>
      </c>
      <c r="I704" s="9">
        <f t="shared" si="222"/>
        <v>4</v>
      </c>
      <c r="J704" s="9" t="str">
        <f t="shared" si="223"/>
        <v>Valid</v>
      </c>
      <c r="K704" t="s">
        <v>3289</v>
      </c>
      <c r="L704" t="s">
        <v>24</v>
      </c>
      <c r="M704" t="s">
        <v>24</v>
      </c>
      <c r="N704" t="s">
        <v>40</v>
      </c>
      <c r="O704" s="3" t="str">
        <f t="shared" si="224"/>
        <v>Small Business</v>
      </c>
      <c r="P704" t="s">
        <v>72</v>
      </c>
      <c r="Q704" s="3" t="str">
        <f t="shared" si="225"/>
        <v>West</v>
      </c>
      <c r="R704" t="s">
        <v>27</v>
      </c>
      <c r="S704" t="s">
        <v>134</v>
      </c>
      <c r="T704" t="s">
        <v>44</v>
      </c>
      <c r="U704" s="3" t="str">
        <f t="shared" si="226"/>
        <v>Furniture</v>
      </c>
      <c r="V704" t="s">
        <v>45</v>
      </c>
      <c r="W704" t="s">
        <v>3290</v>
      </c>
      <c r="X704" t="s">
        <v>32</v>
      </c>
      <c r="Y704" s="3" t="str">
        <f t="shared" si="227"/>
        <v>Second Class</v>
      </c>
      <c r="Z704">
        <v>3</v>
      </c>
      <c r="AA704">
        <v>997.34</v>
      </c>
      <c r="AB704">
        <v>0.1</v>
      </c>
      <c r="AC704">
        <f t="shared" si="228"/>
        <v>0.1</v>
      </c>
      <c r="AD704" t="str">
        <f t="shared" si="231"/>
        <v>Valid</v>
      </c>
      <c r="AE704">
        <v>2692.82</v>
      </c>
      <c r="AF704">
        <v>1820.08</v>
      </c>
      <c r="AG704">
        <v>872.74</v>
      </c>
      <c r="AH704" t="s">
        <v>33</v>
      </c>
      <c r="AI704" t="str">
        <f t="shared" si="232"/>
        <v>Include</v>
      </c>
      <c r="AJ704" t="str">
        <f t="shared" si="233"/>
        <v/>
      </c>
      <c r="AK704" t="s">
        <v>34</v>
      </c>
      <c r="AL704" t="str">
        <f t="shared" si="229"/>
        <v>Completed</v>
      </c>
      <c r="AM704" t="str">
        <f t="shared" si="234"/>
        <v>Include</v>
      </c>
      <c r="AN704">
        <f t="shared" si="235"/>
        <v>2692.8180000000002</v>
      </c>
      <c r="AO704">
        <f t="shared" si="236"/>
        <v>872.73800000000028</v>
      </c>
      <c r="AP704">
        <f>IF(AN704=0,0,AO704/AN704)</f>
        <v>0.32409839803506968</v>
      </c>
      <c r="AQ704" t="str">
        <f t="shared" si="237"/>
        <v>February</v>
      </c>
      <c r="AR704">
        <f t="shared" si="238"/>
        <v>2025</v>
      </c>
      <c r="AS704" t="str">
        <f t="shared" si="239"/>
        <v>Clean</v>
      </c>
      <c r="AT704" t="str">
        <f>IF(OR(AC704&lt;0,AC704&gt;0.5),"Invalid Discount","Valid")</f>
        <v>Valid</v>
      </c>
      <c r="AU704" t="str">
        <f>IF(G704&lt;E704,"Invalid Shipping Record","Valid")</f>
        <v>Valid</v>
      </c>
      <c r="AV704" t="str">
        <f>IF(OR(AL704="Cancelled",AH704="Failed"),"Exclude","Include")</f>
        <v>Include</v>
      </c>
      <c r="AW704" t="str">
        <f t="shared" si="240"/>
        <v>Match</v>
      </c>
      <c r="AX704" t="str">
        <f t="shared" si="241"/>
        <v>Match</v>
      </c>
    </row>
    <row r="705" spans="1:50">
      <c r="A705" t="s">
        <v>3291</v>
      </c>
      <c r="B705">
        <f t="shared" si="242"/>
        <v>1</v>
      </c>
      <c r="C705" t="str">
        <f t="shared" si="230"/>
        <v/>
      </c>
      <c r="D705" s="3" t="s">
        <v>3292</v>
      </c>
      <c r="E705" s="7">
        <v>45584</v>
      </c>
      <c r="F705" s="3" t="s">
        <v>2379</v>
      </c>
      <c r="G705" s="7">
        <v>45585</v>
      </c>
      <c r="H705" s="7" t="str">
        <f t="shared" si="221"/>
        <v>Valid</v>
      </c>
      <c r="I705" s="9">
        <f t="shared" si="222"/>
        <v>1</v>
      </c>
      <c r="J705" s="9" t="str">
        <f t="shared" si="223"/>
        <v>Valid</v>
      </c>
      <c r="K705" t="s">
        <v>3293</v>
      </c>
      <c r="L705" t="s">
        <v>106</v>
      </c>
      <c r="M705" t="s">
        <v>106</v>
      </c>
      <c r="N705" t="s">
        <v>107</v>
      </c>
      <c r="O705" s="3" t="str">
        <f t="shared" si="224"/>
        <v>Corporate</v>
      </c>
      <c r="P705" t="s">
        <v>26</v>
      </c>
      <c r="Q705" s="3" t="str">
        <f t="shared" si="225"/>
        <v>North</v>
      </c>
      <c r="R705" t="s">
        <v>27</v>
      </c>
      <c r="S705" t="s">
        <v>28</v>
      </c>
      <c r="T705" t="s">
        <v>44</v>
      </c>
      <c r="U705" s="3" t="str">
        <f t="shared" si="226"/>
        <v>Furniture</v>
      </c>
      <c r="V705" t="s">
        <v>45</v>
      </c>
      <c r="W705" t="s">
        <v>3294</v>
      </c>
      <c r="X705" t="s">
        <v>55</v>
      </c>
      <c r="Y705" s="3" t="str">
        <f t="shared" si="227"/>
        <v>First Class</v>
      </c>
      <c r="Z705">
        <v>1</v>
      </c>
      <c r="AA705">
        <v>1150.03</v>
      </c>
      <c r="AB705">
        <v>0.1</v>
      </c>
      <c r="AC705">
        <f t="shared" si="228"/>
        <v>0.1</v>
      </c>
      <c r="AD705" t="str">
        <f t="shared" si="231"/>
        <v>Valid</v>
      </c>
      <c r="AE705">
        <v>1035.03</v>
      </c>
      <c r="AF705">
        <v>854.35</v>
      </c>
      <c r="AG705">
        <v>180.68</v>
      </c>
      <c r="AH705" t="s">
        <v>33</v>
      </c>
      <c r="AI705" t="str">
        <f t="shared" si="232"/>
        <v>Include</v>
      </c>
      <c r="AJ705" t="str">
        <f t="shared" si="233"/>
        <v/>
      </c>
      <c r="AK705" t="s">
        <v>34</v>
      </c>
      <c r="AL705" t="str">
        <f t="shared" si="229"/>
        <v>Completed</v>
      </c>
      <c r="AM705" t="str">
        <f t="shared" si="234"/>
        <v>Include</v>
      </c>
      <c r="AN705">
        <f t="shared" si="235"/>
        <v>1035.027</v>
      </c>
      <c r="AO705">
        <f t="shared" si="236"/>
        <v>180.67700000000002</v>
      </c>
      <c r="AP705">
        <f>IF(AN705=0,0,AO705/AN705)</f>
        <v>0.1745625959516032</v>
      </c>
      <c r="AQ705" t="str">
        <f t="shared" si="237"/>
        <v>October</v>
      </c>
      <c r="AR705">
        <f t="shared" si="238"/>
        <v>2024</v>
      </c>
      <c r="AS705" t="str">
        <f t="shared" si="239"/>
        <v>Clean</v>
      </c>
      <c r="AT705" t="str">
        <f>IF(OR(AC705&lt;0,AC705&gt;0.5),"Invalid Discount","Valid")</f>
        <v>Valid</v>
      </c>
      <c r="AU705" t="str">
        <f>IF(G705&lt;E705,"Invalid Shipping Record","Valid")</f>
        <v>Valid</v>
      </c>
      <c r="AV705" t="str">
        <f>IF(OR(AL705="Cancelled",AH705="Failed"),"Exclude","Include")</f>
        <v>Include</v>
      </c>
      <c r="AW705" t="str">
        <f t="shared" si="240"/>
        <v>Match</v>
      </c>
      <c r="AX705" t="str">
        <f t="shared" si="241"/>
        <v>Match</v>
      </c>
    </row>
    <row r="706" spans="1:50">
      <c r="A706" t="s">
        <v>3295</v>
      </c>
      <c r="B706">
        <f t="shared" si="242"/>
        <v>1</v>
      </c>
      <c r="C706" t="str">
        <f t="shared" si="230"/>
        <v/>
      </c>
      <c r="D706" s="3" t="s">
        <v>1557</v>
      </c>
      <c r="E706" s="7">
        <v>45364</v>
      </c>
      <c r="F706" s="3" t="s">
        <v>3296</v>
      </c>
      <c r="G706" s="7">
        <v>45371</v>
      </c>
      <c r="H706" s="7" t="str">
        <f t="shared" ref="H706:H769" si="243">IF(G706&lt;E706,"Invalid Shipping Record","Valid")</f>
        <v>Valid</v>
      </c>
      <c r="I706" s="9">
        <f t="shared" ref="I706:I769" si="244">G706-E706</f>
        <v>7</v>
      </c>
      <c r="J706" s="9" t="str">
        <f t="shared" ref="J706:J769" si="245">IF(OR(E706="",G706=""),"Missing Date",IF(OR(NOT(ISNUMBER(E706)),NOT(ISNUMBER(G706))),"Invalid Date",IF(G706&lt;E706,"Invalid Shipping Record","Valid")))</f>
        <v>Valid</v>
      </c>
      <c r="K706" t="s">
        <v>3297</v>
      </c>
      <c r="L706" t="s">
        <v>141</v>
      </c>
      <c r="M706" t="s">
        <v>141</v>
      </c>
      <c r="N706" t="s">
        <v>114</v>
      </c>
      <c r="O706" s="3" t="str">
        <f t="shared" ref="O706:O769" si="246">PROPER(TRIM(N706))</f>
        <v>Home Office</v>
      </c>
      <c r="P706" t="s">
        <v>61</v>
      </c>
      <c r="Q706" s="3" t="str">
        <f t="shared" ref="Q706:Q769" si="247">IF(TRIM(P706)="","Unknown",PROPER(TRIM(P706)))</f>
        <v>South</v>
      </c>
      <c r="R706" t="s">
        <v>338</v>
      </c>
      <c r="S706" t="s">
        <v>339</v>
      </c>
      <c r="T706" t="s">
        <v>44</v>
      </c>
      <c r="U706" s="3" t="str">
        <f t="shared" ref="U706:U769" si="248">PROPER(TRIM(T706))</f>
        <v>Furniture</v>
      </c>
      <c r="V706" t="s">
        <v>203</v>
      </c>
      <c r="W706" t="s">
        <v>3298</v>
      </c>
      <c r="Y706" s="3" t="str">
        <f t="shared" ref="Y706:Y769" si="249">IF(TRIM(X706)="","Unknown",PROPER(TRIM(X706)))</f>
        <v>Unknown</v>
      </c>
      <c r="Z706">
        <v>1</v>
      </c>
      <c r="AA706">
        <v>2825.63</v>
      </c>
      <c r="AB706">
        <v>0.15</v>
      </c>
      <c r="AC706">
        <f t="shared" ref="AC706:AC769" si="250">IF(AND(AB706=" ",Z706=" ",AA706=" ",AF706=" "),0,AB706)</f>
        <v>0.15</v>
      </c>
      <c r="AD706" t="str">
        <f t="shared" si="231"/>
        <v>Valid</v>
      </c>
      <c r="AE706">
        <v>2401.79</v>
      </c>
      <c r="AF706">
        <v>1820.34</v>
      </c>
      <c r="AG706">
        <v>581.45000000000005</v>
      </c>
      <c r="AH706" t="s">
        <v>33</v>
      </c>
      <c r="AI706" t="str">
        <f t="shared" si="232"/>
        <v>Include</v>
      </c>
      <c r="AJ706" t="str">
        <f t="shared" si="233"/>
        <v/>
      </c>
      <c r="AK706" t="s">
        <v>34</v>
      </c>
      <c r="AL706" t="str">
        <f t="shared" ref="AL706:AL769" si="251">PROPER(TRIM(AK706))</f>
        <v>Completed</v>
      </c>
      <c r="AM706" t="str">
        <f t="shared" si="234"/>
        <v>Include</v>
      </c>
      <c r="AN706">
        <f t="shared" si="235"/>
        <v>2401.7855</v>
      </c>
      <c r="AO706">
        <f t="shared" si="236"/>
        <v>581.44550000000004</v>
      </c>
      <c r="AP706">
        <f>IF(AN706=0,0,AO706/AN706)</f>
        <v>0.24208885431276025</v>
      </c>
      <c r="AQ706" t="str">
        <f t="shared" si="237"/>
        <v>March</v>
      </c>
      <c r="AR706">
        <f t="shared" si="238"/>
        <v>2024</v>
      </c>
      <c r="AS706" t="str">
        <f t="shared" si="239"/>
        <v>Warning</v>
      </c>
      <c r="AT706" t="str">
        <f>IF(OR(AC706&lt;0,AC706&gt;0.5),"Invalid Discount","Valid")</f>
        <v>Valid</v>
      </c>
      <c r="AU706" t="str">
        <f>IF(G706&lt;E706,"Invalid Shipping Record","Valid")</f>
        <v>Valid</v>
      </c>
      <c r="AV706" t="str">
        <f>IF(OR(AL706="Cancelled",AH706="Failed"),"Exclude","Include")</f>
        <v>Include</v>
      </c>
      <c r="AW706" t="str">
        <f t="shared" si="240"/>
        <v>Match</v>
      </c>
      <c r="AX706" t="str">
        <f t="shared" si="241"/>
        <v>Match</v>
      </c>
    </row>
    <row r="707" spans="1:50">
      <c r="A707" t="s">
        <v>3299</v>
      </c>
      <c r="B707">
        <f t="shared" si="242"/>
        <v>1</v>
      </c>
      <c r="C707" t="str">
        <f t="shared" ref="C707:C770" si="252">IF(B707&gt;1,"Review Required","")</f>
        <v/>
      </c>
      <c r="D707" s="3" t="s">
        <v>3300</v>
      </c>
      <c r="E707" s="7">
        <v>45543</v>
      </c>
      <c r="F707" s="3" t="s">
        <v>3301</v>
      </c>
      <c r="G707" s="7">
        <v>45549</v>
      </c>
      <c r="H707" s="7" t="str">
        <f t="shared" si="243"/>
        <v>Valid</v>
      </c>
      <c r="I707" s="9">
        <f t="shared" si="244"/>
        <v>6</v>
      </c>
      <c r="J707" s="9" t="str">
        <f t="shared" si="245"/>
        <v>Valid</v>
      </c>
      <c r="K707" t="s">
        <v>3302</v>
      </c>
      <c r="L707" t="s">
        <v>179</v>
      </c>
      <c r="M707" t="s">
        <v>179</v>
      </c>
      <c r="N707" t="s">
        <v>25</v>
      </c>
      <c r="O707" s="3" t="str">
        <f t="shared" si="246"/>
        <v>Consumer</v>
      </c>
      <c r="P707" t="s">
        <v>26</v>
      </c>
      <c r="Q707" s="3" t="str">
        <f t="shared" si="247"/>
        <v>North</v>
      </c>
      <c r="R707" t="s">
        <v>27</v>
      </c>
      <c r="S707" t="s">
        <v>28</v>
      </c>
      <c r="T707" t="s">
        <v>29</v>
      </c>
      <c r="U707" s="3" t="str">
        <f t="shared" si="248"/>
        <v>Office Supplies</v>
      </c>
      <c r="V707" t="s">
        <v>197</v>
      </c>
      <c r="W707" t="s">
        <v>3303</v>
      </c>
      <c r="X707" t="s">
        <v>66</v>
      </c>
      <c r="Y707" s="3" t="str">
        <f t="shared" si="249"/>
        <v>Standard Class</v>
      </c>
      <c r="Z707">
        <v>5</v>
      </c>
      <c r="AA707">
        <v>3371.75</v>
      </c>
      <c r="AB707">
        <v>0.05</v>
      </c>
      <c r="AC707">
        <f t="shared" si="250"/>
        <v>0.05</v>
      </c>
      <c r="AD707" t="str">
        <f t="shared" ref="AD707:AD770" si="253">IF(AC707&lt;0,"Invalid Discount","Valid")</f>
        <v>Valid</v>
      </c>
      <c r="AE707">
        <v>16015.81</v>
      </c>
      <c r="AF707">
        <v>11352.38</v>
      </c>
      <c r="AG707">
        <v>4663.43</v>
      </c>
      <c r="AH707" t="s">
        <v>33</v>
      </c>
      <c r="AI707" t="str">
        <f t="shared" ref="AI707:AI770" si="254">IF(OR(AH707="Failed",AL707="Cancelled"),"Exclude","Include")</f>
        <v>Include</v>
      </c>
      <c r="AJ707" t="str">
        <f t="shared" ref="AJ707:AJ770" si="255">IF(AH707="Refunded","Refunded Order","")</f>
        <v/>
      </c>
      <c r="AK707" t="s">
        <v>34</v>
      </c>
      <c r="AL707" t="str">
        <f t="shared" si="251"/>
        <v>Completed</v>
      </c>
      <c r="AM707" t="str">
        <f t="shared" ref="AM707:AM770" si="256">IF(AL707="Cancelled","Exclude","Include")</f>
        <v>Include</v>
      </c>
      <c r="AN707">
        <f t="shared" ref="AN707:AN770" si="257">Z707*AA707*(1-AC707)</f>
        <v>16015.8125</v>
      </c>
      <c r="AO707">
        <f t="shared" ref="AO707:AO770" si="258">AN707-AF707</f>
        <v>4663.4325000000008</v>
      </c>
      <c r="AP707">
        <f>IF(AN707=0,0,AO707/AN707)</f>
        <v>0.29117676671102394</v>
      </c>
      <c r="AQ707" t="str">
        <f t="shared" ref="AQ707:AQ770" si="259">TEXT(E707,"mmmm")</f>
        <v>September</v>
      </c>
      <c r="AR707">
        <f t="shared" ref="AR707:AR770" si="260">YEAR(E707)</f>
        <v>2024</v>
      </c>
      <c r="AS707" t="str">
        <f t="shared" ref="AS707:AS770" si="261">IF(OR(AC707&lt;0,AC707&gt;1,G707&lt;E707),"Invalid",IF(OR(Q707="Unknown",Y707="Unknown"),"Warning","Clean"))</f>
        <v>Clean</v>
      </c>
      <c r="AT707" t="str">
        <f>IF(OR(AC707&lt;0,AC707&gt;0.5),"Invalid Discount","Valid")</f>
        <v>Valid</v>
      </c>
      <c r="AU707" t="str">
        <f>IF(G707&lt;E707,"Invalid Shipping Record","Valid")</f>
        <v>Valid</v>
      </c>
      <c r="AV707" t="str">
        <f>IF(OR(AL707="Cancelled",AH707="Failed"),"Exclude","Include")</f>
        <v>Include</v>
      </c>
      <c r="AW707" t="str">
        <f t="shared" ref="AW707:AW770" si="262">IF(ROUND(AE707,2)=ROUND(AN707,2),"Match","Mismatch")</f>
        <v>Match</v>
      </c>
      <c r="AX707" t="str">
        <f t="shared" ref="AX707:AX770" si="263">IF(ROUND(AG707,2)=ROUND(AO707,2),"Match","Mismatch")</f>
        <v>Match</v>
      </c>
    </row>
    <row r="708" spans="1:50">
      <c r="A708" t="s">
        <v>3304</v>
      </c>
      <c r="B708">
        <f t="shared" si="242"/>
        <v>1</v>
      </c>
      <c r="C708" t="str">
        <f t="shared" si="252"/>
        <v/>
      </c>
      <c r="D708" s="3" t="s">
        <v>3305</v>
      </c>
      <c r="E708" s="7">
        <v>45467</v>
      </c>
      <c r="F708" s="3" t="s">
        <v>1042</v>
      </c>
      <c r="G708" s="7">
        <v>45471</v>
      </c>
      <c r="H708" s="7" t="str">
        <f t="shared" si="243"/>
        <v>Valid</v>
      </c>
      <c r="I708" s="9">
        <f t="shared" si="244"/>
        <v>4</v>
      </c>
      <c r="J708" s="9" t="str">
        <f t="shared" si="245"/>
        <v>Valid</v>
      </c>
      <c r="K708" t="s">
        <v>3306</v>
      </c>
      <c r="L708" t="s">
        <v>52</v>
      </c>
      <c r="M708" t="s">
        <v>52</v>
      </c>
      <c r="N708" t="s">
        <v>40</v>
      </c>
      <c r="O708" s="3" t="str">
        <f t="shared" si="246"/>
        <v>Small Business</v>
      </c>
      <c r="P708" t="s">
        <v>41</v>
      </c>
      <c r="Q708" s="3" t="str">
        <f t="shared" si="247"/>
        <v>East</v>
      </c>
      <c r="R708" t="s">
        <v>42</v>
      </c>
      <c r="S708" t="s">
        <v>43</v>
      </c>
      <c r="T708" t="s">
        <v>29</v>
      </c>
      <c r="U708" s="3" t="str">
        <f t="shared" si="248"/>
        <v>Office Supplies</v>
      </c>
      <c r="V708" t="s">
        <v>30</v>
      </c>
      <c r="W708" t="s">
        <v>3307</v>
      </c>
      <c r="X708" t="s">
        <v>47</v>
      </c>
      <c r="Y708" s="3" t="str">
        <f t="shared" si="249"/>
        <v>Same Day</v>
      </c>
      <c r="Z708">
        <v>1</v>
      </c>
      <c r="AA708">
        <v>2112.75</v>
      </c>
      <c r="AB708">
        <v>0.1</v>
      </c>
      <c r="AC708">
        <f t="shared" si="250"/>
        <v>0.1</v>
      </c>
      <c r="AD708" t="str">
        <f t="shared" si="253"/>
        <v>Valid</v>
      </c>
      <c r="AE708">
        <v>1901.48</v>
      </c>
      <c r="AF708">
        <v>1354.28</v>
      </c>
      <c r="AG708">
        <v>547.20000000000005</v>
      </c>
      <c r="AH708" t="s">
        <v>33</v>
      </c>
      <c r="AI708" t="str">
        <f t="shared" si="254"/>
        <v>Include</v>
      </c>
      <c r="AJ708" t="str">
        <f t="shared" si="255"/>
        <v/>
      </c>
      <c r="AK708" t="s">
        <v>34</v>
      </c>
      <c r="AL708" t="str">
        <f t="shared" si="251"/>
        <v>Completed</v>
      </c>
      <c r="AM708" t="str">
        <f t="shared" si="256"/>
        <v>Include</v>
      </c>
      <c r="AN708">
        <f t="shared" si="257"/>
        <v>1901.4750000000001</v>
      </c>
      <c r="AO708">
        <f t="shared" si="258"/>
        <v>547.19500000000016</v>
      </c>
      <c r="AP708">
        <f>IF(AN708=0,0,AO708/AN708)</f>
        <v>0.28777396494826391</v>
      </c>
      <c r="AQ708" t="str">
        <f t="shared" si="259"/>
        <v>June</v>
      </c>
      <c r="AR708">
        <f t="shared" si="260"/>
        <v>2024</v>
      </c>
      <c r="AS708" t="str">
        <f t="shared" si="261"/>
        <v>Clean</v>
      </c>
      <c r="AT708" t="str">
        <f>IF(OR(AC708&lt;0,AC708&gt;0.5),"Invalid Discount","Valid")</f>
        <v>Valid</v>
      </c>
      <c r="AU708" t="str">
        <f>IF(G708&lt;E708,"Invalid Shipping Record","Valid")</f>
        <v>Valid</v>
      </c>
      <c r="AV708" t="str">
        <f>IF(OR(AL708="Cancelled",AH708="Failed"),"Exclude","Include")</f>
        <v>Include</v>
      </c>
      <c r="AW708" t="str">
        <f t="shared" si="262"/>
        <v>Match</v>
      </c>
      <c r="AX708" t="str">
        <f t="shared" si="263"/>
        <v>Match</v>
      </c>
    </row>
    <row r="709" spans="1:50">
      <c r="A709" t="s">
        <v>3308</v>
      </c>
      <c r="B709">
        <f t="shared" si="242"/>
        <v>1</v>
      </c>
      <c r="C709" t="str">
        <f t="shared" si="252"/>
        <v/>
      </c>
      <c r="D709" s="3" t="s">
        <v>3309</v>
      </c>
      <c r="E709" s="7">
        <v>45832</v>
      </c>
      <c r="F709" s="3" t="s">
        <v>2370</v>
      </c>
      <c r="G709" s="7">
        <v>45834</v>
      </c>
      <c r="H709" s="7" t="str">
        <f t="shared" si="243"/>
        <v>Valid</v>
      </c>
      <c r="I709" s="9">
        <f t="shared" si="244"/>
        <v>2</v>
      </c>
      <c r="J709" s="9" t="str">
        <f t="shared" si="245"/>
        <v>Valid</v>
      </c>
      <c r="K709" t="s">
        <v>3310</v>
      </c>
      <c r="L709" t="s">
        <v>82</v>
      </c>
      <c r="M709" t="s">
        <v>82</v>
      </c>
      <c r="N709" t="s">
        <v>25</v>
      </c>
      <c r="O709" s="3" t="str">
        <f t="shared" si="246"/>
        <v>Consumer</v>
      </c>
      <c r="P709" t="s">
        <v>26</v>
      </c>
      <c r="Q709" s="3" t="str">
        <f t="shared" si="247"/>
        <v>North</v>
      </c>
      <c r="R709" t="s">
        <v>27</v>
      </c>
      <c r="S709" t="s">
        <v>28</v>
      </c>
      <c r="T709" t="s">
        <v>85</v>
      </c>
      <c r="U709" s="3" t="str">
        <f t="shared" si="248"/>
        <v>Technology</v>
      </c>
      <c r="V709" t="s">
        <v>86</v>
      </c>
      <c r="W709" t="s">
        <v>3311</v>
      </c>
      <c r="X709" t="s">
        <v>47</v>
      </c>
      <c r="Y709" s="3" t="str">
        <f t="shared" si="249"/>
        <v>Same Day</v>
      </c>
      <c r="Z709">
        <v>5</v>
      </c>
      <c r="AA709">
        <v>3722.66</v>
      </c>
      <c r="AB709">
        <v>0.55000000000000004</v>
      </c>
      <c r="AC709">
        <f t="shared" si="250"/>
        <v>0.55000000000000004</v>
      </c>
      <c r="AD709" t="str">
        <f t="shared" si="253"/>
        <v>Valid</v>
      </c>
      <c r="AE709">
        <v>16751.97</v>
      </c>
      <c r="AF709">
        <v>11678.32</v>
      </c>
      <c r="AG709">
        <v>5073.6499999999996</v>
      </c>
      <c r="AH709" t="s">
        <v>33</v>
      </c>
      <c r="AI709" t="str">
        <f t="shared" si="254"/>
        <v>Include</v>
      </c>
      <c r="AJ709" t="str">
        <f t="shared" si="255"/>
        <v/>
      </c>
      <c r="AK709" t="s">
        <v>34</v>
      </c>
      <c r="AL709" t="str">
        <f t="shared" si="251"/>
        <v>Completed</v>
      </c>
      <c r="AM709" t="str">
        <f t="shared" si="256"/>
        <v>Include</v>
      </c>
      <c r="AN709">
        <f t="shared" si="257"/>
        <v>8375.9849999999988</v>
      </c>
      <c r="AO709">
        <f t="shared" si="258"/>
        <v>-3302.3350000000009</v>
      </c>
      <c r="AP709">
        <f>IF(AN709=0,0,AO709/AN709)</f>
        <v>-0.39426228676388525</v>
      </c>
      <c r="AQ709" t="str">
        <f t="shared" si="259"/>
        <v>June</v>
      </c>
      <c r="AR709">
        <f t="shared" si="260"/>
        <v>2025</v>
      </c>
      <c r="AS709" t="str">
        <f t="shared" si="261"/>
        <v>Clean</v>
      </c>
      <c r="AT709" t="str">
        <f>IF(OR(AC709&lt;0,AC709&gt;0.5),"Invalid Discount","Valid")</f>
        <v>Invalid Discount</v>
      </c>
      <c r="AU709" t="str">
        <f>IF(G709&lt;E709,"Invalid Shipping Record","Valid")</f>
        <v>Valid</v>
      </c>
      <c r="AV709" t="str">
        <f>IF(OR(AL709="Cancelled",AH709="Failed"),"Exclude","Include")</f>
        <v>Include</v>
      </c>
      <c r="AW709" t="str">
        <f t="shared" si="262"/>
        <v>Mismatch</v>
      </c>
      <c r="AX709" t="str">
        <f t="shared" si="263"/>
        <v>Mismatch</v>
      </c>
    </row>
    <row r="710" spans="1:50">
      <c r="A710" t="s">
        <v>3312</v>
      </c>
      <c r="B710">
        <f t="shared" si="242"/>
        <v>1</v>
      </c>
      <c r="C710" t="str">
        <f t="shared" si="252"/>
        <v/>
      </c>
      <c r="D710" s="3" t="s">
        <v>3313</v>
      </c>
      <c r="E710" s="7">
        <v>45736</v>
      </c>
      <c r="F710" s="3" t="s">
        <v>3314</v>
      </c>
      <c r="G710" s="7">
        <v>45742</v>
      </c>
      <c r="H710" s="7" t="str">
        <f t="shared" si="243"/>
        <v>Valid</v>
      </c>
      <c r="I710" s="9">
        <f t="shared" si="244"/>
        <v>6</v>
      </c>
      <c r="J710" s="9" t="str">
        <f t="shared" si="245"/>
        <v>Valid</v>
      </c>
      <c r="K710" t="s">
        <v>3315</v>
      </c>
      <c r="L710" t="s">
        <v>167</v>
      </c>
      <c r="M710" t="s">
        <v>167</v>
      </c>
      <c r="N710" t="s">
        <v>25</v>
      </c>
      <c r="O710" s="3" t="str">
        <f t="shared" si="246"/>
        <v>Consumer</v>
      </c>
      <c r="P710" t="s">
        <v>41</v>
      </c>
      <c r="Q710" s="3" t="str">
        <f t="shared" si="247"/>
        <v>East</v>
      </c>
      <c r="R710" t="s">
        <v>215</v>
      </c>
      <c r="S710" t="s">
        <v>216</v>
      </c>
      <c r="T710" t="s">
        <v>44</v>
      </c>
      <c r="U710" s="3" t="str">
        <f t="shared" si="248"/>
        <v>Furniture</v>
      </c>
      <c r="V710" t="s">
        <v>203</v>
      </c>
      <c r="W710" t="s">
        <v>3316</v>
      </c>
      <c r="X710" t="s">
        <v>55</v>
      </c>
      <c r="Y710" s="3" t="str">
        <f t="shared" si="249"/>
        <v>First Class</v>
      </c>
      <c r="Z710">
        <v>4</v>
      </c>
      <c r="AA710">
        <v>4357.66</v>
      </c>
      <c r="AB710">
        <v>0.05</v>
      </c>
      <c r="AC710">
        <f t="shared" si="250"/>
        <v>0.05</v>
      </c>
      <c r="AD710" t="str">
        <f t="shared" si="253"/>
        <v>Valid</v>
      </c>
      <c r="AE710">
        <v>16559.11</v>
      </c>
      <c r="AF710">
        <v>13233.79</v>
      </c>
      <c r="AG710">
        <v>3325.32</v>
      </c>
      <c r="AH710" t="s">
        <v>33</v>
      </c>
      <c r="AI710" t="str">
        <f t="shared" si="254"/>
        <v>Include</v>
      </c>
      <c r="AJ710" t="str">
        <f t="shared" si="255"/>
        <v/>
      </c>
      <c r="AK710" t="s">
        <v>34</v>
      </c>
      <c r="AL710" t="str">
        <f t="shared" si="251"/>
        <v>Completed</v>
      </c>
      <c r="AM710" t="str">
        <f t="shared" si="256"/>
        <v>Include</v>
      </c>
      <c r="AN710">
        <f t="shared" si="257"/>
        <v>16559.108</v>
      </c>
      <c r="AO710">
        <f t="shared" si="258"/>
        <v>3325.3179999999993</v>
      </c>
      <c r="AP710">
        <f>IF(AN710=0,0,AO710/AN710)</f>
        <v>0.20081504390212318</v>
      </c>
      <c r="AQ710" t="str">
        <f t="shared" si="259"/>
        <v>March</v>
      </c>
      <c r="AR710">
        <f t="shared" si="260"/>
        <v>2025</v>
      </c>
      <c r="AS710" t="str">
        <f t="shared" si="261"/>
        <v>Clean</v>
      </c>
      <c r="AT710" t="str">
        <f>IF(OR(AC710&lt;0,AC710&gt;0.5),"Invalid Discount","Valid")</f>
        <v>Valid</v>
      </c>
      <c r="AU710" t="str">
        <f>IF(G710&lt;E710,"Invalid Shipping Record","Valid")</f>
        <v>Valid</v>
      </c>
      <c r="AV710" t="str">
        <f>IF(OR(AL710="Cancelled",AH710="Failed"),"Exclude","Include")</f>
        <v>Include</v>
      </c>
      <c r="AW710" t="str">
        <f t="shared" si="262"/>
        <v>Match</v>
      </c>
      <c r="AX710" t="str">
        <f t="shared" si="263"/>
        <v>Match</v>
      </c>
    </row>
    <row r="711" spans="1:50">
      <c r="A711" t="s">
        <v>3317</v>
      </c>
      <c r="B711">
        <f t="shared" si="242"/>
        <v>1</v>
      </c>
      <c r="C711" t="str">
        <f t="shared" si="252"/>
        <v/>
      </c>
      <c r="D711" s="3" t="s">
        <v>194</v>
      </c>
      <c r="E711" s="7">
        <v>45676</v>
      </c>
      <c r="F711" s="3" t="s">
        <v>183</v>
      </c>
      <c r="G711" s="7">
        <v>45680</v>
      </c>
      <c r="H711" s="7" t="str">
        <f t="shared" si="243"/>
        <v>Valid</v>
      </c>
      <c r="I711" s="9">
        <f t="shared" si="244"/>
        <v>4</v>
      </c>
      <c r="J711" s="9" t="str">
        <f t="shared" si="245"/>
        <v>Valid</v>
      </c>
      <c r="K711" t="s">
        <v>3318</v>
      </c>
      <c r="L711" t="s">
        <v>365</v>
      </c>
      <c r="M711" t="s">
        <v>365</v>
      </c>
      <c r="N711" t="s">
        <v>114</v>
      </c>
      <c r="O711" s="3" t="str">
        <f t="shared" si="246"/>
        <v>Home Office</v>
      </c>
      <c r="P711" t="s">
        <v>26</v>
      </c>
      <c r="Q711" s="3" t="str">
        <f t="shared" si="247"/>
        <v>North</v>
      </c>
      <c r="R711" t="s">
        <v>153</v>
      </c>
      <c r="S711" t="s">
        <v>154</v>
      </c>
      <c r="T711" t="s">
        <v>85</v>
      </c>
      <c r="U711" s="3" t="str">
        <f t="shared" si="248"/>
        <v>Technology</v>
      </c>
      <c r="V711" t="s">
        <v>222</v>
      </c>
      <c r="W711" t="s">
        <v>3319</v>
      </c>
      <c r="X711" t="s">
        <v>47</v>
      </c>
      <c r="Y711" s="3" t="str">
        <f t="shared" si="249"/>
        <v>Same Day</v>
      </c>
      <c r="Z711">
        <v>7</v>
      </c>
      <c r="AA711">
        <v>1363.04</v>
      </c>
      <c r="AB711">
        <v>0.15</v>
      </c>
      <c r="AC711">
        <f t="shared" si="250"/>
        <v>0.15</v>
      </c>
      <c r="AD711" t="str">
        <f t="shared" si="253"/>
        <v>Valid</v>
      </c>
      <c r="AE711">
        <v>8110.09</v>
      </c>
      <c r="AF711">
        <v>6417.32</v>
      </c>
      <c r="AG711">
        <v>1692.77</v>
      </c>
      <c r="AH711" t="s">
        <v>33</v>
      </c>
      <c r="AI711" t="str">
        <f t="shared" si="254"/>
        <v>Exclude</v>
      </c>
      <c r="AJ711" t="str">
        <f t="shared" si="255"/>
        <v/>
      </c>
      <c r="AK711" t="s">
        <v>77</v>
      </c>
      <c r="AL711" t="str">
        <f t="shared" si="251"/>
        <v>Cancelled</v>
      </c>
      <c r="AM711" t="str">
        <f t="shared" si="256"/>
        <v>Exclude</v>
      </c>
      <c r="AN711">
        <f t="shared" si="257"/>
        <v>8110.0879999999988</v>
      </c>
      <c r="AO711">
        <f t="shared" si="258"/>
        <v>1692.7679999999991</v>
      </c>
      <c r="AP711">
        <f>IF(AN711=0,0,AO711/AN711)</f>
        <v>0.2087237524426368</v>
      </c>
      <c r="AQ711" t="str">
        <f t="shared" si="259"/>
        <v>January</v>
      </c>
      <c r="AR711">
        <f t="shared" si="260"/>
        <v>2025</v>
      </c>
      <c r="AS711" t="str">
        <f t="shared" si="261"/>
        <v>Clean</v>
      </c>
      <c r="AT711" t="str">
        <f>IF(OR(AC711&lt;0,AC711&gt;0.5),"Invalid Discount","Valid")</f>
        <v>Valid</v>
      </c>
      <c r="AU711" t="str">
        <f>IF(G711&lt;E711,"Invalid Shipping Record","Valid")</f>
        <v>Valid</v>
      </c>
      <c r="AV711" t="str">
        <f>IF(OR(AL711="Cancelled",AH711="Failed"),"Exclude","Include")</f>
        <v>Exclude</v>
      </c>
      <c r="AW711" t="str">
        <f t="shared" si="262"/>
        <v>Match</v>
      </c>
      <c r="AX711" t="str">
        <f t="shared" si="263"/>
        <v>Match</v>
      </c>
    </row>
    <row r="712" spans="1:50">
      <c r="A712" t="s">
        <v>3320</v>
      </c>
      <c r="B712">
        <f t="shared" si="242"/>
        <v>1</v>
      </c>
      <c r="C712" t="str">
        <f t="shared" si="252"/>
        <v/>
      </c>
      <c r="D712" s="3" t="s">
        <v>3321</v>
      </c>
      <c r="E712" s="7">
        <v>45485</v>
      </c>
      <c r="F712" s="3" t="s">
        <v>3322</v>
      </c>
      <c r="G712" s="7">
        <v>45492</v>
      </c>
      <c r="H712" s="7" t="str">
        <f t="shared" si="243"/>
        <v>Valid</v>
      </c>
      <c r="I712" s="9">
        <f t="shared" si="244"/>
        <v>7</v>
      </c>
      <c r="J712" s="9" t="str">
        <f t="shared" si="245"/>
        <v>Valid</v>
      </c>
      <c r="K712" t="s">
        <v>3323</v>
      </c>
      <c r="L712" t="s">
        <v>82</v>
      </c>
      <c r="M712" t="s">
        <v>82</v>
      </c>
      <c r="N712" t="s">
        <v>107</v>
      </c>
      <c r="O712" s="3" t="str">
        <f t="shared" si="246"/>
        <v>Corporate</v>
      </c>
      <c r="P712" t="s">
        <v>26</v>
      </c>
      <c r="Q712" s="3" t="str">
        <f t="shared" si="247"/>
        <v>North</v>
      </c>
      <c r="R712" t="s">
        <v>153</v>
      </c>
      <c r="S712" t="s">
        <v>154</v>
      </c>
      <c r="T712" t="s">
        <v>29</v>
      </c>
      <c r="U712" s="3" t="str">
        <f t="shared" si="248"/>
        <v>Office Supplies</v>
      </c>
      <c r="V712" t="s">
        <v>53</v>
      </c>
      <c r="W712" t="s">
        <v>3324</v>
      </c>
      <c r="X712" t="s">
        <v>32</v>
      </c>
      <c r="Y712" s="3" t="str">
        <f t="shared" si="249"/>
        <v>Second Class</v>
      </c>
      <c r="Z712">
        <v>5</v>
      </c>
      <c r="AA712">
        <v>1559.16</v>
      </c>
      <c r="AB712">
        <v>0.05</v>
      </c>
      <c r="AC712">
        <f t="shared" si="250"/>
        <v>0.05</v>
      </c>
      <c r="AD712" t="str">
        <f t="shared" si="253"/>
        <v>Valid</v>
      </c>
      <c r="AE712">
        <v>7406.01</v>
      </c>
      <c r="AF712">
        <v>5941.74</v>
      </c>
      <c r="AG712">
        <v>1464.27</v>
      </c>
      <c r="AH712" t="s">
        <v>33</v>
      </c>
      <c r="AI712" t="str">
        <f t="shared" si="254"/>
        <v>Include</v>
      </c>
      <c r="AJ712" t="str">
        <f t="shared" si="255"/>
        <v/>
      </c>
      <c r="AK712" t="s">
        <v>34</v>
      </c>
      <c r="AL712" t="str">
        <f t="shared" si="251"/>
        <v>Completed</v>
      </c>
      <c r="AM712" t="str">
        <f t="shared" si="256"/>
        <v>Include</v>
      </c>
      <c r="AN712">
        <f t="shared" si="257"/>
        <v>7406.01</v>
      </c>
      <c r="AO712">
        <f t="shared" si="258"/>
        <v>1464.2700000000004</v>
      </c>
      <c r="AP712">
        <f>IF(AN712=0,0,AO712/AN712)</f>
        <v>0.19771374869869207</v>
      </c>
      <c r="AQ712" t="str">
        <f t="shared" si="259"/>
        <v>July</v>
      </c>
      <c r="AR712">
        <f t="shared" si="260"/>
        <v>2024</v>
      </c>
      <c r="AS712" t="str">
        <f t="shared" si="261"/>
        <v>Clean</v>
      </c>
      <c r="AT712" t="str">
        <f>IF(OR(AC712&lt;0,AC712&gt;0.5),"Invalid Discount","Valid")</f>
        <v>Valid</v>
      </c>
      <c r="AU712" t="str">
        <f>IF(G712&lt;E712,"Invalid Shipping Record","Valid")</f>
        <v>Valid</v>
      </c>
      <c r="AV712" t="str">
        <f>IF(OR(AL712="Cancelled",AH712="Failed"),"Exclude","Include")</f>
        <v>Include</v>
      </c>
      <c r="AW712" t="str">
        <f t="shared" si="262"/>
        <v>Match</v>
      </c>
      <c r="AX712" t="str">
        <f t="shared" si="263"/>
        <v>Match</v>
      </c>
    </row>
    <row r="713" spans="1:50">
      <c r="A713" t="s">
        <v>3325</v>
      </c>
      <c r="B713">
        <f t="shared" si="242"/>
        <v>1</v>
      </c>
      <c r="C713" t="str">
        <f t="shared" si="252"/>
        <v/>
      </c>
      <c r="D713" s="3" t="s">
        <v>3326</v>
      </c>
      <c r="E713" s="7">
        <v>45690</v>
      </c>
      <c r="F713" s="3" t="s">
        <v>3288</v>
      </c>
      <c r="G713" s="7">
        <v>45690</v>
      </c>
      <c r="H713" s="7" t="str">
        <f t="shared" si="243"/>
        <v>Valid</v>
      </c>
      <c r="I713" s="9">
        <f t="shared" si="244"/>
        <v>0</v>
      </c>
      <c r="J713" s="9" t="str">
        <f t="shared" si="245"/>
        <v>Valid</v>
      </c>
      <c r="K713" t="s">
        <v>3327</v>
      </c>
      <c r="L713" t="s">
        <v>365</v>
      </c>
      <c r="M713" t="s">
        <v>365</v>
      </c>
      <c r="N713" t="s">
        <v>107</v>
      </c>
      <c r="O713" s="3" t="str">
        <f t="shared" si="246"/>
        <v>Corporate</v>
      </c>
      <c r="P713" t="s">
        <v>41</v>
      </c>
      <c r="Q713" s="3" t="str">
        <f t="shared" si="247"/>
        <v>East</v>
      </c>
      <c r="R713" t="s">
        <v>120</v>
      </c>
      <c r="S713" t="s">
        <v>121</v>
      </c>
      <c r="T713" t="s">
        <v>85</v>
      </c>
      <c r="U713" s="3" t="str">
        <f t="shared" si="248"/>
        <v>Technology</v>
      </c>
      <c r="V713" t="s">
        <v>381</v>
      </c>
      <c r="W713" t="s">
        <v>3328</v>
      </c>
      <c r="X713" t="s">
        <v>55</v>
      </c>
      <c r="Y713" s="3" t="str">
        <f t="shared" si="249"/>
        <v>First Class</v>
      </c>
      <c r="Z713">
        <v>1</v>
      </c>
      <c r="AA713">
        <v>4326.75</v>
      </c>
      <c r="AB713">
        <v>0.05</v>
      </c>
      <c r="AC713">
        <f t="shared" si="250"/>
        <v>0.05</v>
      </c>
      <c r="AD713" t="str">
        <f t="shared" si="253"/>
        <v>Valid</v>
      </c>
      <c r="AE713">
        <v>4110.41</v>
      </c>
      <c r="AF713">
        <v>2394.14</v>
      </c>
      <c r="AG713">
        <v>1716.27</v>
      </c>
      <c r="AH713" t="s">
        <v>136</v>
      </c>
      <c r="AI713" t="str">
        <f t="shared" si="254"/>
        <v>Include</v>
      </c>
      <c r="AJ713" t="str">
        <f t="shared" si="255"/>
        <v/>
      </c>
      <c r="AK713" t="s">
        <v>124</v>
      </c>
      <c r="AL713" t="str">
        <f t="shared" si="251"/>
        <v>Returned</v>
      </c>
      <c r="AM713" t="str">
        <f t="shared" si="256"/>
        <v>Include</v>
      </c>
      <c r="AN713">
        <f t="shared" si="257"/>
        <v>4110.4124999999995</v>
      </c>
      <c r="AO713">
        <f t="shared" si="258"/>
        <v>1716.2724999999996</v>
      </c>
      <c r="AP713">
        <f>IF(AN713=0,0,AO713/AN713)</f>
        <v>0.41754264322619683</v>
      </c>
      <c r="AQ713" t="str">
        <f t="shared" si="259"/>
        <v>February</v>
      </c>
      <c r="AR713">
        <f t="shared" si="260"/>
        <v>2025</v>
      </c>
      <c r="AS713" t="str">
        <f t="shared" si="261"/>
        <v>Clean</v>
      </c>
      <c r="AT713" t="str">
        <f>IF(OR(AC713&lt;0,AC713&gt;0.5),"Invalid Discount","Valid")</f>
        <v>Valid</v>
      </c>
      <c r="AU713" t="str">
        <f>IF(G713&lt;E713,"Invalid Shipping Record","Valid")</f>
        <v>Valid</v>
      </c>
      <c r="AV713" t="str">
        <f>IF(OR(AL713="Cancelled",AH713="Failed"),"Exclude","Include")</f>
        <v>Include</v>
      </c>
      <c r="AW713" t="str">
        <f t="shared" si="262"/>
        <v>Match</v>
      </c>
      <c r="AX713" t="str">
        <f t="shared" si="263"/>
        <v>Match</v>
      </c>
    </row>
    <row r="714" spans="1:50">
      <c r="A714" t="s">
        <v>3329</v>
      </c>
      <c r="B714">
        <f t="shared" si="242"/>
        <v>1</v>
      </c>
      <c r="C714" t="str">
        <f t="shared" si="252"/>
        <v/>
      </c>
      <c r="D714" s="3" t="s">
        <v>2128</v>
      </c>
      <c r="E714" s="7">
        <v>45332</v>
      </c>
      <c r="F714" s="3" t="s">
        <v>3330</v>
      </c>
      <c r="G714" s="7">
        <v>45340</v>
      </c>
      <c r="H714" s="7" t="str">
        <f t="shared" si="243"/>
        <v>Valid</v>
      </c>
      <c r="I714" s="9">
        <f t="shared" si="244"/>
        <v>8</v>
      </c>
      <c r="J714" s="9" t="str">
        <f t="shared" si="245"/>
        <v>Valid</v>
      </c>
      <c r="K714" t="s">
        <v>3331</v>
      </c>
      <c r="L714" t="s">
        <v>52</v>
      </c>
      <c r="M714" t="s">
        <v>52</v>
      </c>
      <c r="N714" t="s">
        <v>114</v>
      </c>
      <c r="O714" s="3" t="str">
        <f t="shared" si="246"/>
        <v>Home Office</v>
      </c>
      <c r="P714" t="s">
        <v>72</v>
      </c>
      <c r="Q714" s="3" t="str">
        <f t="shared" si="247"/>
        <v>West</v>
      </c>
      <c r="R714" t="s">
        <v>83</v>
      </c>
      <c r="S714" t="s">
        <v>84</v>
      </c>
      <c r="T714" t="s">
        <v>44</v>
      </c>
      <c r="U714" s="3" t="str">
        <f t="shared" si="248"/>
        <v>Furniture</v>
      </c>
      <c r="V714" t="s">
        <v>75</v>
      </c>
      <c r="W714" t="s">
        <v>3332</v>
      </c>
      <c r="X714" t="s">
        <v>55</v>
      </c>
      <c r="Y714" s="3" t="str">
        <f t="shared" si="249"/>
        <v>First Class</v>
      </c>
      <c r="Z714">
        <v>7</v>
      </c>
      <c r="AA714">
        <v>1382.86</v>
      </c>
      <c r="AB714">
        <v>0</v>
      </c>
      <c r="AC714">
        <f t="shared" si="250"/>
        <v>0</v>
      </c>
      <c r="AD714" t="str">
        <f t="shared" si="253"/>
        <v>Valid</v>
      </c>
      <c r="AE714">
        <v>9680.02</v>
      </c>
      <c r="AF714">
        <v>6876.66</v>
      </c>
      <c r="AG714">
        <v>2803.36</v>
      </c>
      <c r="AH714" t="s">
        <v>33</v>
      </c>
      <c r="AI714" t="str">
        <f t="shared" si="254"/>
        <v>Include</v>
      </c>
      <c r="AJ714" t="str">
        <f t="shared" si="255"/>
        <v/>
      </c>
      <c r="AK714" t="s">
        <v>34</v>
      </c>
      <c r="AL714" t="str">
        <f t="shared" si="251"/>
        <v>Completed</v>
      </c>
      <c r="AM714" t="str">
        <f t="shared" si="256"/>
        <v>Include</v>
      </c>
      <c r="AN714">
        <f t="shared" si="257"/>
        <v>9680.0199999999986</v>
      </c>
      <c r="AO714">
        <f t="shared" si="258"/>
        <v>2803.3599999999988</v>
      </c>
      <c r="AP714">
        <f>IF(AN714=0,0,AO714/AN714)</f>
        <v>0.28960270743242256</v>
      </c>
      <c r="AQ714" t="str">
        <f t="shared" si="259"/>
        <v>February</v>
      </c>
      <c r="AR714">
        <f t="shared" si="260"/>
        <v>2024</v>
      </c>
      <c r="AS714" t="str">
        <f t="shared" si="261"/>
        <v>Clean</v>
      </c>
      <c r="AT714" t="str">
        <f>IF(OR(AC714&lt;0,AC714&gt;0.5),"Invalid Discount","Valid")</f>
        <v>Valid</v>
      </c>
      <c r="AU714" t="str">
        <f>IF(G714&lt;E714,"Invalid Shipping Record","Valid")</f>
        <v>Valid</v>
      </c>
      <c r="AV714" t="str">
        <f>IF(OR(AL714="Cancelled",AH714="Failed"),"Exclude","Include")</f>
        <v>Include</v>
      </c>
      <c r="AW714" t="str">
        <f t="shared" si="262"/>
        <v>Match</v>
      </c>
      <c r="AX714" t="str">
        <f t="shared" si="263"/>
        <v>Match</v>
      </c>
    </row>
    <row r="715" spans="1:50">
      <c r="A715" t="s">
        <v>3333</v>
      </c>
      <c r="B715">
        <f t="shared" si="242"/>
        <v>1</v>
      </c>
      <c r="C715" t="str">
        <f t="shared" si="252"/>
        <v/>
      </c>
      <c r="D715" s="3" t="s">
        <v>3334</v>
      </c>
      <c r="E715" s="7">
        <v>45814</v>
      </c>
      <c r="F715" s="3" t="s">
        <v>3181</v>
      </c>
      <c r="G715" s="7">
        <v>45818</v>
      </c>
      <c r="H715" s="7" t="str">
        <f t="shared" si="243"/>
        <v>Valid</v>
      </c>
      <c r="I715" s="9">
        <f t="shared" si="244"/>
        <v>4</v>
      </c>
      <c r="J715" s="9" t="str">
        <f t="shared" si="245"/>
        <v>Valid</v>
      </c>
      <c r="K715" t="s">
        <v>902</v>
      </c>
      <c r="L715" t="s">
        <v>39</v>
      </c>
      <c r="M715" t="s">
        <v>39</v>
      </c>
      <c r="N715" t="s">
        <v>25</v>
      </c>
      <c r="O715" s="3" t="str">
        <f t="shared" si="246"/>
        <v>Consumer</v>
      </c>
      <c r="P715" t="s">
        <v>72</v>
      </c>
      <c r="Q715" s="3" t="str">
        <f t="shared" si="247"/>
        <v>West</v>
      </c>
      <c r="R715" t="s">
        <v>27</v>
      </c>
      <c r="S715" t="s">
        <v>134</v>
      </c>
      <c r="T715" t="s">
        <v>85</v>
      </c>
      <c r="U715" s="3" t="str">
        <f t="shared" si="248"/>
        <v>Technology</v>
      </c>
      <c r="V715" t="s">
        <v>381</v>
      </c>
      <c r="W715" t="s">
        <v>3335</v>
      </c>
      <c r="X715" t="s">
        <v>32</v>
      </c>
      <c r="Y715" s="3" t="str">
        <f t="shared" si="249"/>
        <v>Second Class</v>
      </c>
      <c r="Z715">
        <v>1</v>
      </c>
      <c r="AA715">
        <v>289.97000000000003</v>
      </c>
      <c r="AB715">
        <v>0.25</v>
      </c>
      <c r="AC715">
        <f t="shared" si="250"/>
        <v>0.25</v>
      </c>
      <c r="AD715" t="str">
        <f t="shared" si="253"/>
        <v>Valid</v>
      </c>
      <c r="AE715">
        <v>217.48</v>
      </c>
      <c r="AF715">
        <v>132.13</v>
      </c>
      <c r="AG715">
        <v>85.35</v>
      </c>
      <c r="AH715" t="s">
        <v>33</v>
      </c>
      <c r="AI715" t="str">
        <f t="shared" si="254"/>
        <v>Include</v>
      </c>
      <c r="AJ715" t="str">
        <f t="shared" si="255"/>
        <v/>
      </c>
      <c r="AK715" t="s">
        <v>34</v>
      </c>
      <c r="AL715" t="str">
        <f t="shared" si="251"/>
        <v>Completed</v>
      </c>
      <c r="AM715" t="str">
        <f t="shared" si="256"/>
        <v>Include</v>
      </c>
      <c r="AN715">
        <f t="shared" si="257"/>
        <v>217.47750000000002</v>
      </c>
      <c r="AO715">
        <f t="shared" si="258"/>
        <v>85.347500000000025</v>
      </c>
      <c r="AP715">
        <f>IF(AN715=0,0,AO715/AN715)</f>
        <v>0.39244289639158081</v>
      </c>
      <c r="AQ715" t="str">
        <f t="shared" si="259"/>
        <v>June</v>
      </c>
      <c r="AR715">
        <f t="shared" si="260"/>
        <v>2025</v>
      </c>
      <c r="AS715" t="str">
        <f t="shared" si="261"/>
        <v>Clean</v>
      </c>
      <c r="AT715" t="str">
        <f>IF(OR(AC715&lt;0,AC715&gt;0.5),"Invalid Discount","Valid")</f>
        <v>Valid</v>
      </c>
      <c r="AU715" t="str">
        <f>IF(G715&lt;E715,"Invalid Shipping Record","Valid")</f>
        <v>Valid</v>
      </c>
      <c r="AV715" t="str">
        <f>IF(OR(AL715="Cancelled",AH715="Failed"),"Exclude","Include")</f>
        <v>Include</v>
      </c>
      <c r="AW715" t="str">
        <f t="shared" si="262"/>
        <v>Match</v>
      </c>
      <c r="AX715" t="str">
        <f t="shared" si="263"/>
        <v>Match</v>
      </c>
    </row>
    <row r="716" spans="1:50">
      <c r="A716" t="s">
        <v>3336</v>
      </c>
      <c r="B716">
        <f t="shared" si="242"/>
        <v>1</v>
      </c>
      <c r="C716" t="str">
        <f t="shared" si="252"/>
        <v/>
      </c>
      <c r="D716" s="3" t="s">
        <v>2114</v>
      </c>
      <c r="E716" s="7">
        <v>45738</v>
      </c>
      <c r="F716" s="3" t="s">
        <v>2230</v>
      </c>
      <c r="G716" s="7">
        <v>45739</v>
      </c>
      <c r="H716" s="7" t="str">
        <f t="shared" si="243"/>
        <v>Valid</v>
      </c>
      <c r="I716" s="9">
        <f t="shared" si="244"/>
        <v>1</v>
      </c>
      <c r="J716" s="9" t="str">
        <f t="shared" si="245"/>
        <v>Valid</v>
      </c>
      <c r="K716" t="s">
        <v>3337</v>
      </c>
      <c r="L716" t="s">
        <v>24</v>
      </c>
      <c r="M716" t="s">
        <v>24</v>
      </c>
      <c r="N716" t="s">
        <v>114</v>
      </c>
      <c r="O716" s="3" t="str">
        <f t="shared" si="246"/>
        <v>Home Office</v>
      </c>
      <c r="P716" t="s">
        <v>26</v>
      </c>
      <c r="Q716" s="3" t="str">
        <f t="shared" si="247"/>
        <v>North</v>
      </c>
      <c r="R716" t="s">
        <v>505</v>
      </c>
      <c r="S716" t="s">
        <v>506</v>
      </c>
      <c r="T716" t="s">
        <v>85</v>
      </c>
      <c r="U716" s="3" t="str">
        <f t="shared" si="248"/>
        <v>Technology</v>
      </c>
      <c r="V716" t="s">
        <v>93</v>
      </c>
      <c r="W716" t="s">
        <v>3338</v>
      </c>
      <c r="X716" t="s">
        <v>66</v>
      </c>
      <c r="Y716" s="3" t="str">
        <f t="shared" si="249"/>
        <v>Standard Class</v>
      </c>
      <c r="Z716">
        <v>9</v>
      </c>
      <c r="AA716">
        <v>2075.02</v>
      </c>
      <c r="AB716">
        <v>0</v>
      </c>
      <c r="AC716">
        <f t="shared" si="250"/>
        <v>0</v>
      </c>
      <c r="AD716" t="str">
        <f t="shared" si="253"/>
        <v>Valid</v>
      </c>
      <c r="AE716">
        <v>18675.18</v>
      </c>
      <c r="AF716">
        <v>13974.7</v>
      </c>
      <c r="AG716">
        <v>4700.4799999999996</v>
      </c>
      <c r="AH716" t="s">
        <v>33</v>
      </c>
      <c r="AI716" t="str">
        <f t="shared" si="254"/>
        <v>Include</v>
      </c>
      <c r="AJ716" t="str">
        <f t="shared" si="255"/>
        <v/>
      </c>
      <c r="AK716" t="s">
        <v>34</v>
      </c>
      <c r="AL716" t="str">
        <f t="shared" si="251"/>
        <v>Completed</v>
      </c>
      <c r="AM716" t="str">
        <f t="shared" si="256"/>
        <v>Include</v>
      </c>
      <c r="AN716">
        <f t="shared" si="257"/>
        <v>18675.18</v>
      </c>
      <c r="AO716">
        <f t="shared" si="258"/>
        <v>4700.4799999999996</v>
      </c>
      <c r="AP716">
        <f>IF(AN716=0,0,AO716/AN716)</f>
        <v>0.25169663692665878</v>
      </c>
      <c r="AQ716" t="str">
        <f t="shared" si="259"/>
        <v>March</v>
      </c>
      <c r="AR716">
        <f t="shared" si="260"/>
        <v>2025</v>
      </c>
      <c r="AS716" t="str">
        <f t="shared" si="261"/>
        <v>Clean</v>
      </c>
      <c r="AT716" t="str">
        <f>IF(OR(AC716&lt;0,AC716&gt;0.5),"Invalid Discount","Valid")</f>
        <v>Valid</v>
      </c>
      <c r="AU716" t="str">
        <f>IF(G716&lt;E716,"Invalid Shipping Record","Valid")</f>
        <v>Valid</v>
      </c>
      <c r="AV716" t="str">
        <f>IF(OR(AL716="Cancelled",AH716="Failed"),"Exclude","Include")</f>
        <v>Include</v>
      </c>
      <c r="AW716" t="str">
        <f t="shared" si="262"/>
        <v>Match</v>
      </c>
      <c r="AX716" t="str">
        <f t="shared" si="263"/>
        <v>Match</v>
      </c>
    </row>
    <row r="717" spans="1:50">
      <c r="A717" t="s">
        <v>3339</v>
      </c>
      <c r="B717">
        <f t="shared" si="242"/>
        <v>1</v>
      </c>
      <c r="C717" t="str">
        <f t="shared" si="252"/>
        <v/>
      </c>
      <c r="D717" s="3" t="s">
        <v>453</v>
      </c>
      <c r="E717" s="7">
        <v>45891</v>
      </c>
      <c r="F717" s="3" t="s">
        <v>454</v>
      </c>
      <c r="G717" s="7">
        <v>45896</v>
      </c>
      <c r="H717" s="7" t="str">
        <f t="shared" si="243"/>
        <v>Valid</v>
      </c>
      <c r="I717" s="9">
        <f t="shared" si="244"/>
        <v>5</v>
      </c>
      <c r="J717" s="9" t="str">
        <f t="shared" si="245"/>
        <v>Valid</v>
      </c>
      <c r="K717" t="s">
        <v>3340</v>
      </c>
      <c r="L717" t="s">
        <v>141</v>
      </c>
      <c r="M717" t="s">
        <v>141</v>
      </c>
      <c r="N717" t="s">
        <v>25</v>
      </c>
      <c r="O717" s="3" t="str">
        <f t="shared" si="246"/>
        <v>Consumer</v>
      </c>
      <c r="P717" t="s">
        <v>26</v>
      </c>
      <c r="Q717" s="3" t="str">
        <f t="shared" si="247"/>
        <v>North</v>
      </c>
      <c r="R717" t="s">
        <v>322</v>
      </c>
      <c r="S717" t="s">
        <v>323</v>
      </c>
      <c r="T717" t="s">
        <v>44</v>
      </c>
      <c r="U717" s="3" t="str">
        <f t="shared" si="248"/>
        <v>Furniture</v>
      </c>
      <c r="V717" t="s">
        <v>75</v>
      </c>
      <c r="W717" t="s">
        <v>3341</v>
      </c>
      <c r="X717" t="s">
        <v>32</v>
      </c>
      <c r="Y717" s="3" t="str">
        <f t="shared" si="249"/>
        <v>Second Class</v>
      </c>
      <c r="Z717">
        <v>7</v>
      </c>
      <c r="AA717">
        <v>2843.09</v>
      </c>
      <c r="AB717">
        <v>0</v>
      </c>
      <c r="AC717">
        <f t="shared" si="250"/>
        <v>0</v>
      </c>
      <c r="AD717" t="str">
        <f t="shared" si="253"/>
        <v>Valid</v>
      </c>
      <c r="AE717">
        <v>19901.63</v>
      </c>
      <c r="AF717">
        <v>15492.03</v>
      </c>
      <c r="AG717">
        <v>4409.6000000000004</v>
      </c>
      <c r="AH717" t="s">
        <v>123</v>
      </c>
      <c r="AI717" t="str">
        <f t="shared" si="254"/>
        <v>Exclude</v>
      </c>
      <c r="AJ717" t="str">
        <f t="shared" si="255"/>
        <v>Refunded Order</v>
      </c>
      <c r="AK717" t="s">
        <v>77</v>
      </c>
      <c r="AL717" t="str">
        <f t="shared" si="251"/>
        <v>Cancelled</v>
      </c>
      <c r="AM717" t="str">
        <f t="shared" si="256"/>
        <v>Exclude</v>
      </c>
      <c r="AN717">
        <f t="shared" si="257"/>
        <v>19901.63</v>
      </c>
      <c r="AO717">
        <f t="shared" si="258"/>
        <v>4409.6000000000004</v>
      </c>
      <c r="AP717">
        <f>IF(AN717=0,0,AO717/AN717)</f>
        <v>0.22156979101711771</v>
      </c>
      <c r="AQ717" t="str">
        <f t="shared" si="259"/>
        <v>August</v>
      </c>
      <c r="AR717">
        <f t="shared" si="260"/>
        <v>2025</v>
      </c>
      <c r="AS717" t="str">
        <f t="shared" si="261"/>
        <v>Clean</v>
      </c>
      <c r="AT717" t="str">
        <f>IF(OR(AC717&lt;0,AC717&gt;0.5),"Invalid Discount","Valid")</f>
        <v>Valid</v>
      </c>
      <c r="AU717" t="str">
        <f>IF(G717&lt;E717,"Invalid Shipping Record","Valid")</f>
        <v>Valid</v>
      </c>
      <c r="AV717" t="str">
        <f>IF(OR(AL717="Cancelled",AH717="Failed"),"Exclude","Include")</f>
        <v>Exclude</v>
      </c>
      <c r="AW717" t="str">
        <f t="shared" si="262"/>
        <v>Match</v>
      </c>
      <c r="AX717" t="str">
        <f t="shared" si="263"/>
        <v>Match</v>
      </c>
    </row>
    <row r="718" spans="1:50">
      <c r="A718" t="s">
        <v>3342</v>
      </c>
      <c r="B718">
        <f t="shared" si="242"/>
        <v>1</v>
      </c>
      <c r="C718" t="str">
        <f t="shared" si="252"/>
        <v/>
      </c>
      <c r="D718" s="3" t="s">
        <v>3343</v>
      </c>
      <c r="E718" s="7">
        <v>45895</v>
      </c>
      <c r="F718" s="3" t="s">
        <v>201</v>
      </c>
      <c r="G718" s="7">
        <v>45900</v>
      </c>
      <c r="H718" s="7" t="str">
        <f t="shared" si="243"/>
        <v>Valid</v>
      </c>
      <c r="I718" s="9">
        <f t="shared" si="244"/>
        <v>5</v>
      </c>
      <c r="J718" s="9" t="str">
        <f t="shared" si="245"/>
        <v>Valid</v>
      </c>
      <c r="K718" t="s">
        <v>3344</v>
      </c>
      <c r="L718" t="s">
        <v>209</v>
      </c>
      <c r="M718" t="s">
        <v>209</v>
      </c>
      <c r="N718" t="s">
        <v>40</v>
      </c>
      <c r="O718" s="3" t="str">
        <f t="shared" si="246"/>
        <v>Small Business</v>
      </c>
      <c r="P718" t="s">
        <v>26</v>
      </c>
      <c r="Q718" s="3" t="str">
        <f t="shared" si="247"/>
        <v>North</v>
      </c>
      <c r="R718" t="s">
        <v>322</v>
      </c>
      <c r="S718" t="s">
        <v>323</v>
      </c>
      <c r="T718" t="s">
        <v>85</v>
      </c>
      <c r="U718" s="3" t="str">
        <f t="shared" si="248"/>
        <v>Technology</v>
      </c>
      <c r="V718" t="s">
        <v>222</v>
      </c>
      <c r="W718" t="s">
        <v>3345</v>
      </c>
      <c r="X718" t="s">
        <v>55</v>
      </c>
      <c r="Y718" s="3" t="str">
        <f t="shared" si="249"/>
        <v>First Class</v>
      </c>
      <c r="Z718">
        <v>1</v>
      </c>
      <c r="AA718">
        <v>3388.02</v>
      </c>
      <c r="AB718">
        <v>0.15</v>
      </c>
      <c r="AC718">
        <f t="shared" si="250"/>
        <v>0.15</v>
      </c>
      <c r="AD718" t="str">
        <f t="shared" si="253"/>
        <v>Valid</v>
      </c>
      <c r="AE718">
        <v>2879.82</v>
      </c>
      <c r="AF718">
        <v>1824.88</v>
      </c>
      <c r="AG718">
        <v>1054.94</v>
      </c>
      <c r="AH718" t="s">
        <v>33</v>
      </c>
      <c r="AI718" t="str">
        <f t="shared" si="254"/>
        <v>Include</v>
      </c>
      <c r="AJ718" t="str">
        <f t="shared" si="255"/>
        <v/>
      </c>
      <c r="AK718" t="s">
        <v>34</v>
      </c>
      <c r="AL718" t="str">
        <f t="shared" si="251"/>
        <v>Completed</v>
      </c>
      <c r="AM718" t="str">
        <f t="shared" si="256"/>
        <v>Include</v>
      </c>
      <c r="AN718">
        <f t="shared" si="257"/>
        <v>2879.817</v>
      </c>
      <c r="AO718">
        <f t="shared" si="258"/>
        <v>1054.9369999999999</v>
      </c>
      <c r="AP718">
        <f>IF(AN718=0,0,AO718/AN718)</f>
        <v>0.3663208460815392</v>
      </c>
      <c r="AQ718" t="str">
        <f t="shared" si="259"/>
        <v>August</v>
      </c>
      <c r="AR718">
        <f t="shared" si="260"/>
        <v>2025</v>
      </c>
      <c r="AS718" t="str">
        <f t="shared" si="261"/>
        <v>Clean</v>
      </c>
      <c r="AT718" t="str">
        <f>IF(OR(AC718&lt;0,AC718&gt;0.5),"Invalid Discount","Valid")</f>
        <v>Valid</v>
      </c>
      <c r="AU718" t="str">
        <f>IF(G718&lt;E718,"Invalid Shipping Record","Valid")</f>
        <v>Valid</v>
      </c>
      <c r="AV718" t="str">
        <f>IF(OR(AL718="Cancelled",AH718="Failed"),"Exclude","Include")</f>
        <v>Include</v>
      </c>
      <c r="AW718" t="str">
        <f t="shared" si="262"/>
        <v>Match</v>
      </c>
      <c r="AX718" t="str">
        <f t="shared" si="263"/>
        <v>Match</v>
      </c>
    </row>
    <row r="719" spans="1:50">
      <c r="A719" t="s">
        <v>3346</v>
      </c>
      <c r="B719">
        <f t="shared" si="242"/>
        <v>1</v>
      </c>
      <c r="C719" t="str">
        <f t="shared" si="252"/>
        <v/>
      </c>
      <c r="D719" s="3" t="s">
        <v>3347</v>
      </c>
      <c r="E719" s="7">
        <v>45942</v>
      </c>
      <c r="F719" s="3" t="s">
        <v>308</v>
      </c>
      <c r="G719" s="7">
        <v>45945</v>
      </c>
      <c r="H719" s="7" t="str">
        <f t="shared" si="243"/>
        <v>Valid</v>
      </c>
      <c r="I719" s="9">
        <f t="shared" si="244"/>
        <v>3</v>
      </c>
      <c r="J719" s="9" t="str">
        <f t="shared" si="245"/>
        <v>Valid</v>
      </c>
      <c r="K719" t="s">
        <v>3348</v>
      </c>
      <c r="L719" t="s">
        <v>365</v>
      </c>
      <c r="M719" t="s">
        <v>365</v>
      </c>
      <c r="N719" t="s">
        <v>40</v>
      </c>
      <c r="O719" s="3" t="str">
        <f t="shared" si="246"/>
        <v>Small Business</v>
      </c>
      <c r="P719" t="s">
        <v>26</v>
      </c>
      <c r="Q719" s="3" t="str">
        <f t="shared" si="247"/>
        <v>North</v>
      </c>
      <c r="R719" t="s">
        <v>322</v>
      </c>
      <c r="S719" t="s">
        <v>323</v>
      </c>
      <c r="T719" t="s">
        <v>85</v>
      </c>
      <c r="U719" s="3" t="str">
        <f t="shared" si="248"/>
        <v>Technology</v>
      </c>
      <c r="V719" t="s">
        <v>381</v>
      </c>
      <c r="W719" t="s">
        <v>3349</v>
      </c>
      <c r="X719" t="s">
        <v>66</v>
      </c>
      <c r="Y719" s="3" t="str">
        <f t="shared" si="249"/>
        <v>Standard Class</v>
      </c>
      <c r="Z719">
        <v>9</v>
      </c>
      <c r="AA719">
        <v>2598.92</v>
      </c>
      <c r="AB719">
        <v>0.2</v>
      </c>
      <c r="AC719">
        <f t="shared" si="250"/>
        <v>0.2</v>
      </c>
      <c r="AD719" t="str">
        <f t="shared" si="253"/>
        <v>Valid</v>
      </c>
      <c r="AE719">
        <v>18712.22</v>
      </c>
      <c r="AF719">
        <v>11852.22</v>
      </c>
      <c r="AG719">
        <v>6860</v>
      </c>
      <c r="AH719" t="s">
        <v>136</v>
      </c>
      <c r="AI719" t="str">
        <f t="shared" si="254"/>
        <v>Exclude</v>
      </c>
      <c r="AJ719" t="str">
        <f t="shared" si="255"/>
        <v/>
      </c>
      <c r="AK719" t="s">
        <v>77</v>
      </c>
      <c r="AL719" t="str">
        <f t="shared" si="251"/>
        <v>Cancelled</v>
      </c>
      <c r="AM719" t="str">
        <f t="shared" si="256"/>
        <v>Exclude</v>
      </c>
      <c r="AN719">
        <f t="shared" si="257"/>
        <v>18712.223999999998</v>
      </c>
      <c r="AO719">
        <f t="shared" si="258"/>
        <v>6860.003999999999</v>
      </c>
      <c r="AP719">
        <f>IF(AN719=0,0,AO719/AN719)</f>
        <v>0.3666054874075898</v>
      </c>
      <c r="AQ719" t="str">
        <f t="shared" si="259"/>
        <v>October</v>
      </c>
      <c r="AR719">
        <f t="shared" si="260"/>
        <v>2025</v>
      </c>
      <c r="AS719" t="str">
        <f t="shared" si="261"/>
        <v>Clean</v>
      </c>
      <c r="AT719" t="str">
        <f>IF(OR(AC719&lt;0,AC719&gt;0.5),"Invalid Discount","Valid")</f>
        <v>Valid</v>
      </c>
      <c r="AU719" t="str">
        <f>IF(G719&lt;E719,"Invalid Shipping Record","Valid")</f>
        <v>Valid</v>
      </c>
      <c r="AV719" t="str">
        <f>IF(OR(AL719="Cancelled",AH719="Failed"),"Exclude","Include")</f>
        <v>Exclude</v>
      </c>
      <c r="AW719" t="str">
        <f t="shared" si="262"/>
        <v>Match</v>
      </c>
      <c r="AX719" t="str">
        <f t="shared" si="263"/>
        <v>Match</v>
      </c>
    </row>
    <row r="720" spans="1:50">
      <c r="A720" t="s">
        <v>3350</v>
      </c>
      <c r="B720">
        <f t="shared" si="242"/>
        <v>1</v>
      </c>
      <c r="C720" t="str">
        <f t="shared" si="252"/>
        <v/>
      </c>
      <c r="D720" s="3" t="s">
        <v>3351</v>
      </c>
      <c r="E720" s="7">
        <v>45541</v>
      </c>
      <c r="F720" s="3" t="s">
        <v>875</v>
      </c>
      <c r="G720" s="7">
        <v>45544</v>
      </c>
      <c r="H720" s="7" t="str">
        <f t="shared" si="243"/>
        <v>Valid</v>
      </c>
      <c r="I720" s="9">
        <f t="shared" si="244"/>
        <v>3</v>
      </c>
      <c r="J720" s="9" t="str">
        <f t="shared" si="245"/>
        <v>Valid</v>
      </c>
      <c r="K720" t="s">
        <v>3352</v>
      </c>
      <c r="L720" t="s">
        <v>39</v>
      </c>
      <c r="M720" t="s">
        <v>39</v>
      </c>
      <c r="N720" t="s">
        <v>25</v>
      </c>
      <c r="O720" s="3" t="str">
        <f t="shared" si="246"/>
        <v>Consumer</v>
      </c>
      <c r="P720" t="s">
        <v>72</v>
      </c>
      <c r="Q720" s="3" t="str">
        <f t="shared" si="247"/>
        <v>West</v>
      </c>
      <c r="R720" t="s">
        <v>73</v>
      </c>
      <c r="S720" t="s">
        <v>74</v>
      </c>
      <c r="T720" t="s">
        <v>29</v>
      </c>
      <c r="U720" s="3" t="str">
        <f t="shared" si="248"/>
        <v>Office Supplies</v>
      </c>
      <c r="V720" t="s">
        <v>53</v>
      </c>
      <c r="W720" t="s">
        <v>3353</v>
      </c>
      <c r="X720" t="s">
        <v>47</v>
      </c>
      <c r="Y720" s="3" t="str">
        <f t="shared" si="249"/>
        <v>Same Day</v>
      </c>
      <c r="Z720">
        <v>3</v>
      </c>
      <c r="AA720">
        <v>1972.27</v>
      </c>
      <c r="AB720">
        <v>0.2</v>
      </c>
      <c r="AC720">
        <f t="shared" si="250"/>
        <v>0.2</v>
      </c>
      <c r="AD720" t="str">
        <f t="shared" si="253"/>
        <v>Valid</v>
      </c>
      <c r="AE720">
        <v>4733.45</v>
      </c>
      <c r="AF720">
        <v>3672.32</v>
      </c>
      <c r="AG720">
        <v>1061.1300000000001</v>
      </c>
      <c r="AH720" t="s">
        <v>33</v>
      </c>
      <c r="AI720" t="str">
        <f t="shared" si="254"/>
        <v>Include</v>
      </c>
      <c r="AJ720" t="str">
        <f t="shared" si="255"/>
        <v/>
      </c>
      <c r="AK720" t="s">
        <v>34</v>
      </c>
      <c r="AL720" t="str">
        <f t="shared" si="251"/>
        <v>Completed</v>
      </c>
      <c r="AM720" t="str">
        <f t="shared" si="256"/>
        <v>Include</v>
      </c>
      <c r="AN720">
        <f t="shared" si="257"/>
        <v>4733.4479999999994</v>
      </c>
      <c r="AO720">
        <f t="shared" si="258"/>
        <v>1061.1279999999992</v>
      </c>
      <c r="AP720">
        <f>IF(AN720=0,0,AO720/AN720)</f>
        <v>0.22417654107534282</v>
      </c>
      <c r="AQ720" t="str">
        <f t="shared" si="259"/>
        <v>September</v>
      </c>
      <c r="AR720">
        <f t="shared" si="260"/>
        <v>2024</v>
      </c>
      <c r="AS720" t="str">
        <f t="shared" si="261"/>
        <v>Clean</v>
      </c>
      <c r="AT720" t="str">
        <f>IF(OR(AC720&lt;0,AC720&gt;0.5),"Invalid Discount","Valid")</f>
        <v>Valid</v>
      </c>
      <c r="AU720" t="str">
        <f>IF(G720&lt;E720,"Invalid Shipping Record","Valid")</f>
        <v>Valid</v>
      </c>
      <c r="AV720" t="str">
        <f>IF(OR(AL720="Cancelled",AH720="Failed"),"Exclude","Include")</f>
        <v>Include</v>
      </c>
      <c r="AW720" t="str">
        <f t="shared" si="262"/>
        <v>Match</v>
      </c>
      <c r="AX720" t="str">
        <f t="shared" si="263"/>
        <v>Match</v>
      </c>
    </row>
    <row r="721" spans="1:50">
      <c r="A721" t="s">
        <v>3354</v>
      </c>
      <c r="B721">
        <f t="shared" si="242"/>
        <v>1</v>
      </c>
      <c r="C721" t="str">
        <f t="shared" si="252"/>
        <v/>
      </c>
      <c r="D721" s="3" t="s">
        <v>1723</v>
      </c>
      <c r="E721" s="7">
        <v>45908</v>
      </c>
      <c r="F721" s="3" t="s">
        <v>1724</v>
      </c>
      <c r="G721" s="7">
        <v>45909</v>
      </c>
      <c r="H721" s="7" t="str">
        <f t="shared" si="243"/>
        <v>Valid</v>
      </c>
      <c r="I721" s="9">
        <f t="shared" si="244"/>
        <v>1</v>
      </c>
      <c r="J721" s="9" t="str">
        <f t="shared" si="245"/>
        <v>Valid</v>
      </c>
      <c r="K721" t="s">
        <v>184</v>
      </c>
      <c r="L721" t="s">
        <v>365</v>
      </c>
      <c r="M721" t="s">
        <v>365</v>
      </c>
      <c r="N721" t="s">
        <v>107</v>
      </c>
      <c r="O721" s="3" t="str">
        <f t="shared" si="246"/>
        <v>Corporate</v>
      </c>
      <c r="P721" t="s">
        <v>72</v>
      </c>
      <c r="Q721" s="3" t="str">
        <f t="shared" si="247"/>
        <v>West</v>
      </c>
      <c r="R721" t="s">
        <v>234</v>
      </c>
      <c r="S721" t="s">
        <v>235</v>
      </c>
      <c r="T721" t="s">
        <v>29</v>
      </c>
      <c r="U721" s="3" t="str">
        <f t="shared" si="248"/>
        <v>Office Supplies</v>
      </c>
      <c r="V721" t="s">
        <v>53</v>
      </c>
      <c r="W721" t="s">
        <v>3355</v>
      </c>
      <c r="X721" t="s">
        <v>47</v>
      </c>
      <c r="Y721" s="3" t="str">
        <f t="shared" si="249"/>
        <v>Same Day</v>
      </c>
      <c r="Z721">
        <v>2</v>
      </c>
      <c r="AA721">
        <v>2372.41</v>
      </c>
      <c r="AB721">
        <v>0.2</v>
      </c>
      <c r="AC721">
        <f t="shared" si="250"/>
        <v>0.2</v>
      </c>
      <c r="AD721" t="str">
        <f t="shared" si="253"/>
        <v>Valid</v>
      </c>
      <c r="AE721">
        <v>3795.86</v>
      </c>
      <c r="AF721">
        <v>2264.92</v>
      </c>
      <c r="AG721">
        <v>1530.94</v>
      </c>
      <c r="AH721" t="s">
        <v>33</v>
      </c>
      <c r="AI721" t="str">
        <f t="shared" si="254"/>
        <v>Include</v>
      </c>
      <c r="AJ721" t="str">
        <f t="shared" si="255"/>
        <v/>
      </c>
      <c r="AK721" t="s">
        <v>34</v>
      </c>
      <c r="AL721" t="str">
        <f t="shared" si="251"/>
        <v>Completed</v>
      </c>
      <c r="AM721" t="str">
        <f t="shared" si="256"/>
        <v>Include</v>
      </c>
      <c r="AN721">
        <f t="shared" si="257"/>
        <v>3795.8559999999998</v>
      </c>
      <c r="AO721">
        <f t="shared" si="258"/>
        <v>1530.9359999999997</v>
      </c>
      <c r="AP721">
        <f>IF(AN721=0,0,AO721/AN721)</f>
        <v>0.40331772332775528</v>
      </c>
      <c r="AQ721" t="str">
        <f t="shared" si="259"/>
        <v>September</v>
      </c>
      <c r="AR721">
        <f t="shared" si="260"/>
        <v>2025</v>
      </c>
      <c r="AS721" t="str">
        <f t="shared" si="261"/>
        <v>Clean</v>
      </c>
      <c r="AT721" t="str">
        <f>IF(OR(AC721&lt;0,AC721&gt;0.5),"Invalid Discount","Valid")</f>
        <v>Valid</v>
      </c>
      <c r="AU721" t="str">
        <f>IF(G721&lt;E721,"Invalid Shipping Record","Valid")</f>
        <v>Valid</v>
      </c>
      <c r="AV721" t="str">
        <f>IF(OR(AL721="Cancelled",AH721="Failed"),"Exclude","Include")</f>
        <v>Include</v>
      </c>
      <c r="AW721" t="str">
        <f t="shared" si="262"/>
        <v>Match</v>
      </c>
      <c r="AX721" t="str">
        <f t="shared" si="263"/>
        <v>Match</v>
      </c>
    </row>
    <row r="722" spans="1:50">
      <c r="A722" t="s">
        <v>3356</v>
      </c>
      <c r="B722">
        <f t="shared" si="242"/>
        <v>1</v>
      </c>
      <c r="C722" t="str">
        <f t="shared" si="252"/>
        <v/>
      </c>
      <c r="D722" s="3" t="s">
        <v>1108</v>
      </c>
      <c r="E722" s="7">
        <v>45489</v>
      </c>
      <c r="F722" s="3" t="s">
        <v>3357</v>
      </c>
      <c r="G722" s="7">
        <v>45489</v>
      </c>
      <c r="H722" s="7" t="str">
        <f t="shared" si="243"/>
        <v>Valid</v>
      </c>
      <c r="I722" s="9">
        <f t="shared" si="244"/>
        <v>0</v>
      </c>
      <c r="J722" s="9" t="str">
        <f t="shared" si="245"/>
        <v>Valid</v>
      </c>
      <c r="K722" t="s">
        <v>3358</v>
      </c>
      <c r="L722" t="s">
        <v>106</v>
      </c>
      <c r="M722" t="s">
        <v>106</v>
      </c>
      <c r="N722" t="s">
        <v>114</v>
      </c>
      <c r="O722" s="3" t="str">
        <f t="shared" si="246"/>
        <v>Home Office</v>
      </c>
      <c r="P722" t="s">
        <v>72</v>
      </c>
      <c r="Q722" s="3" t="str">
        <f t="shared" si="247"/>
        <v>West</v>
      </c>
      <c r="R722" t="s">
        <v>83</v>
      </c>
      <c r="S722" t="s">
        <v>84</v>
      </c>
      <c r="T722" t="s">
        <v>85</v>
      </c>
      <c r="U722" s="3" t="str">
        <f t="shared" si="248"/>
        <v>Technology</v>
      </c>
      <c r="V722" t="s">
        <v>93</v>
      </c>
      <c r="W722" t="s">
        <v>3359</v>
      </c>
      <c r="X722" t="s">
        <v>47</v>
      </c>
      <c r="Y722" s="3" t="str">
        <f t="shared" si="249"/>
        <v>Same Day</v>
      </c>
      <c r="Z722">
        <v>4</v>
      </c>
      <c r="AA722">
        <v>4479.92</v>
      </c>
      <c r="AB722">
        <v>0.15</v>
      </c>
      <c r="AC722">
        <f t="shared" si="250"/>
        <v>0.15</v>
      </c>
      <c r="AD722" t="str">
        <f t="shared" si="253"/>
        <v>Valid</v>
      </c>
      <c r="AE722">
        <v>15231.73</v>
      </c>
      <c r="AF722">
        <v>12451.46</v>
      </c>
      <c r="AG722">
        <v>2780.27</v>
      </c>
      <c r="AH722" t="s">
        <v>33</v>
      </c>
      <c r="AI722" t="str">
        <f t="shared" si="254"/>
        <v>Include</v>
      </c>
      <c r="AJ722" t="str">
        <f t="shared" si="255"/>
        <v/>
      </c>
      <c r="AK722" t="s">
        <v>34</v>
      </c>
      <c r="AL722" t="str">
        <f t="shared" si="251"/>
        <v>Completed</v>
      </c>
      <c r="AM722" t="str">
        <f t="shared" si="256"/>
        <v>Include</v>
      </c>
      <c r="AN722">
        <f t="shared" si="257"/>
        <v>15231.727999999999</v>
      </c>
      <c r="AO722">
        <f t="shared" si="258"/>
        <v>2780.268</v>
      </c>
      <c r="AP722">
        <f>IF(AN722=0,0,AO722/AN722)</f>
        <v>0.1825313582280356</v>
      </c>
      <c r="AQ722" t="str">
        <f t="shared" si="259"/>
        <v>July</v>
      </c>
      <c r="AR722">
        <f t="shared" si="260"/>
        <v>2024</v>
      </c>
      <c r="AS722" t="str">
        <f t="shared" si="261"/>
        <v>Clean</v>
      </c>
      <c r="AT722" t="str">
        <f>IF(OR(AC722&lt;0,AC722&gt;0.5),"Invalid Discount","Valid")</f>
        <v>Valid</v>
      </c>
      <c r="AU722" t="str">
        <f>IF(G722&lt;E722,"Invalid Shipping Record","Valid")</f>
        <v>Valid</v>
      </c>
      <c r="AV722" t="str">
        <f>IF(OR(AL722="Cancelled",AH722="Failed"),"Exclude","Include")</f>
        <v>Include</v>
      </c>
      <c r="AW722" t="str">
        <f t="shared" si="262"/>
        <v>Match</v>
      </c>
      <c r="AX722" t="str">
        <f t="shared" si="263"/>
        <v>Match</v>
      </c>
    </row>
    <row r="723" spans="1:50">
      <c r="A723" t="s">
        <v>3360</v>
      </c>
      <c r="B723">
        <f t="shared" si="242"/>
        <v>1</v>
      </c>
      <c r="C723" t="str">
        <f t="shared" si="252"/>
        <v/>
      </c>
      <c r="D723" s="3" t="s">
        <v>253</v>
      </c>
      <c r="E723" s="7">
        <v>45827</v>
      </c>
      <c r="F723" s="3" t="s">
        <v>3361</v>
      </c>
      <c r="G723" s="7">
        <v>45831</v>
      </c>
      <c r="H723" s="7" t="str">
        <f t="shared" si="243"/>
        <v>Valid</v>
      </c>
      <c r="I723" s="9">
        <f t="shared" si="244"/>
        <v>4</v>
      </c>
      <c r="J723" s="9" t="str">
        <f t="shared" si="245"/>
        <v>Valid</v>
      </c>
      <c r="K723" t="s">
        <v>3362</v>
      </c>
      <c r="L723" t="s">
        <v>167</v>
      </c>
      <c r="M723" t="s">
        <v>167</v>
      </c>
      <c r="N723" t="s">
        <v>25</v>
      </c>
      <c r="O723" s="3" t="str">
        <f t="shared" si="246"/>
        <v>Consumer</v>
      </c>
      <c r="P723" t="s">
        <v>61</v>
      </c>
      <c r="Q723" s="3" t="str">
        <f t="shared" si="247"/>
        <v>South</v>
      </c>
      <c r="R723" t="s">
        <v>228</v>
      </c>
      <c r="S723" t="s">
        <v>229</v>
      </c>
      <c r="T723" t="s">
        <v>85</v>
      </c>
      <c r="U723" s="3" t="str">
        <f t="shared" si="248"/>
        <v>Technology</v>
      </c>
      <c r="V723" t="s">
        <v>93</v>
      </c>
      <c r="W723" t="s">
        <v>3363</v>
      </c>
      <c r="X723" t="s">
        <v>55</v>
      </c>
      <c r="Y723" s="3" t="str">
        <f t="shared" si="249"/>
        <v>First Class</v>
      </c>
      <c r="Z723">
        <v>5</v>
      </c>
      <c r="AA723">
        <v>2729.95</v>
      </c>
      <c r="AB723">
        <v>0</v>
      </c>
      <c r="AC723">
        <f t="shared" si="250"/>
        <v>0</v>
      </c>
      <c r="AD723" t="str">
        <f t="shared" si="253"/>
        <v>Valid</v>
      </c>
      <c r="AE723">
        <v>13649.75</v>
      </c>
      <c r="AF723">
        <v>10288.030000000001</v>
      </c>
      <c r="AG723">
        <v>3361.72</v>
      </c>
      <c r="AH723" t="s">
        <v>33</v>
      </c>
      <c r="AI723" t="str">
        <f t="shared" si="254"/>
        <v>Include</v>
      </c>
      <c r="AJ723" t="str">
        <f t="shared" si="255"/>
        <v/>
      </c>
      <c r="AK723" t="s">
        <v>34</v>
      </c>
      <c r="AL723" t="str">
        <f t="shared" si="251"/>
        <v>Completed</v>
      </c>
      <c r="AM723" t="str">
        <f t="shared" si="256"/>
        <v>Include</v>
      </c>
      <c r="AN723">
        <f t="shared" si="257"/>
        <v>13649.75</v>
      </c>
      <c r="AO723">
        <f t="shared" si="258"/>
        <v>3361.7199999999993</v>
      </c>
      <c r="AP723">
        <f>IF(AN723=0,0,AO723/AN723)</f>
        <v>0.24628436418249414</v>
      </c>
      <c r="AQ723" t="str">
        <f t="shared" si="259"/>
        <v>June</v>
      </c>
      <c r="AR723">
        <f t="shared" si="260"/>
        <v>2025</v>
      </c>
      <c r="AS723" t="str">
        <f t="shared" si="261"/>
        <v>Clean</v>
      </c>
      <c r="AT723" t="str">
        <f>IF(OR(AC723&lt;0,AC723&gt;0.5),"Invalid Discount","Valid")</f>
        <v>Valid</v>
      </c>
      <c r="AU723" t="str">
        <f>IF(G723&lt;E723,"Invalid Shipping Record","Valid")</f>
        <v>Valid</v>
      </c>
      <c r="AV723" t="str">
        <f>IF(OR(AL723="Cancelled",AH723="Failed"),"Exclude","Include")</f>
        <v>Include</v>
      </c>
      <c r="AW723" t="str">
        <f t="shared" si="262"/>
        <v>Match</v>
      </c>
      <c r="AX723" t="str">
        <f t="shared" si="263"/>
        <v>Match</v>
      </c>
    </row>
    <row r="724" spans="1:50">
      <c r="A724" t="s">
        <v>3364</v>
      </c>
      <c r="B724">
        <f t="shared" si="242"/>
        <v>1</v>
      </c>
      <c r="C724" t="str">
        <f t="shared" si="252"/>
        <v/>
      </c>
      <c r="D724" s="3" t="s">
        <v>2556</v>
      </c>
      <c r="E724" s="7">
        <v>45572</v>
      </c>
      <c r="F724" s="3" t="s">
        <v>3365</v>
      </c>
      <c r="G724" s="7">
        <v>45575</v>
      </c>
      <c r="H724" s="7" t="str">
        <f t="shared" si="243"/>
        <v>Valid</v>
      </c>
      <c r="I724" s="9">
        <f t="shared" si="244"/>
        <v>3</v>
      </c>
      <c r="J724" s="9" t="str">
        <f t="shared" si="245"/>
        <v>Valid</v>
      </c>
      <c r="K724" t="s">
        <v>3366</v>
      </c>
      <c r="L724" t="s">
        <v>82</v>
      </c>
      <c r="M724" t="s">
        <v>82</v>
      </c>
      <c r="N724" t="s">
        <v>25</v>
      </c>
      <c r="O724" s="3" t="str">
        <f t="shared" si="246"/>
        <v>Consumer</v>
      </c>
      <c r="P724" t="s">
        <v>41</v>
      </c>
      <c r="Q724" s="3" t="str">
        <f t="shared" si="247"/>
        <v>East</v>
      </c>
      <c r="R724" t="s">
        <v>120</v>
      </c>
      <c r="S724" t="s">
        <v>121</v>
      </c>
      <c r="T724" t="s">
        <v>44</v>
      </c>
      <c r="U724" s="3" t="str">
        <f t="shared" si="248"/>
        <v>Furniture</v>
      </c>
      <c r="V724" t="s">
        <v>75</v>
      </c>
      <c r="W724" t="s">
        <v>3367</v>
      </c>
      <c r="X724" t="s">
        <v>32</v>
      </c>
      <c r="Y724" s="3" t="str">
        <f t="shared" si="249"/>
        <v>Second Class</v>
      </c>
      <c r="Z724">
        <v>9</v>
      </c>
      <c r="AA724">
        <v>481.51</v>
      </c>
      <c r="AC724">
        <f t="shared" si="250"/>
        <v>0</v>
      </c>
      <c r="AD724" t="str">
        <f t="shared" si="253"/>
        <v>Valid</v>
      </c>
      <c r="AE724">
        <v>4333.59</v>
      </c>
      <c r="AF724">
        <v>2533.59</v>
      </c>
      <c r="AG724">
        <v>1800</v>
      </c>
      <c r="AH724" t="s">
        <v>123</v>
      </c>
      <c r="AI724" t="str">
        <f t="shared" si="254"/>
        <v>Exclude</v>
      </c>
      <c r="AJ724" t="str">
        <f t="shared" si="255"/>
        <v>Refunded Order</v>
      </c>
      <c r="AK724" t="s">
        <v>77</v>
      </c>
      <c r="AL724" t="str">
        <f t="shared" si="251"/>
        <v>Cancelled</v>
      </c>
      <c r="AM724" t="str">
        <f t="shared" si="256"/>
        <v>Exclude</v>
      </c>
      <c r="AN724">
        <f t="shared" si="257"/>
        <v>4333.59</v>
      </c>
      <c r="AO724">
        <f t="shared" si="258"/>
        <v>1800</v>
      </c>
      <c r="AP724">
        <f>IF(AN724=0,0,AO724/AN724)</f>
        <v>0.41536001329152039</v>
      </c>
      <c r="AQ724" t="str">
        <f t="shared" si="259"/>
        <v>October</v>
      </c>
      <c r="AR724">
        <f t="shared" si="260"/>
        <v>2024</v>
      </c>
      <c r="AS724" t="str">
        <f t="shared" si="261"/>
        <v>Clean</v>
      </c>
      <c r="AT724" t="str">
        <f>IF(OR(AC724&lt;0,AC724&gt;0.5),"Invalid Discount","Valid")</f>
        <v>Valid</v>
      </c>
      <c r="AU724" t="str">
        <f>IF(G724&lt;E724,"Invalid Shipping Record","Valid")</f>
        <v>Valid</v>
      </c>
      <c r="AV724" t="str">
        <f>IF(OR(AL724="Cancelled",AH724="Failed"),"Exclude","Include")</f>
        <v>Exclude</v>
      </c>
      <c r="AW724" t="str">
        <f t="shared" si="262"/>
        <v>Match</v>
      </c>
      <c r="AX724" t="str">
        <f t="shared" si="263"/>
        <v>Match</v>
      </c>
    </row>
    <row r="725" spans="1:50">
      <c r="A725" t="s">
        <v>3368</v>
      </c>
      <c r="B725">
        <f t="shared" si="242"/>
        <v>1</v>
      </c>
      <c r="C725" t="str">
        <f t="shared" si="252"/>
        <v/>
      </c>
      <c r="D725" s="3" t="s">
        <v>886</v>
      </c>
      <c r="E725" s="7">
        <v>45936</v>
      </c>
      <c r="F725" s="3" t="s">
        <v>3369</v>
      </c>
      <c r="G725" s="7">
        <v>45943</v>
      </c>
      <c r="H725" s="7" t="str">
        <f t="shared" si="243"/>
        <v>Valid</v>
      </c>
      <c r="I725" s="9">
        <f t="shared" si="244"/>
        <v>7</v>
      </c>
      <c r="J725" s="9" t="str">
        <f t="shared" si="245"/>
        <v>Valid</v>
      </c>
      <c r="K725" t="s">
        <v>3370</v>
      </c>
      <c r="L725" t="s">
        <v>365</v>
      </c>
      <c r="M725" t="s">
        <v>365</v>
      </c>
      <c r="N725" t="s">
        <v>114</v>
      </c>
      <c r="O725" s="3" t="str">
        <f t="shared" si="246"/>
        <v>Home Office</v>
      </c>
      <c r="P725" t="s">
        <v>41</v>
      </c>
      <c r="Q725" s="3" t="str">
        <f t="shared" si="247"/>
        <v>East</v>
      </c>
      <c r="R725" t="s">
        <v>310</v>
      </c>
      <c r="S725" t="s">
        <v>311</v>
      </c>
      <c r="T725" t="s">
        <v>85</v>
      </c>
      <c r="U725" s="3" t="str">
        <f t="shared" si="248"/>
        <v>Technology</v>
      </c>
      <c r="V725" t="s">
        <v>86</v>
      </c>
      <c r="W725" t="s">
        <v>3371</v>
      </c>
      <c r="X725" t="s">
        <v>66</v>
      </c>
      <c r="Y725" s="3" t="str">
        <f t="shared" si="249"/>
        <v>Standard Class</v>
      </c>
      <c r="Z725">
        <v>6</v>
      </c>
      <c r="AA725">
        <v>2391.9299999999998</v>
      </c>
      <c r="AB725">
        <v>0.05</v>
      </c>
      <c r="AC725">
        <f t="shared" si="250"/>
        <v>0.05</v>
      </c>
      <c r="AD725" t="str">
        <f t="shared" si="253"/>
        <v>Valid</v>
      </c>
      <c r="AE725">
        <v>13634</v>
      </c>
      <c r="AF725">
        <v>9589.81</v>
      </c>
      <c r="AG725">
        <v>4044.19</v>
      </c>
      <c r="AH725" t="s">
        <v>199</v>
      </c>
      <c r="AI725" t="str">
        <f t="shared" si="254"/>
        <v>Exclude</v>
      </c>
      <c r="AJ725" t="str">
        <f t="shared" si="255"/>
        <v/>
      </c>
      <c r="AK725" t="s">
        <v>124</v>
      </c>
      <c r="AL725" t="str">
        <f t="shared" si="251"/>
        <v>Returned</v>
      </c>
      <c r="AM725" t="str">
        <f t="shared" si="256"/>
        <v>Include</v>
      </c>
      <c r="AN725">
        <f t="shared" si="257"/>
        <v>13634.000999999998</v>
      </c>
      <c r="AO725">
        <f t="shared" si="258"/>
        <v>4044.1909999999989</v>
      </c>
      <c r="AP725">
        <f>IF(AN725=0,0,AO725/AN725)</f>
        <v>0.29662539998346776</v>
      </c>
      <c r="AQ725" t="str">
        <f t="shared" si="259"/>
        <v>October</v>
      </c>
      <c r="AR725">
        <f t="shared" si="260"/>
        <v>2025</v>
      </c>
      <c r="AS725" t="str">
        <f t="shared" si="261"/>
        <v>Clean</v>
      </c>
      <c r="AT725" t="str">
        <f>IF(OR(AC725&lt;0,AC725&gt;0.5),"Invalid Discount","Valid")</f>
        <v>Valid</v>
      </c>
      <c r="AU725" t="str">
        <f>IF(G725&lt;E725,"Invalid Shipping Record","Valid")</f>
        <v>Valid</v>
      </c>
      <c r="AV725" t="str">
        <f>IF(OR(AL725="Cancelled",AH725="Failed"),"Exclude","Include")</f>
        <v>Exclude</v>
      </c>
      <c r="AW725" t="str">
        <f t="shared" si="262"/>
        <v>Match</v>
      </c>
      <c r="AX725" t="str">
        <f t="shared" si="263"/>
        <v>Match</v>
      </c>
    </row>
    <row r="726" spans="1:50">
      <c r="A726" t="s">
        <v>3372</v>
      </c>
      <c r="B726">
        <f t="shared" si="242"/>
        <v>1</v>
      </c>
      <c r="C726" t="str">
        <f t="shared" si="252"/>
        <v/>
      </c>
      <c r="D726" s="3" t="s">
        <v>3373</v>
      </c>
      <c r="E726" s="7">
        <v>45332</v>
      </c>
      <c r="F726" s="3" t="s">
        <v>1610</v>
      </c>
      <c r="G726" s="7">
        <v>45338</v>
      </c>
      <c r="H726" s="7" t="str">
        <f t="shared" si="243"/>
        <v>Valid</v>
      </c>
      <c r="I726" s="9">
        <f t="shared" si="244"/>
        <v>6</v>
      </c>
      <c r="J726" s="9" t="str">
        <f t="shared" si="245"/>
        <v>Valid</v>
      </c>
      <c r="K726" t="s">
        <v>3374</v>
      </c>
      <c r="L726" t="s">
        <v>24</v>
      </c>
      <c r="M726" t="s">
        <v>24</v>
      </c>
      <c r="N726" t="s">
        <v>25</v>
      </c>
      <c r="O726" s="3" t="str">
        <f t="shared" si="246"/>
        <v>Consumer</v>
      </c>
      <c r="P726" t="s">
        <v>72</v>
      </c>
      <c r="Q726" s="3" t="str">
        <f t="shared" si="247"/>
        <v>West</v>
      </c>
      <c r="R726" t="s">
        <v>248</v>
      </c>
      <c r="S726" t="s">
        <v>249</v>
      </c>
      <c r="T726" t="s">
        <v>44</v>
      </c>
      <c r="U726" s="3" t="str">
        <f t="shared" si="248"/>
        <v>Furniture</v>
      </c>
      <c r="V726" t="s">
        <v>64</v>
      </c>
      <c r="W726" t="s">
        <v>3375</v>
      </c>
      <c r="X726" t="s">
        <v>32</v>
      </c>
      <c r="Y726" s="3" t="str">
        <f t="shared" si="249"/>
        <v>Second Class</v>
      </c>
      <c r="Z726">
        <v>3</v>
      </c>
      <c r="AA726">
        <v>253.43</v>
      </c>
      <c r="AB726">
        <v>0</v>
      </c>
      <c r="AC726">
        <f t="shared" si="250"/>
        <v>0</v>
      </c>
      <c r="AD726" t="str">
        <f t="shared" si="253"/>
        <v>Valid</v>
      </c>
      <c r="AE726">
        <v>760.29</v>
      </c>
      <c r="AF726">
        <v>497.77</v>
      </c>
      <c r="AG726">
        <v>262.52</v>
      </c>
      <c r="AH726" t="s">
        <v>33</v>
      </c>
      <c r="AI726" t="str">
        <f t="shared" si="254"/>
        <v>Include</v>
      </c>
      <c r="AJ726" t="str">
        <f t="shared" si="255"/>
        <v/>
      </c>
      <c r="AK726" t="s">
        <v>34</v>
      </c>
      <c r="AL726" t="str">
        <f t="shared" si="251"/>
        <v>Completed</v>
      </c>
      <c r="AM726" t="str">
        <f t="shared" si="256"/>
        <v>Include</v>
      </c>
      <c r="AN726">
        <f t="shared" si="257"/>
        <v>760.29</v>
      </c>
      <c r="AO726">
        <f t="shared" si="258"/>
        <v>262.52</v>
      </c>
      <c r="AP726">
        <f>IF(AN726=0,0,AO726/AN726)</f>
        <v>0.34528929750489945</v>
      </c>
      <c r="AQ726" t="str">
        <f t="shared" si="259"/>
        <v>February</v>
      </c>
      <c r="AR726">
        <f t="shared" si="260"/>
        <v>2024</v>
      </c>
      <c r="AS726" t="str">
        <f t="shared" si="261"/>
        <v>Clean</v>
      </c>
      <c r="AT726" t="str">
        <f>IF(OR(AC726&lt;0,AC726&gt;0.5),"Invalid Discount","Valid")</f>
        <v>Valid</v>
      </c>
      <c r="AU726" t="str">
        <f>IF(G726&lt;E726,"Invalid Shipping Record","Valid")</f>
        <v>Valid</v>
      </c>
      <c r="AV726" t="str">
        <f>IF(OR(AL726="Cancelled",AH726="Failed"),"Exclude","Include")</f>
        <v>Include</v>
      </c>
      <c r="AW726" t="str">
        <f t="shared" si="262"/>
        <v>Match</v>
      </c>
      <c r="AX726" t="str">
        <f t="shared" si="263"/>
        <v>Match</v>
      </c>
    </row>
    <row r="727" spans="1:50">
      <c r="A727" t="s">
        <v>3376</v>
      </c>
      <c r="B727">
        <f t="shared" si="242"/>
        <v>1</v>
      </c>
      <c r="C727" t="str">
        <f t="shared" si="252"/>
        <v/>
      </c>
      <c r="D727" s="3" t="s">
        <v>3377</v>
      </c>
      <c r="E727" s="7">
        <v>45935</v>
      </c>
      <c r="F727" s="3" t="s">
        <v>138</v>
      </c>
      <c r="G727" s="7">
        <v>45942</v>
      </c>
      <c r="H727" s="7" t="str">
        <f t="shared" si="243"/>
        <v>Valid</v>
      </c>
      <c r="I727" s="9">
        <f t="shared" si="244"/>
        <v>7</v>
      </c>
      <c r="J727" s="9" t="str">
        <f t="shared" si="245"/>
        <v>Valid</v>
      </c>
      <c r="K727" t="s">
        <v>3378</v>
      </c>
      <c r="L727" t="s">
        <v>141</v>
      </c>
      <c r="M727" t="s">
        <v>141</v>
      </c>
      <c r="N727" t="s">
        <v>107</v>
      </c>
      <c r="O727" s="3" t="str">
        <f t="shared" si="246"/>
        <v>Corporate</v>
      </c>
      <c r="P727" t="s">
        <v>61</v>
      </c>
      <c r="Q727" s="3" t="str">
        <f t="shared" si="247"/>
        <v>South</v>
      </c>
      <c r="R727" t="s">
        <v>228</v>
      </c>
      <c r="S727" t="s">
        <v>229</v>
      </c>
      <c r="T727" t="s">
        <v>44</v>
      </c>
      <c r="U727" s="3" t="str">
        <f t="shared" si="248"/>
        <v>Furniture</v>
      </c>
      <c r="V727" t="s">
        <v>45</v>
      </c>
      <c r="W727" t="s">
        <v>3379</v>
      </c>
      <c r="X727" t="s">
        <v>32</v>
      </c>
      <c r="Y727" s="3" t="str">
        <f t="shared" si="249"/>
        <v>Second Class</v>
      </c>
      <c r="Z727">
        <v>7</v>
      </c>
      <c r="AA727">
        <v>2134.73</v>
      </c>
      <c r="AB727">
        <v>0</v>
      </c>
      <c r="AC727">
        <f t="shared" si="250"/>
        <v>0</v>
      </c>
      <c r="AD727" t="str">
        <f t="shared" si="253"/>
        <v>Valid</v>
      </c>
      <c r="AE727">
        <v>14943.11</v>
      </c>
      <c r="AF727">
        <v>8521.5</v>
      </c>
      <c r="AG727">
        <v>6421.61</v>
      </c>
      <c r="AH727" t="s">
        <v>33</v>
      </c>
      <c r="AI727" t="str">
        <f t="shared" si="254"/>
        <v>Include</v>
      </c>
      <c r="AJ727" t="str">
        <f t="shared" si="255"/>
        <v/>
      </c>
      <c r="AK727" t="s">
        <v>34</v>
      </c>
      <c r="AL727" t="str">
        <f t="shared" si="251"/>
        <v>Completed</v>
      </c>
      <c r="AM727" t="str">
        <f t="shared" si="256"/>
        <v>Include</v>
      </c>
      <c r="AN727">
        <f t="shared" si="257"/>
        <v>14943.11</v>
      </c>
      <c r="AO727">
        <f t="shared" si="258"/>
        <v>6421.6100000000006</v>
      </c>
      <c r="AP727">
        <f>IF(AN727=0,0,AO727/AN727)</f>
        <v>0.42973718322357263</v>
      </c>
      <c r="AQ727" t="str">
        <f t="shared" si="259"/>
        <v>October</v>
      </c>
      <c r="AR727">
        <f t="shared" si="260"/>
        <v>2025</v>
      </c>
      <c r="AS727" t="str">
        <f t="shared" si="261"/>
        <v>Clean</v>
      </c>
      <c r="AT727" t="str">
        <f>IF(OR(AC727&lt;0,AC727&gt;0.5),"Invalid Discount","Valid")</f>
        <v>Valid</v>
      </c>
      <c r="AU727" t="str">
        <f>IF(G727&lt;E727,"Invalid Shipping Record","Valid")</f>
        <v>Valid</v>
      </c>
      <c r="AV727" t="str">
        <f>IF(OR(AL727="Cancelled",AH727="Failed"),"Exclude","Include")</f>
        <v>Include</v>
      </c>
      <c r="AW727" t="str">
        <f t="shared" si="262"/>
        <v>Match</v>
      </c>
      <c r="AX727" t="str">
        <f t="shared" si="263"/>
        <v>Match</v>
      </c>
    </row>
    <row r="728" spans="1:50">
      <c r="A728" t="s">
        <v>3380</v>
      </c>
      <c r="B728">
        <f t="shared" si="242"/>
        <v>1</v>
      </c>
      <c r="C728" t="str">
        <f t="shared" si="252"/>
        <v/>
      </c>
      <c r="D728" s="3" t="s">
        <v>3381</v>
      </c>
      <c r="E728" s="7">
        <v>45308</v>
      </c>
      <c r="F728" s="3" t="s">
        <v>3382</v>
      </c>
      <c r="G728" s="7">
        <v>45314</v>
      </c>
      <c r="H728" s="7" t="str">
        <f t="shared" si="243"/>
        <v>Valid</v>
      </c>
      <c r="I728" s="9">
        <f t="shared" si="244"/>
        <v>6</v>
      </c>
      <c r="J728" s="9" t="str">
        <f t="shared" si="245"/>
        <v>Valid</v>
      </c>
      <c r="K728" t="s">
        <v>3383</v>
      </c>
      <c r="L728" t="s">
        <v>365</v>
      </c>
      <c r="M728" t="s">
        <v>365</v>
      </c>
      <c r="N728" t="s">
        <v>114</v>
      </c>
      <c r="O728" s="3" t="str">
        <f t="shared" si="246"/>
        <v>Home Office</v>
      </c>
      <c r="P728" t="s">
        <v>72</v>
      </c>
      <c r="Q728" s="3" t="str">
        <f t="shared" si="247"/>
        <v>West</v>
      </c>
      <c r="R728" t="s">
        <v>234</v>
      </c>
      <c r="S728" t="s">
        <v>235</v>
      </c>
      <c r="T728" t="s">
        <v>85</v>
      </c>
      <c r="U728" s="3" t="str">
        <f t="shared" si="248"/>
        <v>Technology</v>
      </c>
      <c r="V728" t="s">
        <v>222</v>
      </c>
      <c r="W728" t="s">
        <v>3384</v>
      </c>
      <c r="X728" t="s">
        <v>66</v>
      </c>
      <c r="Y728" s="3" t="str">
        <f t="shared" si="249"/>
        <v>Standard Class</v>
      </c>
      <c r="Z728">
        <v>5</v>
      </c>
      <c r="AA728">
        <v>2018</v>
      </c>
      <c r="AB728">
        <v>0.2</v>
      </c>
      <c r="AC728">
        <f t="shared" si="250"/>
        <v>0.2</v>
      </c>
      <c r="AD728" t="str">
        <f t="shared" si="253"/>
        <v>Valid</v>
      </c>
      <c r="AE728">
        <v>8072</v>
      </c>
      <c r="AF728">
        <v>5379.22</v>
      </c>
      <c r="AG728">
        <v>2692.78</v>
      </c>
      <c r="AH728" t="s">
        <v>136</v>
      </c>
      <c r="AI728" t="str">
        <f t="shared" si="254"/>
        <v>Include</v>
      </c>
      <c r="AJ728" t="str">
        <f t="shared" si="255"/>
        <v/>
      </c>
      <c r="AK728" t="s">
        <v>124</v>
      </c>
      <c r="AL728" t="str">
        <f t="shared" si="251"/>
        <v>Returned</v>
      </c>
      <c r="AM728" t="str">
        <f t="shared" si="256"/>
        <v>Include</v>
      </c>
      <c r="AN728">
        <f t="shared" si="257"/>
        <v>8072</v>
      </c>
      <c r="AO728">
        <f t="shared" si="258"/>
        <v>2692.7799999999997</v>
      </c>
      <c r="AP728">
        <f>IF(AN728=0,0,AO728/AN728)</f>
        <v>0.33359514370664023</v>
      </c>
      <c r="AQ728" t="str">
        <f t="shared" si="259"/>
        <v>January</v>
      </c>
      <c r="AR728">
        <f t="shared" si="260"/>
        <v>2024</v>
      </c>
      <c r="AS728" t="str">
        <f t="shared" si="261"/>
        <v>Clean</v>
      </c>
      <c r="AT728" t="str">
        <f>IF(OR(AC728&lt;0,AC728&gt;0.5),"Invalid Discount","Valid")</f>
        <v>Valid</v>
      </c>
      <c r="AU728" t="str">
        <f>IF(G728&lt;E728,"Invalid Shipping Record","Valid")</f>
        <v>Valid</v>
      </c>
      <c r="AV728" t="str">
        <f>IF(OR(AL728="Cancelled",AH728="Failed"),"Exclude","Include")</f>
        <v>Include</v>
      </c>
      <c r="AW728" t="str">
        <f t="shared" si="262"/>
        <v>Match</v>
      </c>
      <c r="AX728" t="str">
        <f t="shared" si="263"/>
        <v>Match</v>
      </c>
    </row>
    <row r="729" spans="1:50">
      <c r="A729" t="s">
        <v>3385</v>
      </c>
      <c r="B729">
        <f t="shared" si="242"/>
        <v>1</v>
      </c>
      <c r="C729" t="str">
        <f t="shared" si="252"/>
        <v/>
      </c>
      <c r="D729" s="3" t="s">
        <v>3386</v>
      </c>
      <c r="E729" s="7">
        <v>45578</v>
      </c>
      <c r="F729" s="3" t="s">
        <v>3386</v>
      </c>
      <c r="G729" s="7">
        <v>45578</v>
      </c>
      <c r="H729" s="7" t="str">
        <f t="shared" si="243"/>
        <v>Valid</v>
      </c>
      <c r="I729" s="9">
        <f t="shared" si="244"/>
        <v>0</v>
      </c>
      <c r="J729" s="9" t="str">
        <f t="shared" si="245"/>
        <v>Valid</v>
      </c>
      <c r="K729" t="s">
        <v>3387</v>
      </c>
      <c r="L729" t="s">
        <v>161</v>
      </c>
      <c r="M729" t="s">
        <v>161</v>
      </c>
      <c r="N729" t="s">
        <v>40</v>
      </c>
      <c r="O729" s="3" t="str">
        <f t="shared" si="246"/>
        <v>Small Business</v>
      </c>
      <c r="P729" t="s">
        <v>41</v>
      </c>
      <c r="Q729" s="3" t="str">
        <f t="shared" si="247"/>
        <v>East</v>
      </c>
      <c r="R729" t="s">
        <v>215</v>
      </c>
      <c r="S729" t="s">
        <v>216</v>
      </c>
      <c r="T729" t="s">
        <v>85</v>
      </c>
      <c r="U729" s="3" t="str">
        <f t="shared" si="248"/>
        <v>Technology</v>
      </c>
      <c r="V729" t="s">
        <v>86</v>
      </c>
      <c r="W729" t="s">
        <v>3388</v>
      </c>
      <c r="X729" t="s">
        <v>32</v>
      </c>
      <c r="Y729" s="3" t="str">
        <f t="shared" si="249"/>
        <v>Second Class</v>
      </c>
      <c r="Z729">
        <v>8</v>
      </c>
      <c r="AA729">
        <v>3730.66</v>
      </c>
      <c r="AB729">
        <v>0.05</v>
      </c>
      <c r="AC729">
        <f t="shared" si="250"/>
        <v>0.05</v>
      </c>
      <c r="AD729" t="str">
        <f t="shared" si="253"/>
        <v>Valid</v>
      </c>
      <c r="AE729">
        <v>28353.02</v>
      </c>
      <c r="AF729">
        <v>19257.849999999999</v>
      </c>
      <c r="AG729">
        <v>9095.17</v>
      </c>
      <c r="AH729" t="s">
        <v>33</v>
      </c>
      <c r="AI729" t="str">
        <f t="shared" si="254"/>
        <v>Include</v>
      </c>
      <c r="AJ729" t="str">
        <f t="shared" si="255"/>
        <v/>
      </c>
      <c r="AK729" t="s">
        <v>34</v>
      </c>
      <c r="AL729" t="str">
        <f t="shared" si="251"/>
        <v>Completed</v>
      </c>
      <c r="AM729" t="str">
        <f t="shared" si="256"/>
        <v>Include</v>
      </c>
      <c r="AN729">
        <f t="shared" si="257"/>
        <v>28353.015999999996</v>
      </c>
      <c r="AO729">
        <f t="shared" si="258"/>
        <v>9095.1659999999974</v>
      </c>
      <c r="AP729">
        <f>IF(AN729=0,0,AO729/AN729)</f>
        <v>0.3207830165228277</v>
      </c>
      <c r="AQ729" t="str">
        <f t="shared" si="259"/>
        <v>October</v>
      </c>
      <c r="AR729">
        <f t="shared" si="260"/>
        <v>2024</v>
      </c>
      <c r="AS729" t="str">
        <f t="shared" si="261"/>
        <v>Clean</v>
      </c>
      <c r="AT729" t="str">
        <f>IF(OR(AC729&lt;0,AC729&gt;0.5),"Invalid Discount","Valid")</f>
        <v>Valid</v>
      </c>
      <c r="AU729" t="str">
        <f>IF(G729&lt;E729,"Invalid Shipping Record","Valid")</f>
        <v>Valid</v>
      </c>
      <c r="AV729" t="str">
        <f>IF(OR(AL729="Cancelled",AH729="Failed"),"Exclude","Include")</f>
        <v>Include</v>
      </c>
      <c r="AW729" t="str">
        <f t="shared" si="262"/>
        <v>Match</v>
      </c>
      <c r="AX729" t="str">
        <f t="shared" si="263"/>
        <v>Match</v>
      </c>
    </row>
    <row r="730" spans="1:50">
      <c r="A730" t="s">
        <v>3389</v>
      </c>
      <c r="B730">
        <f t="shared" si="242"/>
        <v>1</v>
      </c>
      <c r="C730" t="str">
        <f t="shared" si="252"/>
        <v/>
      </c>
      <c r="D730" s="3" t="s">
        <v>3051</v>
      </c>
      <c r="E730" s="7">
        <v>45295</v>
      </c>
      <c r="F730" s="3" t="s">
        <v>1761</v>
      </c>
      <c r="G730" s="7">
        <v>45298</v>
      </c>
      <c r="H730" s="7" t="str">
        <f t="shared" si="243"/>
        <v>Valid</v>
      </c>
      <c r="I730" s="9">
        <f t="shared" si="244"/>
        <v>3</v>
      </c>
      <c r="J730" s="9" t="str">
        <f t="shared" si="245"/>
        <v>Valid</v>
      </c>
      <c r="K730" t="s">
        <v>3390</v>
      </c>
      <c r="L730" t="s">
        <v>167</v>
      </c>
      <c r="M730" t="s">
        <v>167</v>
      </c>
      <c r="N730" t="s">
        <v>40</v>
      </c>
      <c r="O730" s="3" t="str">
        <f t="shared" si="246"/>
        <v>Small Business</v>
      </c>
      <c r="P730" t="s">
        <v>61</v>
      </c>
      <c r="Q730" s="3" t="str">
        <f t="shared" si="247"/>
        <v>South</v>
      </c>
      <c r="R730" t="s">
        <v>228</v>
      </c>
      <c r="S730" t="s">
        <v>229</v>
      </c>
      <c r="T730" t="s">
        <v>85</v>
      </c>
      <c r="U730" s="3" t="str">
        <f t="shared" si="248"/>
        <v>Technology</v>
      </c>
      <c r="V730" t="s">
        <v>381</v>
      </c>
      <c r="W730" t="s">
        <v>3391</v>
      </c>
      <c r="X730" t="s">
        <v>55</v>
      </c>
      <c r="Y730" s="3" t="str">
        <f t="shared" si="249"/>
        <v>First Class</v>
      </c>
      <c r="Z730">
        <v>1</v>
      </c>
      <c r="AA730">
        <v>2363.02</v>
      </c>
      <c r="AB730">
        <v>0.15</v>
      </c>
      <c r="AC730">
        <f t="shared" si="250"/>
        <v>0.15</v>
      </c>
      <c r="AD730" t="str">
        <f t="shared" si="253"/>
        <v>Valid</v>
      </c>
      <c r="AE730">
        <v>2008.57</v>
      </c>
      <c r="AF730">
        <v>1194.83</v>
      </c>
      <c r="AG730">
        <v>813.74</v>
      </c>
      <c r="AH730" t="s">
        <v>33</v>
      </c>
      <c r="AI730" t="str">
        <f t="shared" si="254"/>
        <v>Include</v>
      </c>
      <c r="AJ730" t="str">
        <f t="shared" si="255"/>
        <v/>
      </c>
      <c r="AK730" t="s">
        <v>34</v>
      </c>
      <c r="AL730" t="str">
        <f t="shared" si="251"/>
        <v>Completed</v>
      </c>
      <c r="AM730" t="str">
        <f t="shared" si="256"/>
        <v>Include</v>
      </c>
      <c r="AN730">
        <f t="shared" si="257"/>
        <v>2008.567</v>
      </c>
      <c r="AO730">
        <f t="shared" si="258"/>
        <v>813.73700000000008</v>
      </c>
      <c r="AP730">
        <f>IF(AN730=0,0,AO730/AN730)</f>
        <v>0.40513311231340554</v>
      </c>
      <c r="AQ730" t="str">
        <f t="shared" si="259"/>
        <v>January</v>
      </c>
      <c r="AR730">
        <f t="shared" si="260"/>
        <v>2024</v>
      </c>
      <c r="AS730" t="str">
        <f t="shared" si="261"/>
        <v>Clean</v>
      </c>
      <c r="AT730" t="str">
        <f>IF(OR(AC730&lt;0,AC730&gt;0.5),"Invalid Discount","Valid")</f>
        <v>Valid</v>
      </c>
      <c r="AU730" t="str">
        <f>IF(G730&lt;E730,"Invalid Shipping Record","Valid")</f>
        <v>Valid</v>
      </c>
      <c r="AV730" t="str">
        <f>IF(OR(AL730="Cancelled",AH730="Failed"),"Exclude","Include")</f>
        <v>Include</v>
      </c>
      <c r="AW730" t="str">
        <f t="shared" si="262"/>
        <v>Match</v>
      </c>
      <c r="AX730" t="str">
        <f t="shared" si="263"/>
        <v>Match</v>
      </c>
    </row>
    <row r="731" spans="1:50">
      <c r="A731" t="s">
        <v>3392</v>
      </c>
      <c r="B731">
        <f t="shared" si="242"/>
        <v>1</v>
      </c>
      <c r="C731" t="str">
        <f t="shared" si="252"/>
        <v/>
      </c>
      <c r="D731" s="3" t="s">
        <v>3393</v>
      </c>
      <c r="E731" s="7">
        <v>45794</v>
      </c>
      <c r="F731" s="3" t="s">
        <v>3394</v>
      </c>
      <c r="G731" s="7">
        <v>45802</v>
      </c>
      <c r="H731" s="7" t="str">
        <f t="shared" si="243"/>
        <v>Valid</v>
      </c>
      <c r="I731" s="9">
        <f t="shared" si="244"/>
        <v>8</v>
      </c>
      <c r="J731" s="9" t="str">
        <f t="shared" si="245"/>
        <v>Valid</v>
      </c>
      <c r="K731" t="s">
        <v>3395</v>
      </c>
      <c r="L731" t="s">
        <v>71</v>
      </c>
      <c r="M731" t="s">
        <v>71</v>
      </c>
      <c r="N731" t="s">
        <v>107</v>
      </c>
      <c r="O731" s="3" t="str">
        <f t="shared" si="246"/>
        <v>Corporate</v>
      </c>
      <c r="P731" t="s">
        <v>61</v>
      </c>
      <c r="Q731" s="3" t="str">
        <f t="shared" si="247"/>
        <v>South</v>
      </c>
      <c r="R731" t="s">
        <v>338</v>
      </c>
      <c r="S731" t="s">
        <v>339</v>
      </c>
      <c r="T731" t="s">
        <v>85</v>
      </c>
      <c r="U731" s="3" t="str">
        <f t="shared" si="248"/>
        <v>Technology</v>
      </c>
      <c r="V731" t="s">
        <v>381</v>
      </c>
      <c r="W731" t="s">
        <v>3396</v>
      </c>
      <c r="X731" t="s">
        <v>47</v>
      </c>
      <c r="Y731" s="3" t="str">
        <f t="shared" si="249"/>
        <v>Same Day</v>
      </c>
      <c r="Z731">
        <v>6</v>
      </c>
      <c r="AA731">
        <v>1810.63</v>
      </c>
      <c r="AB731">
        <v>0.15</v>
      </c>
      <c r="AC731">
        <f t="shared" si="250"/>
        <v>0.15</v>
      </c>
      <c r="AD731" t="str">
        <f t="shared" si="253"/>
        <v>Valid</v>
      </c>
      <c r="AE731">
        <v>9234.2099999999991</v>
      </c>
      <c r="AF731">
        <v>5516.52</v>
      </c>
      <c r="AG731">
        <v>3717.69</v>
      </c>
      <c r="AH731" t="s">
        <v>33</v>
      </c>
      <c r="AI731" t="str">
        <f t="shared" si="254"/>
        <v>Include</v>
      </c>
      <c r="AJ731" t="str">
        <f t="shared" si="255"/>
        <v/>
      </c>
      <c r="AK731" t="s">
        <v>34</v>
      </c>
      <c r="AL731" t="str">
        <f t="shared" si="251"/>
        <v>Completed</v>
      </c>
      <c r="AM731" t="str">
        <f t="shared" si="256"/>
        <v>Include</v>
      </c>
      <c r="AN731">
        <f t="shared" si="257"/>
        <v>9234.2129999999997</v>
      </c>
      <c r="AO731">
        <f t="shared" si="258"/>
        <v>3717.6929999999993</v>
      </c>
      <c r="AP731">
        <f>IF(AN731=0,0,AO731/AN731)</f>
        <v>0.40259987505161504</v>
      </c>
      <c r="AQ731" t="str">
        <f t="shared" si="259"/>
        <v>May</v>
      </c>
      <c r="AR731">
        <f t="shared" si="260"/>
        <v>2025</v>
      </c>
      <c r="AS731" t="str">
        <f t="shared" si="261"/>
        <v>Clean</v>
      </c>
      <c r="AT731" t="str">
        <f>IF(OR(AC731&lt;0,AC731&gt;0.5),"Invalid Discount","Valid")</f>
        <v>Valid</v>
      </c>
      <c r="AU731" t="str">
        <f>IF(G731&lt;E731,"Invalid Shipping Record","Valid")</f>
        <v>Valid</v>
      </c>
      <c r="AV731" t="str">
        <f>IF(OR(AL731="Cancelled",AH731="Failed"),"Exclude","Include")</f>
        <v>Include</v>
      </c>
      <c r="AW731" t="str">
        <f t="shared" si="262"/>
        <v>Match</v>
      </c>
      <c r="AX731" t="str">
        <f t="shared" si="263"/>
        <v>Match</v>
      </c>
    </row>
    <row r="732" spans="1:50">
      <c r="A732" t="s">
        <v>3397</v>
      </c>
      <c r="B732">
        <f t="shared" ref="B732:B795" si="264">COUNTIF($A:$A,A732)</f>
        <v>1</v>
      </c>
      <c r="C732" t="str">
        <f t="shared" si="252"/>
        <v/>
      </c>
      <c r="D732" s="3" t="s">
        <v>3398</v>
      </c>
      <c r="E732" s="7">
        <v>45827</v>
      </c>
      <c r="F732" s="3" t="s">
        <v>3309</v>
      </c>
      <c r="G732" s="7">
        <v>45832</v>
      </c>
      <c r="H732" s="7" t="str">
        <f t="shared" si="243"/>
        <v>Valid</v>
      </c>
      <c r="I732" s="9">
        <f t="shared" si="244"/>
        <v>5</v>
      </c>
      <c r="J732" s="9" t="str">
        <f t="shared" si="245"/>
        <v>Valid</v>
      </c>
      <c r="K732" t="s">
        <v>3399</v>
      </c>
      <c r="L732" t="s">
        <v>60</v>
      </c>
      <c r="M732" t="s">
        <v>60</v>
      </c>
      <c r="N732" t="s">
        <v>25</v>
      </c>
      <c r="O732" s="3" t="str">
        <f t="shared" si="246"/>
        <v>Consumer</v>
      </c>
      <c r="P732" t="s">
        <v>41</v>
      </c>
      <c r="Q732" s="3" t="str">
        <f t="shared" si="247"/>
        <v>East</v>
      </c>
      <c r="R732" t="s">
        <v>120</v>
      </c>
      <c r="S732" t="s">
        <v>121</v>
      </c>
      <c r="T732" t="s">
        <v>29</v>
      </c>
      <c r="U732" s="3" t="str">
        <f t="shared" si="248"/>
        <v>Office Supplies</v>
      </c>
      <c r="V732" t="s">
        <v>53</v>
      </c>
      <c r="W732" t="s">
        <v>3400</v>
      </c>
      <c r="X732" t="s">
        <v>32</v>
      </c>
      <c r="Y732" s="3" t="str">
        <f t="shared" si="249"/>
        <v>Second Class</v>
      </c>
      <c r="Z732">
        <v>4</v>
      </c>
      <c r="AA732">
        <v>782.01</v>
      </c>
      <c r="AB732">
        <v>0.15</v>
      </c>
      <c r="AC732">
        <f t="shared" si="250"/>
        <v>0.15</v>
      </c>
      <c r="AD732" t="str">
        <f t="shared" si="253"/>
        <v>Valid</v>
      </c>
      <c r="AE732">
        <v>2658.83</v>
      </c>
      <c r="AF732">
        <v>2226.9699999999998</v>
      </c>
      <c r="AG732">
        <v>431.86</v>
      </c>
      <c r="AH732" t="s">
        <v>123</v>
      </c>
      <c r="AI732" t="str">
        <f t="shared" si="254"/>
        <v>Include</v>
      </c>
      <c r="AJ732" t="str">
        <f t="shared" si="255"/>
        <v>Refunded Order</v>
      </c>
      <c r="AK732" t="s">
        <v>124</v>
      </c>
      <c r="AL732" t="str">
        <f t="shared" si="251"/>
        <v>Returned</v>
      </c>
      <c r="AM732" t="str">
        <f t="shared" si="256"/>
        <v>Include</v>
      </c>
      <c r="AN732">
        <f t="shared" si="257"/>
        <v>2658.8339999999998</v>
      </c>
      <c r="AO732">
        <f t="shared" si="258"/>
        <v>431.86400000000003</v>
      </c>
      <c r="AP732">
        <f>IF(AN732=0,0,AO732/AN732)</f>
        <v>0.16242608602116568</v>
      </c>
      <c r="AQ732" t="str">
        <f t="shared" si="259"/>
        <v>June</v>
      </c>
      <c r="AR732">
        <f t="shared" si="260"/>
        <v>2025</v>
      </c>
      <c r="AS732" t="str">
        <f t="shared" si="261"/>
        <v>Clean</v>
      </c>
      <c r="AT732" t="str">
        <f>IF(OR(AC732&lt;0,AC732&gt;0.5),"Invalid Discount","Valid")</f>
        <v>Valid</v>
      </c>
      <c r="AU732" t="str">
        <f>IF(G732&lt;E732,"Invalid Shipping Record","Valid")</f>
        <v>Valid</v>
      </c>
      <c r="AV732" t="str">
        <f>IF(OR(AL732="Cancelled",AH732="Failed"),"Exclude","Include")</f>
        <v>Include</v>
      </c>
      <c r="AW732" t="str">
        <f t="shared" si="262"/>
        <v>Match</v>
      </c>
      <c r="AX732" t="str">
        <f t="shared" si="263"/>
        <v>Match</v>
      </c>
    </row>
    <row r="733" spans="1:50">
      <c r="A733" t="s">
        <v>3401</v>
      </c>
      <c r="B733">
        <f t="shared" si="264"/>
        <v>1</v>
      </c>
      <c r="C733" t="str">
        <f t="shared" si="252"/>
        <v/>
      </c>
      <c r="D733" s="3" t="s">
        <v>3402</v>
      </c>
      <c r="E733" s="7">
        <v>45368</v>
      </c>
      <c r="F733" s="3" t="s">
        <v>3403</v>
      </c>
      <c r="G733" s="7">
        <v>45370</v>
      </c>
      <c r="H733" s="7" t="str">
        <f t="shared" si="243"/>
        <v>Valid</v>
      </c>
      <c r="I733" s="9">
        <f t="shared" si="244"/>
        <v>2</v>
      </c>
      <c r="J733" s="9" t="str">
        <f t="shared" si="245"/>
        <v>Valid</v>
      </c>
      <c r="K733" t="s">
        <v>3404</v>
      </c>
      <c r="L733" t="s">
        <v>71</v>
      </c>
      <c r="M733" t="s">
        <v>71</v>
      </c>
      <c r="N733" t="s">
        <v>107</v>
      </c>
      <c r="O733" s="3" t="str">
        <f t="shared" si="246"/>
        <v>Corporate</v>
      </c>
      <c r="P733" t="s">
        <v>41</v>
      </c>
      <c r="Q733" s="3" t="str">
        <f t="shared" si="247"/>
        <v>East</v>
      </c>
      <c r="R733" t="s">
        <v>42</v>
      </c>
      <c r="S733" t="s">
        <v>43</v>
      </c>
      <c r="T733" t="s">
        <v>29</v>
      </c>
      <c r="U733" s="3" t="str">
        <f t="shared" si="248"/>
        <v>Office Supplies</v>
      </c>
      <c r="V733" t="s">
        <v>197</v>
      </c>
      <c r="W733" t="s">
        <v>3405</v>
      </c>
      <c r="X733" t="s">
        <v>55</v>
      </c>
      <c r="Y733" s="3" t="str">
        <f t="shared" si="249"/>
        <v>First Class</v>
      </c>
      <c r="Z733">
        <v>4</v>
      </c>
      <c r="AA733">
        <v>4376.68</v>
      </c>
      <c r="AB733">
        <v>0.1</v>
      </c>
      <c r="AC733">
        <f t="shared" si="250"/>
        <v>0.1</v>
      </c>
      <c r="AD733" t="str">
        <f t="shared" si="253"/>
        <v>Valid</v>
      </c>
      <c r="AE733">
        <v>15756.05</v>
      </c>
      <c r="AF733">
        <v>10245.44</v>
      </c>
      <c r="AG733">
        <v>5510.61</v>
      </c>
      <c r="AH733" t="s">
        <v>33</v>
      </c>
      <c r="AI733" t="str">
        <f t="shared" si="254"/>
        <v>Include</v>
      </c>
      <c r="AJ733" t="str">
        <f t="shared" si="255"/>
        <v/>
      </c>
      <c r="AK733" t="s">
        <v>34</v>
      </c>
      <c r="AL733" t="str">
        <f t="shared" si="251"/>
        <v>Completed</v>
      </c>
      <c r="AM733" t="str">
        <f t="shared" si="256"/>
        <v>Include</v>
      </c>
      <c r="AN733">
        <f t="shared" si="257"/>
        <v>15756.048000000001</v>
      </c>
      <c r="AO733">
        <f t="shared" si="258"/>
        <v>5510.6080000000002</v>
      </c>
      <c r="AP733">
        <f>IF(AN733=0,0,AO733/AN733)</f>
        <v>0.3497455707167178</v>
      </c>
      <c r="AQ733" t="str">
        <f t="shared" si="259"/>
        <v>March</v>
      </c>
      <c r="AR733">
        <f t="shared" si="260"/>
        <v>2024</v>
      </c>
      <c r="AS733" t="str">
        <f t="shared" si="261"/>
        <v>Clean</v>
      </c>
      <c r="AT733" t="str">
        <f>IF(OR(AC733&lt;0,AC733&gt;0.5),"Invalid Discount","Valid")</f>
        <v>Valid</v>
      </c>
      <c r="AU733" t="str">
        <f>IF(G733&lt;E733,"Invalid Shipping Record","Valid")</f>
        <v>Valid</v>
      </c>
      <c r="AV733" t="str">
        <f>IF(OR(AL733="Cancelled",AH733="Failed"),"Exclude","Include")</f>
        <v>Include</v>
      </c>
      <c r="AW733" t="str">
        <f t="shared" si="262"/>
        <v>Match</v>
      </c>
      <c r="AX733" t="str">
        <f t="shared" si="263"/>
        <v>Match</v>
      </c>
    </row>
    <row r="734" spans="1:50">
      <c r="A734" t="s">
        <v>3406</v>
      </c>
      <c r="B734">
        <f t="shared" si="264"/>
        <v>1</v>
      </c>
      <c r="C734" t="str">
        <f t="shared" si="252"/>
        <v/>
      </c>
      <c r="D734" s="3" t="s">
        <v>3407</v>
      </c>
      <c r="E734" s="7">
        <v>45624</v>
      </c>
      <c r="F734" s="3" t="s">
        <v>2820</v>
      </c>
      <c r="G734" s="7">
        <v>45632</v>
      </c>
      <c r="H734" s="7" t="str">
        <f t="shared" si="243"/>
        <v>Valid</v>
      </c>
      <c r="I734" s="9">
        <f t="shared" si="244"/>
        <v>8</v>
      </c>
      <c r="J734" s="9" t="str">
        <f t="shared" si="245"/>
        <v>Valid</v>
      </c>
      <c r="K734" t="s">
        <v>3408</v>
      </c>
      <c r="L734" t="s">
        <v>60</v>
      </c>
      <c r="M734" t="s">
        <v>60</v>
      </c>
      <c r="N734" t="s">
        <v>40</v>
      </c>
      <c r="O734" s="3" t="str">
        <f t="shared" si="246"/>
        <v>Small Business</v>
      </c>
      <c r="P734" t="s">
        <v>26</v>
      </c>
      <c r="Q734" s="3" t="str">
        <f t="shared" si="247"/>
        <v>North</v>
      </c>
      <c r="R734" t="s">
        <v>153</v>
      </c>
      <c r="S734" t="s">
        <v>154</v>
      </c>
      <c r="T734" t="s">
        <v>85</v>
      </c>
      <c r="U734" s="3" t="str">
        <f t="shared" si="248"/>
        <v>Technology</v>
      </c>
      <c r="V734" t="s">
        <v>222</v>
      </c>
      <c r="W734" t="s">
        <v>3409</v>
      </c>
      <c r="X734" t="s">
        <v>66</v>
      </c>
      <c r="Y734" s="3" t="str">
        <f t="shared" si="249"/>
        <v>Standard Class</v>
      </c>
      <c r="Z734">
        <v>6</v>
      </c>
      <c r="AA734">
        <v>2464.63</v>
      </c>
      <c r="AB734">
        <v>0</v>
      </c>
      <c r="AC734">
        <f t="shared" si="250"/>
        <v>0</v>
      </c>
      <c r="AD734" t="str">
        <f t="shared" si="253"/>
        <v>Valid</v>
      </c>
      <c r="AE734">
        <v>14787.78</v>
      </c>
      <c r="AF734">
        <v>8596.65</v>
      </c>
      <c r="AG734">
        <v>6191.13</v>
      </c>
      <c r="AH734" t="s">
        <v>33</v>
      </c>
      <c r="AI734" t="str">
        <f t="shared" si="254"/>
        <v>Include</v>
      </c>
      <c r="AJ734" t="str">
        <f t="shared" si="255"/>
        <v/>
      </c>
      <c r="AK734" t="s">
        <v>34</v>
      </c>
      <c r="AL734" t="str">
        <f t="shared" si="251"/>
        <v>Completed</v>
      </c>
      <c r="AM734" t="str">
        <f t="shared" si="256"/>
        <v>Include</v>
      </c>
      <c r="AN734">
        <f t="shared" si="257"/>
        <v>14787.78</v>
      </c>
      <c r="AO734">
        <f t="shared" si="258"/>
        <v>6191.130000000001</v>
      </c>
      <c r="AP734">
        <f>IF(AN734=0,0,AO734/AN734)</f>
        <v>0.41866527632950995</v>
      </c>
      <c r="AQ734" t="str">
        <f t="shared" si="259"/>
        <v>November</v>
      </c>
      <c r="AR734">
        <f t="shared" si="260"/>
        <v>2024</v>
      </c>
      <c r="AS734" t="str">
        <f t="shared" si="261"/>
        <v>Clean</v>
      </c>
      <c r="AT734" t="str">
        <f>IF(OR(AC734&lt;0,AC734&gt;0.5),"Invalid Discount","Valid")</f>
        <v>Valid</v>
      </c>
      <c r="AU734" t="str">
        <f>IF(G734&lt;E734,"Invalid Shipping Record","Valid")</f>
        <v>Valid</v>
      </c>
      <c r="AV734" t="str">
        <f>IF(OR(AL734="Cancelled",AH734="Failed"),"Exclude","Include")</f>
        <v>Include</v>
      </c>
      <c r="AW734" t="str">
        <f t="shared" si="262"/>
        <v>Match</v>
      </c>
      <c r="AX734" t="str">
        <f t="shared" si="263"/>
        <v>Match</v>
      </c>
    </row>
    <row r="735" spans="1:50">
      <c r="A735" t="s">
        <v>3410</v>
      </c>
      <c r="B735">
        <f t="shared" si="264"/>
        <v>1</v>
      </c>
      <c r="C735" t="str">
        <f t="shared" si="252"/>
        <v/>
      </c>
      <c r="D735" s="3" t="s">
        <v>1831</v>
      </c>
      <c r="E735" s="7">
        <v>45464</v>
      </c>
      <c r="F735" s="3" t="s">
        <v>3411</v>
      </c>
      <c r="G735" s="7">
        <v>45471</v>
      </c>
      <c r="H735" s="7" t="str">
        <f t="shared" si="243"/>
        <v>Valid</v>
      </c>
      <c r="I735" s="9">
        <f t="shared" si="244"/>
        <v>7</v>
      </c>
      <c r="J735" s="9" t="str">
        <f t="shared" si="245"/>
        <v>Valid</v>
      </c>
      <c r="K735" t="s">
        <v>3412</v>
      </c>
      <c r="L735" t="s">
        <v>161</v>
      </c>
      <c r="M735" t="s">
        <v>161</v>
      </c>
      <c r="N735" t="s">
        <v>114</v>
      </c>
      <c r="O735" s="3" t="str">
        <f t="shared" si="246"/>
        <v>Home Office</v>
      </c>
      <c r="P735" t="s">
        <v>26</v>
      </c>
      <c r="Q735" s="3" t="str">
        <f t="shared" si="247"/>
        <v>North</v>
      </c>
      <c r="R735" t="s">
        <v>27</v>
      </c>
      <c r="S735" t="s">
        <v>28</v>
      </c>
      <c r="T735" t="s">
        <v>44</v>
      </c>
      <c r="U735" s="3" t="str">
        <f t="shared" si="248"/>
        <v>Furniture</v>
      </c>
      <c r="V735" t="s">
        <v>64</v>
      </c>
      <c r="W735" t="s">
        <v>3413</v>
      </c>
      <c r="X735" t="s">
        <v>55</v>
      </c>
      <c r="Y735" s="3" t="str">
        <f t="shared" si="249"/>
        <v>First Class</v>
      </c>
      <c r="Z735">
        <v>9</v>
      </c>
      <c r="AA735">
        <v>2797.96</v>
      </c>
      <c r="AB735">
        <v>0</v>
      </c>
      <c r="AC735">
        <f t="shared" si="250"/>
        <v>0</v>
      </c>
      <c r="AD735" t="str">
        <f t="shared" si="253"/>
        <v>Valid</v>
      </c>
      <c r="AE735">
        <v>25181.64</v>
      </c>
      <c r="AF735">
        <v>15337.9</v>
      </c>
      <c r="AG735">
        <v>9843.74</v>
      </c>
      <c r="AH735" t="s">
        <v>33</v>
      </c>
      <c r="AI735" t="str">
        <f t="shared" si="254"/>
        <v>Include</v>
      </c>
      <c r="AJ735" t="str">
        <f t="shared" si="255"/>
        <v/>
      </c>
      <c r="AK735" t="s">
        <v>34</v>
      </c>
      <c r="AL735" t="str">
        <f t="shared" si="251"/>
        <v>Completed</v>
      </c>
      <c r="AM735" t="str">
        <f t="shared" si="256"/>
        <v>Include</v>
      </c>
      <c r="AN735">
        <f t="shared" si="257"/>
        <v>25181.64</v>
      </c>
      <c r="AO735">
        <f t="shared" si="258"/>
        <v>9843.74</v>
      </c>
      <c r="AP735">
        <f>IF(AN735=0,0,AO735/AN735)</f>
        <v>0.39090940860086953</v>
      </c>
      <c r="AQ735" t="str">
        <f t="shared" si="259"/>
        <v>June</v>
      </c>
      <c r="AR735">
        <f t="shared" si="260"/>
        <v>2024</v>
      </c>
      <c r="AS735" t="str">
        <f t="shared" si="261"/>
        <v>Clean</v>
      </c>
      <c r="AT735" t="str">
        <f>IF(OR(AC735&lt;0,AC735&gt;0.5),"Invalid Discount","Valid")</f>
        <v>Valid</v>
      </c>
      <c r="AU735" t="str">
        <f>IF(G735&lt;E735,"Invalid Shipping Record","Valid")</f>
        <v>Valid</v>
      </c>
      <c r="AV735" t="str">
        <f>IF(OR(AL735="Cancelled",AH735="Failed"),"Exclude","Include")</f>
        <v>Include</v>
      </c>
      <c r="AW735" t="str">
        <f t="shared" si="262"/>
        <v>Match</v>
      </c>
      <c r="AX735" t="str">
        <f t="shared" si="263"/>
        <v>Match</v>
      </c>
    </row>
    <row r="736" spans="1:50">
      <c r="A736" t="s">
        <v>3414</v>
      </c>
      <c r="B736">
        <f t="shared" si="264"/>
        <v>1</v>
      </c>
      <c r="C736" t="str">
        <f t="shared" si="252"/>
        <v/>
      </c>
      <c r="D736" s="3" t="s">
        <v>3415</v>
      </c>
      <c r="E736" s="7">
        <v>45528</v>
      </c>
      <c r="F736" s="3" t="s">
        <v>3415</v>
      </c>
      <c r="G736" s="7">
        <v>45528</v>
      </c>
      <c r="H736" s="7" t="str">
        <f t="shared" si="243"/>
        <v>Valid</v>
      </c>
      <c r="I736" s="9">
        <f t="shared" si="244"/>
        <v>0</v>
      </c>
      <c r="J736" s="9" t="str">
        <f t="shared" si="245"/>
        <v>Valid</v>
      </c>
      <c r="K736" t="s">
        <v>3416</v>
      </c>
      <c r="L736" t="s">
        <v>71</v>
      </c>
      <c r="M736" t="s">
        <v>71</v>
      </c>
      <c r="N736" t="s">
        <v>40</v>
      </c>
      <c r="O736" s="3" t="str">
        <f t="shared" si="246"/>
        <v>Small Business</v>
      </c>
      <c r="P736" t="s">
        <v>26</v>
      </c>
      <c r="Q736" s="3" t="str">
        <f t="shared" si="247"/>
        <v>North</v>
      </c>
      <c r="R736" t="s">
        <v>27</v>
      </c>
      <c r="S736" t="s">
        <v>28</v>
      </c>
      <c r="T736" t="s">
        <v>85</v>
      </c>
      <c r="U736" s="3" t="str">
        <f t="shared" si="248"/>
        <v>Technology</v>
      </c>
      <c r="V736" t="s">
        <v>86</v>
      </c>
      <c r="W736" t="s">
        <v>3417</v>
      </c>
      <c r="X736" t="s">
        <v>55</v>
      </c>
      <c r="Y736" s="3" t="str">
        <f t="shared" si="249"/>
        <v>First Class</v>
      </c>
      <c r="Z736">
        <v>4</v>
      </c>
      <c r="AA736">
        <v>2761.86</v>
      </c>
      <c r="AB736">
        <v>0.2</v>
      </c>
      <c r="AC736">
        <f t="shared" si="250"/>
        <v>0.2</v>
      </c>
      <c r="AD736" t="str">
        <f t="shared" si="253"/>
        <v>Valid</v>
      </c>
      <c r="AE736">
        <v>8837.9500000000007</v>
      </c>
      <c r="AF736">
        <v>6157.27</v>
      </c>
      <c r="AG736">
        <v>2680.68</v>
      </c>
      <c r="AH736" t="s">
        <v>33</v>
      </c>
      <c r="AI736" t="str">
        <f t="shared" si="254"/>
        <v>Include</v>
      </c>
      <c r="AJ736" t="str">
        <f t="shared" si="255"/>
        <v/>
      </c>
      <c r="AK736" t="s">
        <v>34</v>
      </c>
      <c r="AL736" t="str">
        <f t="shared" si="251"/>
        <v>Completed</v>
      </c>
      <c r="AM736" t="str">
        <f t="shared" si="256"/>
        <v>Include</v>
      </c>
      <c r="AN736">
        <f t="shared" si="257"/>
        <v>8837.9520000000011</v>
      </c>
      <c r="AO736">
        <f t="shared" si="258"/>
        <v>2680.6820000000007</v>
      </c>
      <c r="AP736">
        <f>IF(AN736=0,0,AO736/AN736)</f>
        <v>0.30331484036120587</v>
      </c>
      <c r="AQ736" t="str">
        <f t="shared" si="259"/>
        <v>August</v>
      </c>
      <c r="AR736">
        <f t="shared" si="260"/>
        <v>2024</v>
      </c>
      <c r="AS736" t="str">
        <f t="shared" si="261"/>
        <v>Clean</v>
      </c>
      <c r="AT736" t="str">
        <f>IF(OR(AC736&lt;0,AC736&gt;0.5),"Invalid Discount","Valid")</f>
        <v>Valid</v>
      </c>
      <c r="AU736" t="str">
        <f>IF(G736&lt;E736,"Invalid Shipping Record","Valid")</f>
        <v>Valid</v>
      </c>
      <c r="AV736" t="str">
        <f>IF(OR(AL736="Cancelled",AH736="Failed"),"Exclude","Include")</f>
        <v>Include</v>
      </c>
      <c r="AW736" t="str">
        <f t="shared" si="262"/>
        <v>Match</v>
      </c>
      <c r="AX736" t="str">
        <f t="shared" si="263"/>
        <v>Match</v>
      </c>
    </row>
    <row r="737" spans="1:50">
      <c r="A737" t="s">
        <v>3418</v>
      </c>
      <c r="B737">
        <f t="shared" si="264"/>
        <v>1</v>
      </c>
      <c r="C737" t="str">
        <f t="shared" si="252"/>
        <v/>
      </c>
      <c r="D737" s="3" t="s">
        <v>3419</v>
      </c>
      <c r="E737" s="7">
        <v>45515</v>
      </c>
      <c r="F737" s="3" t="s">
        <v>2860</v>
      </c>
      <c r="G737" s="7">
        <v>45523</v>
      </c>
      <c r="H737" s="7" t="str">
        <f t="shared" si="243"/>
        <v>Valid</v>
      </c>
      <c r="I737" s="9">
        <f t="shared" si="244"/>
        <v>8</v>
      </c>
      <c r="J737" s="9" t="str">
        <f t="shared" si="245"/>
        <v>Valid</v>
      </c>
      <c r="K737" t="s">
        <v>3420</v>
      </c>
      <c r="L737" t="s">
        <v>39</v>
      </c>
      <c r="M737" t="s">
        <v>39</v>
      </c>
      <c r="N737" t="s">
        <v>25</v>
      </c>
      <c r="O737" s="3" t="str">
        <f t="shared" si="246"/>
        <v>Consumer</v>
      </c>
      <c r="P737" t="s">
        <v>72</v>
      </c>
      <c r="Q737" s="3" t="str">
        <f t="shared" si="247"/>
        <v>West</v>
      </c>
      <c r="R737" t="s">
        <v>73</v>
      </c>
      <c r="S737" t="s">
        <v>74</v>
      </c>
      <c r="T737" t="s">
        <v>44</v>
      </c>
      <c r="U737" s="3" t="str">
        <f t="shared" si="248"/>
        <v>Furniture</v>
      </c>
      <c r="V737" t="s">
        <v>45</v>
      </c>
      <c r="W737" t="s">
        <v>3421</v>
      </c>
      <c r="X737" t="s">
        <v>66</v>
      </c>
      <c r="Y737" s="3" t="str">
        <f t="shared" si="249"/>
        <v>Standard Class</v>
      </c>
      <c r="Z737">
        <v>6</v>
      </c>
      <c r="AA737">
        <v>1515.79</v>
      </c>
      <c r="AB737">
        <v>0.2</v>
      </c>
      <c r="AC737">
        <f t="shared" si="250"/>
        <v>0.2</v>
      </c>
      <c r="AD737" t="str">
        <f t="shared" si="253"/>
        <v>Valid</v>
      </c>
      <c r="AE737">
        <v>7275.79</v>
      </c>
      <c r="AF737">
        <v>6152.87</v>
      </c>
      <c r="AG737">
        <v>1122.92</v>
      </c>
      <c r="AH737" t="s">
        <v>33</v>
      </c>
      <c r="AI737" t="str">
        <f t="shared" si="254"/>
        <v>Include</v>
      </c>
      <c r="AJ737" t="str">
        <f t="shared" si="255"/>
        <v/>
      </c>
      <c r="AK737" t="s">
        <v>34</v>
      </c>
      <c r="AL737" t="str">
        <f t="shared" si="251"/>
        <v>Completed</v>
      </c>
      <c r="AM737" t="str">
        <f t="shared" si="256"/>
        <v>Include</v>
      </c>
      <c r="AN737">
        <f t="shared" si="257"/>
        <v>7275.7920000000004</v>
      </c>
      <c r="AO737">
        <f t="shared" si="258"/>
        <v>1122.9220000000005</v>
      </c>
      <c r="AP737">
        <f>IF(AN737=0,0,AO737/AN737)</f>
        <v>0.15433673749881804</v>
      </c>
      <c r="AQ737" t="str">
        <f t="shared" si="259"/>
        <v>August</v>
      </c>
      <c r="AR737">
        <f t="shared" si="260"/>
        <v>2024</v>
      </c>
      <c r="AS737" t="str">
        <f t="shared" si="261"/>
        <v>Clean</v>
      </c>
      <c r="AT737" t="str">
        <f>IF(OR(AC737&lt;0,AC737&gt;0.5),"Invalid Discount","Valid")</f>
        <v>Valid</v>
      </c>
      <c r="AU737" t="str">
        <f>IF(G737&lt;E737,"Invalid Shipping Record","Valid")</f>
        <v>Valid</v>
      </c>
      <c r="AV737" t="str">
        <f>IF(OR(AL737="Cancelled",AH737="Failed"),"Exclude","Include")</f>
        <v>Include</v>
      </c>
      <c r="AW737" t="str">
        <f t="shared" si="262"/>
        <v>Match</v>
      </c>
      <c r="AX737" t="str">
        <f t="shared" si="263"/>
        <v>Match</v>
      </c>
    </row>
    <row r="738" spans="1:50">
      <c r="A738" t="s">
        <v>3422</v>
      </c>
      <c r="B738">
        <f t="shared" si="264"/>
        <v>1</v>
      </c>
      <c r="C738" t="str">
        <f t="shared" si="252"/>
        <v/>
      </c>
      <c r="D738" s="3" t="s">
        <v>2820</v>
      </c>
      <c r="E738" s="7">
        <v>45632</v>
      </c>
      <c r="F738" s="3" t="s">
        <v>3423</v>
      </c>
      <c r="G738" s="7">
        <v>45635</v>
      </c>
      <c r="H738" s="7" t="str">
        <f t="shared" si="243"/>
        <v>Valid</v>
      </c>
      <c r="I738" s="9">
        <f t="shared" si="244"/>
        <v>3</v>
      </c>
      <c r="J738" s="9" t="str">
        <f t="shared" si="245"/>
        <v>Valid</v>
      </c>
      <c r="K738" t="s">
        <v>3424</v>
      </c>
      <c r="L738" t="s">
        <v>106</v>
      </c>
      <c r="M738" t="s">
        <v>106</v>
      </c>
      <c r="N738" t="s">
        <v>25</v>
      </c>
      <c r="O738" s="3" t="str">
        <f t="shared" si="246"/>
        <v>Consumer</v>
      </c>
      <c r="P738" t="s">
        <v>72</v>
      </c>
      <c r="Q738" s="3" t="str">
        <f t="shared" si="247"/>
        <v>West</v>
      </c>
      <c r="R738" t="s">
        <v>73</v>
      </c>
      <c r="S738" t="s">
        <v>74</v>
      </c>
      <c r="T738" t="s">
        <v>44</v>
      </c>
      <c r="U738" s="3" t="str">
        <f t="shared" si="248"/>
        <v>Furniture</v>
      </c>
      <c r="V738" t="s">
        <v>75</v>
      </c>
      <c r="W738" t="s">
        <v>3425</v>
      </c>
      <c r="X738" t="s">
        <v>32</v>
      </c>
      <c r="Y738" s="3" t="str">
        <f t="shared" si="249"/>
        <v>Second Class</v>
      </c>
      <c r="Z738">
        <v>9</v>
      </c>
      <c r="AA738">
        <v>290.75</v>
      </c>
      <c r="AB738">
        <v>0.1</v>
      </c>
      <c r="AC738">
        <f t="shared" si="250"/>
        <v>0.1</v>
      </c>
      <c r="AD738" t="str">
        <f t="shared" si="253"/>
        <v>Valid</v>
      </c>
      <c r="AE738">
        <v>2355.08</v>
      </c>
      <c r="AF738">
        <v>1350.03</v>
      </c>
      <c r="AG738">
        <v>1005.05</v>
      </c>
      <c r="AH738" t="s">
        <v>33</v>
      </c>
      <c r="AI738" t="str">
        <f t="shared" si="254"/>
        <v>Include</v>
      </c>
      <c r="AJ738" t="str">
        <f t="shared" si="255"/>
        <v/>
      </c>
      <c r="AK738" t="s">
        <v>34</v>
      </c>
      <c r="AL738" t="str">
        <f t="shared" si="251"/>
        <v>Completed</v>
      </c>
      <c r="AM738" t="str">
        <f t="shared" si="256"/>
        <v>Include</v>
      </c>
      <c r="AN738">
        <f t="shared" si="257"/>
        <v>2355.0750000000003</v>
      </c>
      <c r="AO738">
        <f t="shared" si="258"/>
        <v>1005.0450000000003</v>
      </c>
      <c r="AP738">
        <f>IF(AN738=0,0,AO738/AN738)</f>
        <v>0.42675710964618968</v>
      </c>
      <c r="AQ738" t="str">
        <f t="shared" si="259"/>
        <v>December</v>
      </c>
      <c r="AR738">
        <f t="shared" si="260"/>
        <v>2024</v>
      </c>
      <c r="AS738" t="str">
        <f t="shared" si="261"/>
        <v>Clean</v>
      </c>
      <c r="AT738" t="str">
        <f>IF(OR(AC738&lt;0,AC738&gt;0.5),"Invalid Discount","Valid")</f>
        <v>Valid</v>
      </c>
      <c r="AU738" t="str">
        <f>IF(G738&lt;E738,"Invalid Shipping Record","Valid")</f>
        <v>Valid</v>
      </c>
      <c r="AV738" t="str">
        <f>IF(OR(AL738="Cancelled",AH738="Failed"),"Exclude","Include")</f>
        <v>Include</v>
      </c>
      <c r="AW738" t="str">
        <f t="shared" si="262"/>
        <v>Match</v>
      </c>
      <c r="AX738" t="str">
        <f t="shared" si="263"/>
        <v>Match</v>
      </c>
    </row>
    <row r="739" spans="1:50">
      <c r="A739" t="s">
        <v>3426</v>
      </c>
      <c r="B739">
        <f t="shared" si="264"/>
        <v>1</v>
      </c>
      <c r="C739" t="str">
        <f t="shared" si="252"/>
        <v/>
      </c>
      <c r="D739" s="3" t="s">
        <v>2248</v>
      </c>
      <c r="E739" s="7">
        <v>45332</v>
      </c>
      <c r="F739" s="3" t="s">
        <v>2128</v>
      </c>
      <c r="G739" s="7">
        <v>45332</v>
      </c>
      <c r="H739" s="7" t="str">
        <f t="shared" si="243"/>
        <v>Valid</v>
      </c>
      <c r="I739" s="9">
        <f t="shared" si="244"/>
        <v>0</v>
      </c>
      <c r="J739" s="9" t="str">
        <f t="shared" si="245"/>
        <v>Valid</v>
      </c>
      <c r="K739" t="s">
        <v>3427</v>
      </c>
      <c r="L739" t="s">
        <v>52</v>
      </c>
      <c r="M739" t="s">
        <v>52</v>
      </c>
      <c r="N739" t="s">
        <v>114</v>
      </c>
      <c r="O739" s="3" t="str">
        <f t="shared" si="246"/>
        <v>Home Office</v>
      </c>
      <c r="P739" t="s">
        <v>72</v>
      </c>
      <c r="Q739" s="3" t="str">
        <f t="shared" si="247"/>
        <v>West</v>
      </c>
      <c r="R739" t="s">
        <v>73</v>
      </c>
      <c r="S739" t="s">
        <v>74</v>
      </c>
      <c r="T739" t="s">
        <v>44</v>
      </c>
      <c r="U739" s="3" t="str">
        <f t="shared" si="248"/>
        <v>Furniture</v>
      </c>
      <c r="V739" t="s">
        <v>75</v>
      </c>
      <c r="W739" t="s">
        <v>3428</v>
      </c>
      <c r="X739" t="s">
        <v>47</v>
      </c>
      <c r="Y739" s="3" t="str">
        <f t="shared" si="249"/>
        <v>Same Day</v>
      </c>
      <c r="Z739">
        <v>6</v>
      </c>
      <c r="AA739">
        <v>601.52</v>
      </c>
      <c r="AB739">
        <v>0</v>
      </c>
      <c r="AC739">
        <f t="shared" si="250"/>
        <v>0</v>
      </c>
      <c r="AD739" t="str">
        <f t="shared" si="253"/>
        <v>Valid</v>
      </c>
      <c r="AE739">
        <v>3609.12</v>
      </c>
      <c r="AF739">
        <v>2645.5</v>
      </c>
      <c r="AG739">
        <v>963.62</v>
      </c>
      <c r="AH739" t="s">
        <v>33</v>
      </c>
      <c r="AI739" t="str">
        <f t="shared" si="254"/>
        <v>Include</v>
      </c>
      <c r="AJ739" t="str">
        <f t="shared" si="255"/>
        <v/>
      </c>
      <c r="AK739" t="s">
        <v>34</v>
      </c>
      <c r="AL739" t="str">
        <f t="shared" si="251"/>
        <v>Completed</v>
      </c>
      <c r="AM739" t="str">
        <f t="shared" si="256"/>
        <v>Include</v>
      </c>
      <c r="AN739">
        <f t="shared" si="257"/>
        <v>3609.12</v>
      </c>
      <c r="AO739">
        <f t="shared" si="258"/>
        <v>963.61999999999989</v>
      </c>
      <c r="AP739">
        <f>IF(AN739=0,0,AO739/AN739)</f>
        <v>0.2669958327791816</v>
      </c>
      <c r="AQ739" t="str">
        <f t="shared" si="259"/>
        <v>February</v>
      </c>
      <c r="AR739">
        <f t="shared" si="260"/>
        <v>2024</v>
      </c>
      <c r="AS739" t="str">
        <f t="shared" si="261"/>
        <v>Clean</v>
      </c>
      <c r="AT739" t="str">
        <f>IF(OR(AC739&lt;0,AC739&gt;0.5),"Invalid Discount","Valid")</f>
        <v>Valid</v>
      </c>
      <c r="AU739" t="str">
        <f>IF(G739&lt;E739,"Invalid Shipping Record","Valid")</f>
        <v>Valid</v>
      </c>
      <c r="AV739" t="str">
        <f>IF(OR(AL739="Cancelled",AH739="Failed"),"Exclude","Include")</f>
        <v>Include</v>
      </c>
      <c r="AW739" t="str">
        <f t="shared" si="262"/>
        <v>Match</v>
      </c>
      <c r="AX739" t="str">
        <f t="shared" si="263"/>
        <v>Match</v>
      </c>
    </row>
    <row r="740" spans="1:50">
      <c r="A740" t="s">
        <v>3429</v>
      </c>
      <c r="B740">
        <f t="shared" si="264"/>
        <v>1</v>
      </c>
      <c r="C740" t="str">
        <f t="shared" si="252"/>
        <v/>
      </c>
      <c r="D740" s="3" t="s">
        <v>1565</v>
      </c>
      <c r="E740" s="7">
        <v>45708</v>
      </c>
      <c r="F740" s="3" t="s">
        <v>3430</v>
      </c>
      <c r="G740" s="7">
        <v>45710</v>
      </c>
      <c r="H740" s="7" t="str">
        <f t="shared" si="243"/>
        <v>Valid</v>
      </c>
      <c r="I740" s="9">
        <f t="shared" si="244"/>
        <v>2</v>
      </c>
      <c r="J740" s="9" t="str">
        <f t="shared" si="245"/>
        <v>Valid</v>
      </c>
      <c r="K740" t="s">
        <v>3431</v>
      </c>
      <c r="L740" t="s">
        <v>141</v>
      </c>
      <c r="M740" t="s">
        <v>141</v>
      </c>
      <c r="N740" t="s">
        <v>107</v>
      </c>
      <c r="O740" s="3" t="str">
        <f t="shared" si="246"/>
        <v>Corporate</v>
      </c>
      <c r="P740" t="s">
        <v>61</v>
      </c>
      <c r="Q740" s="3" t="str">
        <f t="shared" si="247"/>
        <v>South</v>
      </c>
      <c r="R740" t="s">
        <v>241</v>
      </c>
      <c r="S740" t="s">
        <v>242</v>
      </c>
      <c r="T740" t="s">
        <v>29</v>
      </c>
      <c r="U740" s="3" t="str">
        <f t="shared" si="248"/>
        <v>Office Supplies</v>
      </c>
      <c r="V740" t="s">
        <v>30</v>
      </c>
      <c r="W740" t="s">
        <v>3432</v>
      </c>
      <c r="X740" t="s">
        <v>55</v>
      </c>
      <c r="Y740" s="3" t="str">
        <f t="shared" si="249"/>
        <v>First Class</v>
      </c>
      <c r="Z740">
        <v>1</v>
      </c>
      <c r="AA740">
        <v>2188.19</v>
      </c>
      <c r="AB740">
        <v>0</v>
      </c>
      <c r="AC740">
        <f t="shared" si="250"/>
        <v>0</v>
      </c>
      <c r="AD740" t="str">
        <f t="shared" si="253"/>
        <v>Valid</v>
      </c>
      <c r="AE740">
        <v>2188.19</v>
      </c>
      <c r="AF740">
        <v>1298.8399999999999</v>
      </c>
      <c r="AG740">
        <v>889.35</v>
      </c>
      <c r="AH740" t="s">
        <v>33</v>
      </c>
      <c r="AI740" t="str">
        <f t="shared" si="254"/>
        <v>Include</v>
      </c>
      <c r="AJ740" t="str">
        <f t="shared" si="255"/>
        <v/>
      </c>
      <c r="AK740" t="s">
        <v>34</v>
      </c>
      <c r="AL740" t="str">
        <f t="shared" si="251"/>
        <v>Completed</v>
      </c>
      <c r="AM740" t="str">
        <f t="shared" si="256"/>
        <v>Include</v>
      </c>
      <c r="AN740">
        <f t="shared" si="257"/>
        <v>2188.19</v>
      </c>
      <c r="AO740">
        <f t="shared" si="258"/>
        <v>889.35000000000014</v>
      </c>
      <c r="AP740">
        <f>IF(AN740=0,0,AO740/AN740)</f>
        <v>0.40643179979800664</v>
      </c>
      <c r="AQ740" t="str">
        <f t="shared" si="259"/>
        <v>February</v>
      </c>
      <c r="AR740">
        <f t="shared" si="260"/>
        <v>2025</v>
      </c>
      <c r="AS740" t="str">
        <f t="shared" si="261"/>
        <v>Clean</v>
      </c>
      <c r="AT740" t="str">
        <f>IF(OR(AC740&lt;0,AC740&gt;0.5),"Invalid Discount","Valid")</f>
        <v>Valid</v>
      </c>
      <c r="AU740" t="str">
        <f>IF(G740&lt;E740,"Invalid Shipping Record","Valid")</f>
        <v>Valid</v>
      </c>
      <c r="AV740" t="str">
        <f>IF(OR(AL740="Cancelled",AH740="Failed"),"Exclude","Include")</f>
        <v>Include</v>
      </c>
      <c r="AW740" t="str">
        <f t="shared" si="262"/>
        <v>Match</v>
      </c>
      <c r="AX740" t="str">
        <f t="shared" si="263"/>
        <v>Match</v>
      </c>
    </row>
    <row r="741" spans="1:50">
      <c r="A741" t="s">
        <v>3433</v>
      </c>
      <c r="B741">
        <f t="shared" si="264"/>
        <v>1</v>
      </c>
      <c r="C741" t="str">
        <f t="shared" si="252"/>
        <v/>
      </c>
      <c r="D741" s="3" t="s">
        <v>3434</v>
      </c>
      <c r="E741" s="7">
        <v>45629</v>
      </c>
      <c r="F741" s="3" t="s">
        <v>3435</v>
      </c>
      <c r="G741" s="7">
        <v>45636</v>
      </c>
      <c r="H741" s="7" t="str">
        <f t="shared" si="243"/>
        <v>Valid</v>
      </c>
      <c r="I741" s="9">
        <f t="shared" si="244"/>
        <v>7</v>
      </c>
      <c r="J741" s="9" t="str">
        <f t="shared" si="245"/>
        <v>Valid</v>
      </c>
      <c r="K741" t="s">
        <v>3436</v>
      </c>
      <c r="L741" t="s">
        <v>92</v>
      </c>
      <c r="M741" t="s">
        <v>92</v>
      </c>
      <c r="N741" t="s">
        <v>107</v>
      </c>
      <c r="O741" s="3" t="str">
        <f t="shared" si="246"/>
        <v>Corporate</v>
      </c>
      <c r="P741" t="s">
        <v>26</v>
      </c>
      <c r="Q741" s="3" t="str">
        <f t="shared" si="247"/>
        <v>North</v>
      </c>
      <c r="R741" t="s">
        <v>27</v>
      </c>
      <c r="S741" t="s">
        <v>28</v>
      </c>
      <c r="T741" t="s">
        <v>85</v>
      </c>
      <c r="U741" s="3" t="str">
        <f t="shared" si="248"/>
        <v>Technology</v>
      </c>
      <c r="V741" t="s">
        <v>222</v>
      </c>
      <c r="W741" t="s">
        <v>3437</v>
      </c>
      <c r="X741" t="s">
        <v>66</v>
      </c>
      <c r="Y741" s="3" t="str">
        <f t="shared" si="249"/>
        <v>Standard Class</v>
      </c>
      <c r="Z741">
        <v>5</v>
      </c>
      <c r="AA741">
        <v>2393.86</v>
      </c>
      <c r="AB741">
        <v>0.05</v>
      </c>
      <c r="AC741">
        <f t="shared" si="250"/>
        <v>0.05</v>
      </c>
      <c r="AD741" t="str">
        <f t="shared" si="253"/>
        <v>Valid</v>
      </c>
      <c r="AE741">
        <v>11370.84</v>
      </c>
      <c r="AF741">
        <v>7469.58</v>
      </c>
      <c r="AG741">
        <v>3901.26</v>
      </c>
      <c r="AH741" t="s">
        <v>33</v>
      </c>
      <c r="AI741" t="str">
        <f t="shared" si="254"/>
        <v>Include</v>
      </c>
      <c r="AJ741" t="str">
        <f t="shared" si="255"/>
        <v/>
      </c>
      <c r="AK741" t="s">
        <v>34</v>
      </c>
      <c r="AL741" t="str">
        <f t="shared" si="251"/>
        <v>Completed</v>
      </c>
      <c r="AM741" t="str">
        <f t="shared" si="256"/>
        <v>Include</v>
      </c>
      <c r="AN741">
        <f t="shared" si="257"/>
        <v>11370.835000000001</v>
      </c>
      <c r="AO741">
        <f t="shared" si="258"/>
        <v>3901.255000000001</v>
      </c>
      <c r="AP741">
        <f>IF(AN741=0,0,AO741/AN741)</f>
        <v>0.34309309738466881</v>
      </c>
      <c r="AQ741" t="str">
        <f t="shared" si="259"/>
        <v>December</v>
      </c>
      <c r="AR741">
        <f t="shared" si="260"/>
        <v>2024</v>
      </c>
      <c r="AS741" t="str">
        <f t="shared" si="261"/>
        <v>Clean</v>
      </c>
      <c r="AT741" t="str">
        <f>IF(OR(AC741&lt;0,AC741&gt;0.5),"Invalid Discount","Valid")</f>
        <v>Valid</v>
      </c>
      <c r="AU741" t="str">
        <f>IF(G741&lt;E741,"Invalid Shipping Record","Valid")</f>
        <v>Valid</v>
      </c>
      <c r="AV741" t="str">
        <f>IF(OR(AL741="Cancelled",AH741="Failed"),"Exclude","Include")</f>
        <v>Include</v>
      </c>
      <c r="AW741" t="str">
        <f t="shared" si="262"/>
        <v>Match</v>
      </c>
      <c r="AX741" t="str">
        <f t="shared" si="263"/>
        <v>Match</v>
      </c>
    </row>
    <row r="742" spans="1:50">
      <c r="A742" t="s">
        <v>3438</v>
      </c>
      <c r="B742">
        <f t="shared" si="264"/>
        <v>1</v>
      </c>
      <c r="C742" t="str">
        <f t="shared" si="252"/>
        <v/>
      </c>
      <c r="D742" s="3" t="s">
        <v>3439</v>
      </c>
      <c r="E742" s="7">
        <v>45384</v>
      </c>
      <c r="F742" s="3" t="s">
        <v>2169</v>
      </c>
      <c r="G742" s="7">
        <v>45384</v>
      </c>
      <c r="H742" s="7" t="str">
        <f t="shared" si="243"/>
        <v>Valid</v>
      </c>
      <c r="I742" s="9">
        <f t="shared" si="244"/>
        <v>0</v>
      </c>
      <c r="J742" s="9" t="str">
        <f t="shared" si="245"/>
        <v>Valid</v>
      </c>
      <c r="K742" t="s">
        <v>777</v>
      </c>
      <c r="L742" t="s">
        <v>167</v>
      </c>
      <c r="M742" t="s">
        <v>167</v>
      </c>
      <c r="N742" t="s">
        <v>40</v>
      </c>
      <c r="O742" s="3" t="str">
        <f t="shared" si="246"/>
        <v>Small Business</v>
      </c>
      <c r="P742" t="s">
        <v>72</v>
      </c>
      <c r="Q742" s="3" t="str">
        <f t="shared" si="247"/>
        <v>West</v>
      </c>
      <c r="R742" t="s">
        <v>73</v>
      </c>
      <c r="S742" t="s">
        <v>74</v>
      </c>
      <c r="T742" t="s">
        <v>44</v>
      </c>
      <c r="U742" s="3" t="str">
        <f t="shared" si="248"/>
        <v>Furniture</v>
      </c>
      <c r="V742" t="s">
        <v>75</v>
      </c>
      <c r="W742" t="s">
        <v>3440</v>
      </c>
      <c r="X742" t="s">
        <v>55</v>
      </c>
      <c r="Y742" s="3" t="str">
        <f t="shared" si="249"/>
        <v>First Class</v>
      </c>
      <c r="Z742">
        <v>4</v>
      </c>
      <c r="AA742">
        <v>2583</v>
      </c>
      <c r="AB742">
        <v>0.1</v>
      </c>
      <c r="AC742">
        <f t="shared" si="250"/>
        <v>0.1</v>
      </c>
      <c r="AD742" t="str">
        <f t="shared" si="253"/>
        <v>Valid</v>
      </c>
      <c r="AE742">
        <v>9298.7999999999993</v>
      </c>
      <c r="AF742">
        <v>6548.5</v>
      </c>
      <c r="AG742">
        <v>2750.3</v>
      </c>
      <c r="AH742" t="s">
        <v>33</v>
      </c>
      <c r="AI742" t="str">
        <f t="shared" si="254"/>
        <v>Include</v>
      </c>
      <c r="AJ742" t="str">
        <f t="shared" si="255"/>
        <v/>
      </c>
      <c r="AK742" t="s">
        <v>34</v>
      </c>
      <c r="AL742" t="str">
        <f t="shared" si="251"/>
        <v>Completed</v>
      </c>
      <c r="AM742" t="str">
        <f t="shared" si="256"/>
        <v>Include</v>
      </c>
      <c r="AN742">
        <f t="shared" si="257"/>
        <v>9298.8000000000011</v>
      </c>
      <c r="AO742">
        <f t="shared" si="258"/>
        <v>2750.3000000000011</v>
      </c>
      <c r="AP742">
        <f>IF(AN742=0,0,AO742/AN742)</f>
        <v>0.29576934658235482</v>
      </c>
      <c r="AQ742" t="str">
        <f t="shared" si="259"/>
        <v>April</v>
      </c>
      <c r="AR742">
        <f t="shared" si="260"/>
        <v>2024</v>
      </c>
      <c r="AS742" t="str">
        <f t="shared" si="261"/>
        <v>Clean</v>
      </c>
      <c r="AT742" t="str">
        <f>IF(OR(AC742&lt;0,AC742&gt;0.5),"Invalid Discount","Valid")</f>
        <v>Valid</v>
      </c>
      <c r="AU742" t="str">
        <f>IF(G742&lt;E742,"Invalid Shipping Record","Valid")</f>
        <v>Valid</v>
      </c>
      <c r="AV742" t="str">
        <f>IF(OR(AL742="Cancelled",AH742="Failed"),"Exclude","Include")</f>
        <v>Include</v>
      </c>
      <c r="AW742" t="str">
        <f t="shared" si="262"/>
        <v>Match</v>
      </c>
      <c r="AX742" t="str">
        <f t="shared" si="263"/>
        <v>Match</v>
      </c>
    </row>
    <row r="743" spans="1:50">
      <c r="A743" t="s">
        <v>3441</v>
      </c>
      <c r="B743">
        <f t="shared" si="264"/>
        <v>1</v>
      </c>
      <c r="C743" t="str">
        <f t="shared" si="252"/>
        <v/>
      </c>
      <c r="D743" s="3" t="s">
        <v>3442</v>
      </c>
      <c r="E743" s="7">
        <v>45770</v>
      </c>
      <c r="F743" s="3" t="s">
        <v>3443</v>
      </c>
      <c r="G743" s="7">
        <v>45772</v>
      </c>
      <c r="H743" s="7" t="str">
        <f t="shared" si="243"/>
        <v>Valid</v>
      </c>
      <c r="I743" s="9">
        <f t="shared" si="244"/>
        <v>2</v>
      </c>
      <c r="J743" s="9" t="str">
        <f t="shared" si="245"/>
        <v>Valid</v>
      </c>
      <c r="K743" t="s">
        <v>3444</v>
      </c>
      <c r="L743" t="s">
        <v>52</v>
      </c>
      <c r="M743" t="s">
        <v>52</v>
      </c>
      <c r="N743" t="s">
        <v>114</v>
      </c>
      <c r="O743" s="3" t="str">
        <f t="shared" si="246"/>
        <v>Home Office</v>
      </c>
      <c r="P743" t="s">
        <v>61</v>
      </c>
      <c r="Q743" s="3" t="str">
        <f t="shared" si="247"/>
        <v>South</v>
      </c>
      <c r="R743" t="s">
        <v>338</v>
      </c>
      <c r="S743" t="s">
        <v>339</v>
      </c>
      <c r="T743" t="s">
        <v>44</v>
      </c>
      <c r="U743" s="3" t="str">
        <f t="shared" si="248"/>
        <v>Furniture</v>
      </c>
      <c r="V743" t="s">
        <v>75</v>
      </c>
      <c r="W743" t="s">
        <v>3445</v>
      </c>
      <c r="X743" t="s">
        <v>32</v>
      </c>
      <c r="Y743" s="3" t="str">
        <f t="shared" si="249"/>
        <v>Second Class</v>
      </c>
      <c r="Z743">
        <v>3</v>
      </c>
      <c r="AA743">
        <v>2951.12</v>
      </c>
      <c r="AC743">
        <f t="shared" si="250"/>
        <v>0</v>
      </c>
      <c r="AD743" t="str">
        <f t="shared" si="253"/>
        <v>Valid</v>
      </c>
      <c r="AE743">
        <v>7082.69</v>
      </c>
      <c r="AF743">
        <v>5596.34</v>
      </c>
      <c r="AG743">
        <v>1486.35</v>
      </c>
      <c r="AH743" t="s">
        <v>33</v>
      </c>
      <c r="AI743" t="str">
        <f t="shared" si="254"/>
        <v>Exclude</v>
      </c>
      <c r="AJ743" t="str">
        <f t="shared" si="255"/>
        <v/>
      </c>
      <c r="AK743" t="s">
        <v>77</v>
      </c>
      <c r="AL743" t="str">
        <f t="shared" si="251"/>
        <v>Cancelled</v>
      </c>
      <c r="AM743" t="str">
        <f t="shared" si="256"/>
        <v>Exclude</v>
      </c>
      <c r="AN743">
        <f t="shared" si="257"/>
        <v>8853.36</v>
      </c>
      <c r="AO743">
        <f t="shared" si="258"/>
        <v>3257.0200000000004</v>
      </c>
      <c r="AP743">
        <f>IF(AN743=0,0,AO743/AN743)</f>
        <v>0.36788518709280998</v>
      </c>
      <c r="AQ743" t="str">
        <f t="shared" si="259"/>
        <v>April</v>
      </c>
      <c r="AR743">
        <f t="shared" si="260"/>
        <v>2025</v>
      </c>
      <c r="AS743" t="str">
        <f t="shared" si="261"/>
        <v>Clean</v>
      </c>
      <c r="AT743" t="str">
        <f>IF(OR(AC743&lt;0,AC743&gt;0.5),"Invalid Discount","Valid")</f>
        <v>Valid</v>
      </c>
      <c r="AU743" t="str">
        <f>IF(G743&lt;E743,"Invalid Shipping Record","Valid")</f>
        <v>Valid</v>
      </c>
      <c r="AV743" t="str">
        <f>IF(OR(AL743="Cancelled",AH743="Failed"),"Exclude","Include")</f>
        <v>Exclude</v>
      </c>
      <c r="AW743" t="str">
        <f t="shared" si="262"/>
        <v>Mismatch</v>
      </c>
      <c r="AX743" t="str">
        <f t="shared" si="263"/>
        <v>Mismatch</v>
      </c>
    </row>
    <row r="744" spans="1:50">
      <c r="A744" t="s">
        <v>3446</v>
      </c>
      <c r="B744">
        <f t="shared" si="264"/>
        <v>1</v>
      </c>
      <c r="C744" t="str">
        <f t="shared" si="252"/>
        <v/>
      </c>
      <c r="D744" s="3" t="s">
        <v>3447</v>
      </c>
      <c r="E744" s="7">
        <v>45580</v>
      </c>
      <c r="F744" s="3" t="s">
        <v>3448</v>
      </c>
      <c r="G744" s="7">
        <v>45587</v>
      </c>
      <c r="H744" s="7" t="str">
        <f t="shared" si="243"/>
        <v>Valid</v>
      </c>
      <c r="I744" s="9">
        <f t="shared" si="244"/>
        <v>7</v>
      </c>
      <c r="J744" s="9" t="str">
        <f t="shared" si="245"/>
        <v>Valid</v>
      </c>
      <c r="K744" t="s">
        <v>3449</v>
      </c>
      <c r="L744" t="s">
        <v>24</v>
      </c>
      <c r="M744" t="s">
        <v>24</v>
      </c>
      <c r="N744" t="s">
        <v>107</v>
      </c>
      <c r="O744" s="3" t="str">
        <f t="shared" si="246"/>
        <v>Corporate</v>
      </c>
      <c r="P744" t="s">
        <v>3450</v>
      </c>
      <c r="Q744" s="3" t="str">
        <f t="shared" si="247"/>
        <v>East</v>
      </c>
      <c r="R744" t="s">
        <v>42</v>
      </c>
      <c r="S744" t="s">
        <v>43</v>
      </c>
      <c r="T744" t="s">
        <v>29</v>
      </c>
      <c r="U744" s="3" t="str">
        <f t="shared" si="248"/>
        <v>Office Supplies</v>
      </c>
      <c r="V744" t="s">
        <v>30</v>
      </c>
      <c r="W744" t="s">
        <v>3451</v>
      </c>
      <c r="X744" t="s">
        <v>66</v>
      </c>
      <c r="Y744" s="3" t="str">
        <f t="shared" si="249"/>
        <v>Standard Class</v>
      </c>
      <c r="Z744">
        <v>4</v>
      </c>
      <c r="AA744">
        <v>2260.9499999999998</v>
      </c>
      <c r="AB744">
        <v>0</v>
      </c>
      <c r="AC744">
        <f t="shared" si="250"/>
        <v>0</v>
      </c>
      <c r="AD744" t="str">
        <f t="shared" si="253"/>
        <v>Valid</v>
      </c>
      <c r="AE744">
        <v>9043.7999999999993</v>
      </c>
      <c r="AF744">
        <v>5913.38</v>
      </c>
      <c r="AG744">
        <v>3130.42</v>
      </c>
      <c r="AH744" t="s">
        <v>33</v>
      </c>
      <c r="AI744" t="str">
        <f t="shared" si="254"/>
        <v>Include</v>
      </c>
      <c r="AJ744" t="str">
        <f t="shared" si="255"/>
        <v/>
      </c>
      <c r="AK744" t="s">
        <v>34</v>
      </c>
      <c r="AL744" t="str">
        <f t="shared" si="251"/>
        <v>Completed</v>
      </c>
      <c r="AM744" t="str">
        <f t="shared" si="256"/>
        <v>Include</v>
      </c>
      <c r="AN744">
        <f t="shared" si="257"/>
        <v>9043.7999999999993</v>
      </c>
      <c r="AO744">
        <f t="shared" si="258"/>
        <v>3130.4199999999992</v>
      </c>
      <c r="AP744">
        <f>IF(AN744=0,0,AO744/AN744)</f>
        <v>0.34613989694597397</v>
      </c>
      <c r="AQ744" t="str">
        <f t="shared" si="259"/>
        <v>October</v>
      </c>
      <c r="AR744">
        <f t="shared" si="260"/>
        <v>2024</v>
      </c>
      <c r="AS744" t="str">
        <f t="shared" si="261"/>
        <v>Clean</v>
      </c>
      <c r="AT744" t="str">
        <f>IF(OR(AC744&lt;0,AC744&gt;0.5),"Invalid Discount","Valid")</f>
        <v>Valid</v>
      </c>
      <c r="AU744" t="str">
        <f>IF(G744&lt;E744,"Invalid Shipping Record","Valid")</f>
        <v>Valid</v>
      </c>
      <c r="AV744" t="str">
        <f>IF(OR(AL744="Cancelled",AH744="Failed"),"Exclude","Include")</f>
        <v>Include</v>
      </c>
      <c r="AW744" t="str">
        <f t="shared" si="262"/>
        <v>Match</v>
      </c>
      <c r="AX744" t="str">
        <f t="shared" si="263"/>
        <v>Match</v>
      </c>
    </row>
    <row r="745" spans="1:50">
      <c r="A745" t="s">
        <v>3452</v>
      </c>
      <c r="B745">
        <f t="shared" si="264"/>
        <v>1</v>
      </c>
      <c r="C745" t="str">
        <f t="shared" si="252"/>
        <v/>
      </c>
      <c r="D745" s="3" t="s">
        <v>1396</v>
      </c>
      <c r="E745" s="7">
        <v>45700</v>
      </c>
      <c r="F745" s="3" t="s">
        <v>1939</v>
      </c>
      <c r="G745" s="7">
        <v>45702</v>
      </c>
      <c r="H745" s="7" t="str">
        <f t="shared" si="243"/>
        <v>Valid</v>
      </c>
      <c r="I745" s="9">
        <f t="shared" si="244"/>
        <v>2</v>
      </c>
      <c r="J745" s="9" t="str">
        <f t="shared" si="245"/>
        <v>Valid</v>
      </c>
      <c r="K745" t="s">
        <v>3453</v>
      </c>
      <c r="L745" t="s">
        <v>167</v>
      </c>
      <c r="M745" t="s">
        <v>167</v>
      </c>
      <c r="N745" t="s">
        <v>25</v>
      </c>
      <c r="O745" s="3" t="str">
        <f t="shared" si="246"/>
        <v>Consumer</v>
      </c>
      <c r="P745" t="s">
        <v>26</v>
      </c>
      <c r="Q745" s="3" t="str">
        <f t="shared" si="247"/>
        <v>North</v>
      </c>
      <c r="R745" t="s">
        <v>173</v>
      </c>
      <c r="S745" t="s">
        <v>174</v>
      </c>
      <c r="T745" t="s">
        <v>29</v>
      </c>
      <c r="U745" s="3" t="str">
        <f t="shared" si="248"/>
        <v>Office Supplies</v>
      </c>
      <c r="V745" t="s">
        <v>53</v>
      </c>
      <c r="W745" t="s">
        <v>3454</v>
      </c>
      <c r="X745" t="s">
        <v>66</v>
      </c>
      <c r="Y745" s="3" t="str">
        <f t="shared" si="249"/>
        <v>Standard Class</v>
      </c>
      <c r="Z745">
        <v>6</v>
      </c>
      <c r="AA745">
        <v>491.4</v>
      </c>
      <c r="AB745">
        <v>0.25</v>
      </c>
      <c r="AC745">
        <f t="shared" si="250"/>
        <v>0.25</v>
      </c>
      <c r="AD745" t="str">
        <f t="shared" si="253"/>
        <v>Valid</v>
      </c>
      <c r="AE745">
        <v>2211.3000000000002</v>
      </c>
      <c r="AF745">
        <v>1735.64</v>
      </c>
      <c r="AG745">
        <v>475.66</v>
      </c>
      <c r="AH745" t="s">
        <v>33</v>
      </c>
      <c r="AI745" t="str">
        <f t="shared" si="254"/>
        <v>Include</v>
      </c>
      <c r="AJ745" t="str">
        <f t="shared" si="255"/>
        <v/>
      </c>
      <c r="AK745" t="s">
        <v>34</v>
      </c>
      <c r="AL745" t="str">
        <f t="shared" si="251"/>
        <v>Completed</v>
      </c>
      <c r="AM745" t="str">
        <f t="shared" si="256"/>
        <v>Include</v>
      </c>
      <c r="AN745">
        <f t="shared" si="257"/>
        <v>2211.2999999999997</v>
      </c>
      <c r="AO745">
        <f t="shared" si="258"/>
        <v>475.65999999999963</v>
      </c>
      <c r="AP745">
        <f>IF(AN745=0,0,AO745/AN745)</f>
        <v>0.21510423732645942</v>
      </c>
      <c r="AQ745" t="str">
        <f t="shared" si="259"/>
        <v>February</v>
      </c>
      <c r="AR745">
        <f t="shared" si="260"/>
        <v>2025</v>
      </c>
      <c r="AS745" t="str">
        <f t="shared" si="261"/>
        <v>Clean</v>
      </c>
      <c r="AT745" t="str">
        <f>IF(OR(AC745&lt;0,AC745&gt;0.5),"Invalid Discount","Valid")</f>
        <v>Valid</v>
      </c>
      <c r="AU745" t="str">
        <f>IF(G745&lt;E745,"Invalid Shipping Record","Valid")</f>
        <v>Valid</v>
      </c>
      <c r="AV745" t="str">
        <f>IF(OR(AL745="Cancelled",AH745="Failed"),"Exclude","Include")</f>
        <v>Include</v>
      </c>
      <c r="AW745" t="str">
        <f t="shared" si="262"/>
        <v>Match</v>
      </c>
      <c r="AX745" t="str">
        <f t="shared" si="263"/>
        <v>Match</v>
      </c>
    </row>
    <row r="746" spans="1:50">
      <c r="A746" t="s">
        <v>3455</v>
      </c>
      <c r="B746">
        <f t="shared" si="264"/>
        <v>1</v>
      </c>
      <c r="C746" t="str">
        <f t="shared" si="252"/>
        <v/>
      </c>
      <c r="D746" s="3" t="s">
        <v>3456</v>
      </c>
      <c r="E746" s="7">
        <v>45886</v>
      </c>
      <c r="F746" s="3" t="s">
        <v>1469</v>
      </c>
      <c r="G746" s="7">
        <v>45889</v>
      </c>
      <c r="H746" s="7" t="str">
        <f t="shared" si="243"/>
        <v>Valid</v>
      </c>
      <c r="I746" s="9">
        <f t="shared" si="244"/>
        <v>3</v>
      </c>
      <c r="J746" s="9" t="str">
        <f t="shared" si="245"/>
        <v>Valid</v>
      </c>
      <c r="K746" t="s">
        <v>3457</v>
      </c>
      <c r="L746" t="s">
        <v>39</v>
      </c>
      <c r="M746" t="s">
        <v>39</v>
      </c>
      <c r="N746" t="s">
        <v>114</v>
      </c>
      <c r="O746" s="3" t="str">
        <f t="shared" si="246"/>
        <v>Home Office</v>
      </c>
      <c r="P746" t="s">
        <v>26</v>
      </c>
      <c r="Q746" s="3" t="str">
        <f t="shared" si="247"/>
        <v>North</v>
      </c>
      <c r="R746" t="s">
        <v>153</v>
      </c>
      <c r="S746" t="s">
        <v>154</v>
      </c>
      <c r="T746" t="s">
        <v>29</v>
      </c>
      <c r="U746" s="3" t="str">
        <f t="shared" si="248"/>
        <v>Office Supplies</v>
      </c>
      <c r="V746" t="s">
        <v>197</v>
      </c>
      <c r="W746" t="s">
        <v>3458</v>
      </c>
      <c r="X746" t="s">
        <v>55</v>
      </c>
      <c r="Y746" s="3" t="str">
        <f t="shared" si="249"/>
        <v>First Class</v>
      </c>
      <c r="Z746">
        <v>5</v>
      </c>
      <c r="AA746">
        <v>2701.89</v>
      </c>
      <c r="AB746">
        <v>0.1</v>
      </c>
      <c r="AC746">
        <f t="shared" si="250"/>
        <v>0.1</v>
      </c>
      <c r="AD746" t="str">
        <f t="shared" si="253"/>
        <v>Valid</v>
      </c>
      <c r="AE746">
        <v>12158.5</v>
      </c>
      <c r="AF746">
        <v>10260.07</v>
      </c>
      <c r="AG746">
        <v>1898.43</v>
      </c>
      <c r="AH746" t="s">
        <v>33</v>
      </c>
      <c r="AI746" t="str">
        <f t="shared" si="254"/>
        <v>Exclude</v>
      </c>
      <c r="AJ746" t="str">
        <f t="shared" si="255"/>
        <v/>
      </c>
      <c r="AK746" t="s">
        <v>77</v>
      </c>
      <c r="AL746" t="str">
        <f t="shared" si="251"/>
        <v>Cancelled</v>
      </c>
      <c r="AM746" t="str">
        <f t="shared" si="256"/>
        <v>Exclude</v>
      </c>
      <c r="AN746">
        <f t="shared" si="257"/>
        <v>12158.504999999999</v>
      </c>
      <c r="AO746">
        <f t="shared" si="258"/>
        <v>1898.4349999999995</v>
      </c>
      <c r="AP746">
        <f>IF(AN746=0,0,AO746/AN746)</f>
        <v>0.15614049589155901</v>
      </c>
      <c r="AQ746" t="str">
        <f t="shared" si="259"/>
        <v>August</v>
      </c>
      <c r="AR746">
        <f t="shared" si="260"/>
        <v>2025</v>
      </c>
      <c r="AS746" t="str">
        <f t="shared" si="261"/>
        <v>Clean</v>
      </c>
      <c r="AT746" t="str">
        <f>IF(OR(AC746&lt;0,AC746&gt;0.5),"Invalid Discount","Valid")</f>
        <v>Valid</v>
      </c>
      <c r="AU746" t="str">
        <f>IF(G746&lt;E746,"Invalid Shipping Record","Valid")</f>
        <v>Valid</v>
      </c>
      <c r="AV746" t="str">
        <f>IF(OR(AL746="Cancelled",AH746="Failed"),"Exclude","Include")</f>
        <v>Exclude</v>
      </c>
      <c r="AW746" t="str">
        <f t="shared" si="262"/>
        <v>Mismatch</v>
      </c>
      <c r="AX746" t="str">
        <f t="shared" si="263"/>
        <v>Mismatch</v>
      </c>
    </row>
    <row r="747" spans="1:50">
      <c r="A747" t="s">
        <v>3459</v>
      </c>
      <c r="B747">
        <f t="shared" si="264"/>
        <v>1</v>
      </c>
      <c r="C747" t="str">
        <f t="shared" si="252"/>
        <v/>
      </c>
      <c r="D747" s="3" t="s">
        <v>3460</v>
      </c>
      <c r="E747" s="7">
        <v>45589</v>
      </c>
      <c r="F747" s="3" t="s">
        <v>3461</v>
      </c>
      <c r="G747" s="7">
        <v>45593</v>
      </c>
      <c r="H747" s="7" t="str">
        <f t="shared" si="243"/>
        <v>Valid</v>
      </c>
      <c r="I747" s="9">
        <f t="shared" si="244"/>
        <v>4</v>
      </c>
      <c r="J747" s="9" t="str">
        <f t="shared" si="245"/>
        <v>Valid</v>
      </c>
      <c r="K747" t="s">
        <v>3462</v>
      </c>
      <c r="L747" t="s">
        <v>39</v>
      </c>
      <c r="M747" t="s">
        <v>39</v>
      </c>
      <c r="N747" t="s">
        <v>40</v>
      </c>
      <c r="O747" s="3" t="str">
        <f t="shared" si="246"/>
        <v>Small Business</v>
      </c>
      <c r="P747" t="s">
        <v>41</v>
      </c>
      <c r="Q747" s="3" t="str">
        <f t="shared" si="247"/>
        <v>East</v>
      </c>
      <c r="R747" t="s">
        <v>215</v>
      </c>
      <c r="S747" t="s">
        <v>216</v>
      </c>
      <c r="T747" t="s">
        <v>85</v>
      </c>
      <c r="U747" s="3" t="str">
        <f t="shared" si="248"/>
        <v>Technology</v>
      </c>
      <c r="V747" t="s">
        <v>93</v>
      </c>
      <c r="W747" t="s">
        <v>3463</v>
      </c>
      <c r="X747" t="s">
        <v>66</v>
      </c>
      <c r="Y747" s="3" t="str">
        <f t="shared" si="249"/>
        <v>Standard Class</v>
      </c>
      <c r="Z747">
        <v>3</v>
      </c>
      <c r="AA747">
        <v>723.59</v>
      </c>
      <c r="AB747">
        <v>0.2</v>
      </c>
      <c r="AC747">
        <f t="shared" si="250"/>
        <v>0.2</v>
      </c>
      <c r="AD747" t="str">
        <f t="shared" si="253"/>
        <v>Valid</v>
      </c>
      <c r="AE747">
        <v>1736.62</v>
      </c>
      <c r="AF747">
        <v>1059.52</v>
      </c>
      <c r="AG747">
        <v>677.1</v>
      </c>
      <c r="AH747" t="s">
        <v>33</v>
      </c>
      <c r="AI747" t="str">
        <f t="shared" si="254"/>
        <v>Include</v>
      </c>
      <c r="AJ747" t="str">
        <f t="shared" si="255"/>
        <v/>
      </c>
      <c r="AK747" t="s">
        <v>34</v>
      </c>
      <c r="AL747" t="str">
        <f t="shared" si="251"/>
        <v>Completed</v>
      </c>
      <c r="AM747" t="str">
        <f t="shared" si="256"/>
        <v>Include</v>
      </c>
      <c r="AN747">
        <f t="shared" si="257"/>
        <v>1736.616</v>
      </c>
      <c r="AO747">
        <f t="shared" si="258"/>
        <v>677.096</v>
      </c>
      <c r="AP747">
        <f>IF(AN747=0,0,AO747/AN747)</f>
        <v>0.38989390861307277</v>
      </c>
      <c r="AQ747" t="str">
        <f t="shared" si="259"/>
        <v>October</v>
      </c>
      <c r="AR747">
        <f t="shared" si="260"/>
        <v>2024</v>
      </c>
      <c r="AS747" t="str">
        <f t="shared" si="261"/>
        <v>Clean</v>
      </c>
      <c r="AT747" t="str">
        <f>IF(OR(AC747&lt;0,AC747&gt;0.5),"Invalid Discount","Valid")</f>
        <v>Valid</v>
      </c>
      <c r="AU747" t="str">
        <f>IF(G747&lt;E747,"Invalid Shipping Record","Valid")</f>
        <v>Valid</v>
      </c>
      <c r="AV747" t="str">
        <f>IF(OR(AL747="Cancelled",AH747="Failed"),"Exclude","Include")</f>
        <v>Include</v>
      </c>
      <c r="AW747" t="str">
        <f t="shared" si="262"/>
        <v>Match</v>
      </c>
      <c r="AX747" t="str">
        <f t="shared" si="263"/>
        <v>Match</v>
      </c>
    </row>
    <row r="748" spans="1:50">
      <c r="A748" t="s">
        <v>3464</v>
      </c>
      <c r="B748">
        <f t="shared" si="264"/>
        <v>1</v>
      </c>
      <c r="C748" t="str">
        <f t="shared" si="252"/>
        <v/>
      </c>
      <c r="D748" s="3" t="s">
        <v>1347</v>
      </c>
      <c r="E748" s="7">
        <v>45661</v>
      </c>
      <c r="F748" s="3" t="s">
        <v>3465</v>
      </c>
      <c r="G748" s="7">
        <v>45667</v>
      </c>
      <c r="H748" s="7" t="str">
        <f t="shared" si="243"/>
        <v>Valid</v>
      </c>
      <c r="I748" s="9">
        <f t="shared" si="244"/>
        <v>6</v>
      </c>
      <c r="J748" s="9" t="str">
        <f t="shared" si="245"/>
        <v>Valid</v>
      </c>
      <c r="K748" t="s">
        <v>3052</v>
      </c>
      <c r="L748" t="s">
        <v>161</v>
      </c>
      <c r="M748" t="s">
        <v>161</v>
      </c>
      <c r="N748" t="s">
        <v>114</v>
      </c>
      <c r="O748" s="3" t="str">
        <f t="shared" si="246"/>
        <v>Home Office</v>
      </c>
      <c r="P748" t="s">
        <v>41</v>
      </c>
      <c r="Q748" s="3" t="str">
        <f t="shared" si="247"/>
        <v>East</v>
      </c>
      <c r="R748" t="s">
        <v>120</v>
      </c>
      <c r="S748" t="s">
        <v>121</v>
      </c>
      <c r="T748" t="s">
        <v>29</v>
      </c>
      <c r="U748" s="3" t="str">
        <f t="shared" si="248"/>
        <v>Office Supplies</v>
      </c>
      <c r="V748" t="s">
        <v>30</v>
      </c>
      <c r="W748" t="s">
        <v>3466</v>
      </c>
      <c r="X748" t="s">
        <v>66</v>
      </c>
      <c r="Y748" s="3" t="str">
        <f t="shared" si="249"/>
        <v>Standard Class</v>
      </c>
      <c r="Z748">
        <v>4</v>
      </c>
      <c r="AA748">
        <v>2583.19</v>
      </c>
      <c r="AB748">
        <v>0.2</v>
      </c>
      <c r="AC748">
        <f t="shared" si="250"/>
        <v>0.2</v>
      </c>
      <c r="AD748" t="str">
        <f t="shared" si="253"/>
        <v>Valid</v>
      </c>
      <c r="AE748">
        <v>8266.2099999999991</v>
      </c>
      <c r="AF748">
        <v>6236.32</v>
      </c>
      <c r="AG748">
        <v>2029.89</v>
      </c>
      <c r="AH748" t="s">
        <v>33</v>
      </c>
      <c r="AI748" t="str">
        <f t="shared" si="254"/>
        <v>Include</v>
      </c>
      <c r="AJ748" t="str">
        <f t="shared" si="255"/>
        <v/>
      </c>
      <c r="AK748" t="s">
        <v>34</v>
      </c>
      <c r="AL748" t="str">
        <f t="shared" si="251"/>
        <v>Completed</v>
      </c>
      <c r="AM748" t="str">
        <f t="shared" si="256"/>
        <v>Include</v>
      </c>
      <c r="AN748">
        <f t="shared" si="257"/>
        <v>8266.2080000000005</v>
      </c>
      <c r="AO748">
        <f t="shared" si="258"/>
        <v>2029.8880000000008</v>
      </c>
      <c r="AP748">
        <f>IF(AN748=0,0,AO748/AN748)</f>
        <v>0.24556459261610653</v>
      </c>
      <c r="AQ748" t="str">
        <f t="shared" si="259"/>
        <v>January</v>
      </c>
      <c r="AR748">
        <f t="shared" si="260"/>
        <v>2025</v>
      </c>
      <c r="AS748" t="str">
        <f t="shared" si="261"/>
        <v>Clean</v>
      </c>
      <c r="AT748" t="str">
        <f>IF(OR(AC748&lt;0,AC748&gt;0.5),"Invalid Discount","Valid")</f>
        <v>Valid</v>
      </c>
      <c r="AU748" t="str">
        <f>IF(G748&lt;E748,"Invalid Shipping Record","Valid")</f>
        <v>Valid</v>
      </c>
      <c r="AV748" t="str">
        <f>IF(OR(AL748="Cancelled",AH748="Failed"),"Exclude","Include")</f>
        <v>Include</v>
      </c>
      <c r="AW748" t="str">
        <f t="shared" si="262"/>
        <v>Match</v>
      </c>
      <c r="AX748" t="str">
        <f t="shared" si="263"/>
        <v>Match</v>
      </c>
    </row>
    <row r="749" spans="1:50">
      <c r="A749" t="s">
        <v>3467</v>
      </c>
      <c r="B749">
        <f t="shared" si="264"/>
        <v>1</v>
      </c>
      <c r="C749" t="str">
        <f t="shared" si="252"/>
        <v/>
      </c>
      <c r="D749" s="3" t="s">
        <v>3468</v>
      </c>
      <c r="E749" s="7">
        <v>45413</v>
      </c>
      <c r="F749" s="3" t="s">
        <v>3469</v>
      </c>
      <c r="G749" s="7">
        <v>45419</v>
      </c>
      <c r="H749" s="7" t="str">
        <f t="shared" si="243"/>
        <v>Valid</v>
      </c>
      <c r="I749" s="9">
        <f t="shared" si="244"/>
        <v>6</v>
      </c>
      <c r="J749" s="9" t="str">
        <f t="shared" si="245"/>
        <v>Valid</v>
      </c>
      <c r="K749" t="s">
        <v>3470</v>
      </c>
      <c r="L749" t="s">
        <v>52</v>
      </c>
      <c r="M749" t="s">
        <v>52</v>
      </c>
      <c r="N749" t="s">
        <v>114</v>
      </c>
      <c r="O749" s="3" t="str">
        <f t="shared" si="246"/>
        <v>Home Office</v>
      </c>
      <c r="P749" t="s">
        <v>41</v>
      </c>
      <c r="Q749" s="3" t="str">
        <f t="shared" si="247"/>
        <v>East</v>
      </c>
      <c r="R749" t="s">
        <v>42</v>
      </c>
      <c r="S749" t="s">
        <v>43</v>
      </c>
      <c r="T749" t="s">
        <v>29</v>
      </c>
      <c r="U749" s="3" t="str">
        <f t="shared" si="248"/>
        <v>Office Supplies</v>
      </c>
      <c r="V749" t="s">
        <v>30</v>
      </c>
      <c r="W749" t="s">
        <v>3471</v>
      </c>
      <c r="X749" t="s">
        <v>47</v>
      </c>
      <c r="Y749" s="3" t="str">
        <f t="shared" si="249"/>
        <v>Same Day</v>
      </c>
      <c r="Z749">
        <v>8</v>
      </c>
      <c r="AA749">
        <v>1473.83</v>
      </c>
      <c r="AB749">
        <v>0.15</v>
      </c>
      <c r="AC749">
        <f t="shared" si="250"/>
        <v>0.15</v>
      </c>
      <c r="AD749" t="str">
        <f t="shared" si="253"/>
        <v>Valid</v>
      </c>
      <c r="AE749">
        <v>10022.040000000001</v>
      </c>
      <c r="AF749">
        <v>5576.98</v>
      </c>
      <c r="AG749">
        <v>4445.0600000000004</v>
      </c>
      <c r="AH749" t="s">
        <v>33</v>
      </c>
      <c r="AI749" t="str">
        <f t="shared" si="254"/>
        <v>Include</v>
      </c>
      <c r="AJ749" t="str">
        <f t="shared" si="255"/>
        <v/>
      </c>
      <c r="AK749" t="s">
        <v>34</v>
      </c>
      <c r="AL749" t="str">
        <f t="shared" si="251"/>
        <v>Completed</v>
      </c>
      <c r="AM749" t="str">
        <f t="shared" si="256"/>
        <v>Include</v>
      </c>
      <c r="AN749">
        <f t="shared" si="257"/>
        <v>10022.044</v>
      </c>
      <c r="AO749">
        <f t="shared" si="258"/>
        <v>4445.0640000000003</v>
      </c>
      <c r="AP749">
        <f>IF(AN749=0,0,AO749/AN749)</f>
        <v>0.44352868536597928</v>
      </c>
      <c r="AQ749" t="str">
        <f t="shared" si="259"/>
        <v>May</v>
      </c>
      <c r="AR749">
        <f t="shared" si="260"/>
        <v>2024</v>
      </c>
      <c r="AS749" t="str">
        <f t="shared" si="261"/>
        <v>Clean</v>
      </c>
      <c r="AT749" t="str">
        <f>IF(OR(AC749&lt;0,AC749&gt;0.5),"Invalid Discount","Valid")</f>
        <v>Valid</v>
      </c>
      <c r="AU749" t="str">
        <f>IF(G749&lt;E749,"Invalid Shipping Record","Valid")</f>
        <v>Valid</v>
      </c>
      <c r="AV749" t="str">
        <f>IF(OR(AL749="Cancelled",AH749="Failed"),"Exclude","Include")</f>
        <v>Include</v>
      </c>
      <c r="AW749" t="str">
        <f t="shared" si="262"/>
        <v>Match</v>
      </c>
      <c r="AX749" t="str">
        <f t="shared" si="263"/>
        <v>Match</v>
      </c>
    </row>
    <row r="750" spans="1:50">
      <c r="A750" t="s">
        <v>3472</v>
      </c>
      <c r="B750">
        <f t="shared" si="264"/>
        <v>1</v>
      </c>
      <c r="C750" t="str">
        <f t="shared" si="252"/>
        <v/>
      </c>
      <c r="D750" s="3" t="s">
        <v>3473</v>
      </c>
      <c r="E750" s="7">
        <v>45442</v>
      </c>
      <c r="F750" s="3" t="s">
        <v>3474</v>
      </c>
      <c r="G750" s="7">
        <v>45442</v>
      </c>
      <c r="H750" s="7" t="str">
        <f t="shared" si="243"/>
        <v>Valid</v>
      </c>
      <c r="I750" s="9">
        <f t="shared" si="244"/>
        <v>0</v>
      </c>
      <c r="J750" s="9" t="str">
        <f t="shared" si="245"/>
        <v>Valid</v>
      </c>
      <c r="K750" t="s">
        <v>3475</v>
      </c>
      <c r="L750" t="s">
        <v>209</v>
      </c>
      <c r="M750" t="s">
        <v>209</v>
      </c>
      <c r="N750" t="s">
        <v>114</v>
      </c>
      <c r="O750" s="3" t="str">
        <f t="shared" si="246"/>
        <v>Home Office</v>
      </c>
      <c r="P750" t="s">
        <v>26</v>
      </c>
      <c r="Q750" s="3" t="str">
        <f t="shared" si="247"/>
        <v>North</v>
      </c>
      <c r="R750" t="s">
        <v>322</v>
      </c>
      <c r="S750" t="s">
        <v>323</v>
      </c>
      <c r="T750" t="s">
        <v>85</v>
      </c>
      <c r="U750" s="3" t="str">
        <f t="shared" si="248"/>
        <v>Technology</v>
      </c>
      <c r="V750" t="s">
        <v>222</v>
      </c>
      <c r="W750" t="s">
        <v>3476</v>
      </c>
      <c r="X750" t="s">
        <v>32</v>
      </c>
      <c r="Y750" s="3" t="str">
        <f t="shared" si="249"/>
        <v>Second Class</v>
      </c>
      <c r="Z750">
        <v>1</v>
      </c>
      <c r="AA750">
        <v>3848.04</v>
      </c>
      <c r="AB750">
        <v>0.25</v>
      </c>
      <c r="AC750">
        <f t="shared" si="250"/>
        <v>0.25</v>
      </c>
      <c r="AD750" t="str">
        <f t="shared" si="253"/>
        <v>Valid</v>
      </c>
      <c r="AE750">
        <v>2886.03</v>
      </c>
      <c r="AF750">
        <v>2064.83</v>
      </c>
      <c r="AG750">
        <v>821.2</v>
      </c>
      <c r="AH750" t="s">
        <v>33</v>
      </c>
      <c r="AI750" t="str">
        <f t="shared" si="254"/>
        <v>Include</v>
      </c>
      <c r="AJ750" t="str">
        <f t="shared" si="255"/>
        <v/>
      </c>
      <c r="AK750" t="s">
        <v>34</v>
      </c>
      <c r="AL750" t="str">
        <f t="shared" si="251"/>
        <v>Completed</v>
      </c>
      <c r="AM750" t="str">
        <f t="shared" si="256"/>
        <v>Include</v>
      </c>
      <c r="AN750">
        <f t="shared" si="257"/>
        <v>2886.0299999999997</v>
      </c>
      <c r="AO750">
        <f t="shared" si="258"/>
        <v>821.19999999999982</v>
      </c>
      <c r="AP750">
        <f>IF(AN750=0,0,AO750/AN750)</f>
        <v>0.28454312671732446</v>
      </c>
      <c r="AQ750" t="str">
        <f t="shared" si="259"/>
        <v>May</v>
      </c>
      <c r="AR750">
        <f t="shared" si="260"/>
        <v>2024</v>
      </c>
      <c r="AS750" t="str">
        <f t="shared" si="261"/>
        <v>Clean</v>
      </c>
      <c r="AT750" t="str">
        <f>IF(OR(AC750&lt;0,AC750&gt;0.5),"Invalid Discount","Valid")</f>
        <v>Valid</v>
      </c>
      <c r="AU750" t="str">
        <f>IF(G750&lt;E750,"Invalid Shipping Record","Valid")</f>
        <v>Valid</v>
      </c>
      <c r="AV750" t="str">
        <f>IF(OR(AL750="Cancelled",AH750="Failed"),"Exclude","Include")</f>
        <v>Include</v>
      </c>
      <c r="AW750" t="str">
        <f t="shared" si="262"/>
        <v>Match</v>
      </c>
      <c r="AX750" t="str">
        <f t="shared" si="263"/>
        <v>Match</v>
      </c>
    </row>
    <row r="751" spans="1:50">
      <c r="A751" t="s">
        <v>3477</v>
      </c>
      <c r="B751">
        <f t="shared" si="264"/>
        <v>1</v>
      </c>
      <c r="C751" t="str">
        <f t="shared" si="252"/>
        <v/>
      </c>
      <c r="D751" s="3" t="s">
        <v>3478</v>
      </c>
      <c r="E751" s="7">
        <v>45372</v>
      </c>
      <c r="F751" s="3" t="s">
        <v>3479</v>
      </c>
      <c r="G751" s="7">
        <v>45376</v>
      </c>
      <c r="H751" s="7" t="str">
        <f t="shared" si="243"/>
        <v>Valid</v>
      </c>
      <c r="I751" s="9">
        <f t="shared" si="244"/>
        <v>4</v>
      </c>
      <c r="J751" s="9" t="str">
        <f t="shared" si="245"/>
        <v>Valid</v>
      </c>
      <c r="K751" t="s">
        <v>3480</v>
      </c>
      <c r="L751" t="s">
        <v>106</v>
      </c>
      <c r="M751" t="s">
        <v>106</v>
      </c>
      <c r="N751" t="s">
        <v>114</v>
      </c>
      <c r="O751" s="3" t="str">
        <f t="shared" si="246"/>
        <v>Home Office</v>
      </c>
      <c r="P751" t="s">
        <v>41</v>
      </c>
      <c r="Q751" s="3" t="str">
        <f t="shared" si="247"/>
        <v>East</v>
      </c>
      <c r="R751" t="s">
        <v>215</v>
      </c>
      <c r="S751" t="s">
        <v>216</v>
      </c>
      <c r="T751" t="s">
        <v>85</v>
      </c>
      <c r="U751" s="3" t="str">
        <f t="shared" si="248"/>
        <v>Technology</v>
      </c>
      <c r="V751" t="s">
        <v>381</v>
      </c>
      <c r="W751" t="s">
        <v>3481</v>
      </c>
      <c r="X751" t="s">
        <v>66</v>
      </c>
      <c r="Y751" s="3" t="str">
        <f t="shared" si="249"/>
        <v>Standard Class</v>
      </c>
      <c r="Z751">
        <v>1</v>
      </c>
      <c r="AA751">
        <v>1716.7</v>
      </c>
      <c r="AB751">
        <v>0.15</v>
      </c>
      <c r="AC751">
        <f t="shared" si="250"/>
        <v>0.15</v>
      </c>
      <c r="AD751" t="str">
        <f t="shared" si="253"/>
        <v>Valid</v>
      </c>
      <c r="AE751">
        <v>1459.19</v>
      </c>
      <c r="AF751">
        <v>1055.79</v>
      </c>
      <c r="AG751">
        <v>403.4</v>
      </c>
      <c r="AH751" t="s">
        <v>33</v>
      </c>
      <c r="AI751" t="str">
        <f t="shared" si="254"/>
        <v>Include</v>
      </c>
      <c r="AJ751" t="str">
        <f t="shared" si="255"/>
        <v/>
      </c>
      <c r="AK751" t="s">
        <v>34</v>
      </c>
      <c r="AL751" t="str">
        <f t="shared" si="251"/>
        <v>Completed</v>
      </c>
      <c r="AM751" t="str">
        <f t="shared" si="256"/>
        <v>Include</v>
      </c>
      <c r="AN751">
        <f t="shared" si="257"/>
        <v>1459.1949999999999</v>
      </c>
      <c r="AO751">
        <f t="shared" si="258"/>
        <v>403.40499999999997</v>
      </c>
      <c r="AP751">
        <f>IF(AN751=0,0,AO751/AN751)</f>
        <v>0.27645722470266137</v>
      </c>
      <c r="AQ751" t="str">
        <f t="shared" si="259"/>
        <v>March</v>
      </c>
      <c r="AR751">
        <f t="shared" si="260"/>
        <v>2024</v>
      </c>
      <c r="AS751" t="str">
        <f t="shared" si="261"/>
        <v>Clean</v>
      </c>
      <c r="AT751" t="str">
        <f>IF(OR(AC751&lt;0,AC751&gt;0.5),"Invalid Discount","Valid")</f>
        <v>Valid</v>
      </c>
      <c r="AU751" t="str">
        <f>IF(G751&lt;E751,"Invalid Shipping Record","Valid")</f>
        <v>Valid</v>
      </c>
      <c r="AV751" t="str">
        <f>IF(OR(AL751="Cancelled",AH751="Failed"),"Exclude","Include")</f>
        <v>Include</v>
      </c>
      <c r="AW751" t="str">
        <f t="shared" si="262"/>
        <v>Mismatch</v>
      </c>
      <c r="AX751" t="str">
        <f t="shared" si="263"/>
        <v>Mismatch</v>
      </c>
    </row>
    <row r="752" spans="1:50">
      <c r="A752" t="s">
        <v>3482</v>
      </c>
      <c r="B752">
        <f t="shared" si="264"/>
        <v>1</v>
      </c>
      <c r="C752" t="str">
        <f t="shared" si="252"/>
        <v/>
      </c>
      <c r="D752" s="3" t="s">
        <v>3483</v>
      </c>
      <c r="E752" s="7">
        <v>45810</v>
      </c>
      <c r="F752" s="3" t="s">
        <v>374</v>
      </c>
      <c r="G752" s="7">
        <v>45810</v>
      </c>
      <c r="H752" s="7" t="str">
        <f t="shared" si="243"/>
        <v>Valid</v>
      </c>
      <c r="I752" s="9">
        <f t="shared" si="244"/>
        <v>0</v>
      </c>
      <c r="J752" s="9" t="str">
        <f t="shared" si="245"/>
        <v>Valid</v>
      </c>
      <c r="K752" t="s">
        <v>3484</v>
      </c>
      <c r="L752" t="s">
        <v>161</v>
      </c>
      <c r="M752" t="s">
        <v>161</v>
      </c>
      <c r="N752" t="s">
        <v>114</v>
      </c>
      <c r="O752" s="3" t="str">
        <f t="shared" si="246"/>
        <v>Home Office</v>
      </c>
      <c r="P752" t="s">
        <v>61</v>
      </c>
      <c r="Q752" s="3" t="str">
        <f t="shared" si="247"/>
        <v>South</v>
      </c>
      <c r="R752" t="s">
        <v>62</v>
      </c>
      <c r="S752" t="s">
        <v>63</v>
      </c>
      <c r="T752" t="s">
        <v>85</v>
      </c>
      <c r="U752" s="3" t="str">
        <f t="shared" si="248"/>
        <v>Technology</v>
      </c>
      <c r="V752" t="s">
        <v>86</v>
      </c>
      <c r="W752" t="s">
        <v>3485</v>
      </c>
      <c r="X752" t="s">
        <v>55</v>
      </c>
      <c r="Y752" s="3" t="str">
        <f t="shared" si="249"/>
        <v>First Class</v>
      </c>
      <c r="Z752">
        <v>8</v>
      </c>
      <c r="AA752">
        <v>3925.93</v>
      </c>
      <c r="AB752">
        <v>0.15</v>
      </c>
      <c r="AC752">
        <f t="shared" si="250"/>
        <v>0.15</v>
      </c>
      <c r="AD752" t="str">
        <f t="shared" si="253"/>
        <v>Valid</v>
      </c>
      <c r="AE752">
        <v>26696.32</v>
      </c>
      <c r="AF752">
        <v>22724.52</v>
      </c>
      <c r="AG752">
        <v>3971.8</v>
      </c>
      <c r="AH752" t="s">
        <v>33</v>
      </c>
      <c r="AI752" t="str">
        <f t="shared" si="254"/>
        <v>Include</v>
      </c>
      <c r="AJ752" t="str">
        <f t="shared" si="255"/>
        <v/>
      </c>
      <c r="AK752" t="s">
        <v>34</v>
      </c>
      <c r="AL752" t="str">
        <f t="shared" si="251"/>
        <v>Completed</v>
      </c>
      <c r="AM752" t="str">
        <f t="shared" si="256"/>
        <v>Include</v>
      </c>
      <c r="AN752">
        <f t="shared" si="257"/>
        <v>26696.323999999997</v>
      </c>
      <c r="AO752">
        <f t="shared" si="258"/>
        <v>3971.8039999999964</v>
      </c>
      <c r="AP752">
        <f>IF(AN752=0,0,AO752/AN752)</f>
        <v>0.14877718745097629</v>
      </c>
      <c r="AQ752" t="str">
        <f t="shared" si="259"/>
        <v>June</v>
      </c>
      <c r="AR752">
        <f t="shared" si="260"/>
        <v>2025</v>
      </c>
      <c r="AS752" t="str">
        <f t="shared" si="261"/>
        <v>Clean</v>
      </c>
      <c r="AT752" t="str">
        <f>IF(OR(AC752&lt;0,AC752&gt;0.5),"Invalid Discount","Valid")</f>
        <v>Valid</v>
      </c>
      <c r="AU752" t="str">
        <f>IF(G752&lt;E752,"Invalid Shipping Record","Valid")</f>
        <v>Valid</v>
      </c>
      <c r="AV752" t="str">
        <f>IF(OR(AL752="Cancelled",AH752="Failed"),"Exclude","Include")</f>
        <v>Include</v>
      </c>
      <c r="AW752" t="str">
        <f t="shared" si="262"/>
        <v>Match</v>
      </c>
      <c r="AX752" t="str">
        <f t="shared" si="263"/>
        <v>Match</v>
      </c>
    </row>
    <row r="753" spans="1:50">
      <c r="A753" t="s">
        <v>3486</v>
      </c>
      <c r="B753">
        <f t="shared" si="264"/>
        <v>1</v>
      </c>
      <c r="C753" t="str">
        <f t="shared" si="252"/>
        <v/>
      </c>
      <c r="D753" s="3" t="s">
        <v>719</v>
      </c>
      <c r="E753" s="7">
        <v>45856</v>
      </c>
      <c r="F753" s="3" t="s">
        <v>3487</v>
      </c>
      <c r="G753" s="7">
        <v>45857</v>
      </c>
      <c r="H753" s="7" t="str">
        <f t="shared" si="243"/>
        <v>Valid</v>
      </c>
      <c r="I753" s="9">
        <f t="shared" si="244"/>
        <v>1</v>
      </c>
      <c r="J753" s="9" t="str">
        <f t="shared" si="245"/>
        <v>Valid</v>
      </c>
      <c r="K753" t="s">
        <v>3488</v>
      </c>
      <c r="L753" t="s">
        <v>141</v>
      </c>
      <c r="M753" t="s">
        <v>141</v>
      </c>
      <c r="N753" t="s">
        <v>114</v>
      </c>
      <c r="O753" s="3" t="str">
        <f t="shared" si="246"/>
        <v>Home Office</v>
      </c>
      <c r="Q753" s="3" t="str">
        <f t="shared" si="247"/>
        <v>Unknown</v>
      </c>
      <c r="R753" t="s">
        <v>173</v>
      </c>
      <c r="S753" t="s">
        <v>174</v>
      </c>
      <c r="T753" t="s">
        <v>85</v>
      </c>
      <c r="U753" s="3" t="str">
        <f t="shared" si="248"/>
        <v>Technology</v>
      </c>
      <c r="V753" t="s">
        <v>381</v>
      </c>
      <c r="W753" t="s">
        <v>3489</v>
      </c>
      <c r="Y753" s="3" t="str">
        <f t="shared" si="249"/>
        <v>Unknown</v>
      </c>
      <c r="Z753">
        <v>3</v>
      </c>
      <c r="AA753">
        <v>2963.25</v>
      </c>
      <c r="AB753">
        <v>0.05</v>
      </c>
      <c r="AC753">
        <f t="shared" si="250"/>
        <v>0.05</v>
      </c>
      <c r="AD753" t="str">
        <f t="shared" si="253"/>
        <v>Valid</v>
      </c>
      <c r="AE753">
        <v>8445.26</v>
      </c>
      <c r="AF753">
        <v>6937.6</v>
      </c>
      <c r="AG753">
        <v>1507.66</v>
      </c>
      <c r="AH753" t="s">
        <v>33</v>
      </c>
      <c r="AI753" t="str">
        <f t="shared" si="254"/>
        <v>Include</v>
      </c>
      <c r="AJ753" t="str">
        <f t="shared" si="255"/>
        <v/>
      </c>
      <c r="AK753" t="s">
        <v>34</v>
      </c>
      <c r="AL753" t="str">
        <f t="shared" si="251"/>
        <v>Completed</v>
      </c>
      <c r="AM753" t="str">
        <f t="shared" si="256"/>
        <v>Include</v>
      </c>
      <c r="AN753">
        <f t="shared" si="257"/>
        <v>8445.2624999999989</v>
      </c>
      <c r="AO753">
        <f t="shared" si="258"/>
        <v>1507.6624999999985</v>
      </c>
      <c r="AP753">
        <f>IF(AN753=0,0,AO753/AN753)</f>
        <v>0.17852168597482893</v>
      </c>
      <c r="AQ753" t="str">
        <f t="shared" si="259"/>
        <v>July</v>
      </c>
      <c r="AR753">
        <f t="shared" si="260"/>
        <v>2025</v>
      </c>
      <c r="AS753" t="str">
        <f t="shared" si="261"/>
        <v>Warning</v>
      </c>
      <c r="AT753" t="str">
        <f>IF(OR(AC753&lt;0,AC753&gt;0.5),"Invalid Discount","Valid")</f>
        <v>Valid</v>
      </c>
      <c r="AU753" t="str">
        <f>IF(G753&lt;E753,"Invalid Shipping Record","Valid")</f>
        <v>Valid</v>
      </c>
      <c r="AV753" t="str">
        <f>IF(OR(AL753="Cancelled",AH753="Failed"),"Exclude","Include")</f>
        <v>Include</v>
      </c>
      <c r="AW753" t="str">
        <f t="shared" si="262"/>
        <v>Match</v>
      </c>
      <c r="AX753" t="str">
        <f t="shared" si="263"/>
        <v>Match</v>
      </c>
    </row>
    <row r="754" spans="1:50">
      <c r="A754" t="s">
        <v>3490</v>
      </c>
      <c r="B754">
        <f t="shared" si="264"/>
        <v>1</v>
      </c>
      <c r="C754" t="str">
        <f t="shared" si="252"/>
        <v/>
      </c>
      <c r="D754" s="3" t="s">
        <v>2216</v>
      </c>
      <c r="E754" s="7">
        <v>45375</v>
      </c>
      <c r="F754" s="3" t="s">
        <v>3161</v>
      </c>
      <c r="G754" s="7">
        <v>45378</v>
      </c>
      <c r="H754" s="7" t="str">
        <f t="shared" si="243"/>
        <v>Valid</v>
      </c>
      <c r="I754" s="9">
        <f t="shared" si="244"/>
        <v>3</v>
      </c>
      <c r="J754" s="9" t="str">
        <f t="shared" si="245"/>
        <v>Valid</v>
      </c>
      <c r="K754" t="s">
        <v>3491</v>
      </c>
      <c r="L754" t="s">
        <v>106</v>
      </c>
      <c r="M754" t="s">
        <v>106</v>
      </c>
      <c r="N754" t="s">
        <v>107</v>
      </c>
      <c r="O754" s="3" t="str">
        <f t="shared" si="246"/>
        <v>Corporate</v>
      </c>
      <c r="P754" t="s">
        <v>72</v>
      </c>
      <c r="Q754" s="3" t="str">
        <f t="shared" si="247"/>
        <v>West</v>
      </c>
      <c r="R754" t="s">
        <v>234</v>
      </c>
      <c r="S754" t="s">
        <v>235</v>
      </c>
      <c r="T754" t="s">
        <v>29</v>
      </c>
      <c r="U754" s="3" t="str">
        <f t="shared" si="248"/>
        <v>Office Supplies</v>
      </c>
      <c r="V754" t="s">
        <v>155</v>
      </c>
      <c r="W754" t="s">
        <v>3492</v>
      </c>
      <c r="X754" t="s">
        <v>55</v>
      </c>
      <c r="Y754" s="3" t="str">
        <f t="shared" si="249"/>
        <v>First Class</v>
      </c>
      <c r="Z754">
        <v>5</v>
      </c>
      <c r="AA754">
        <v>2465.2199999999998</v>
      </c>
      <c r="AB754">
        <v>0.05</v>
      </c>
      <c r="AC754">
        <f t="shared" si="250"/>
        <v>0.05</v>
      </c>
      <c r="AD754" t="str">
        <f t="shared" si="253"/>
        <v>Valid</v>
      </c>
      <c r="AE754">
        <v>11709.79</v>
      </c>
      <c r="AF754">
        <v>8372.2900000000009</v>
      </c>
      <c r="AG754">
        <v>3337.5</v>
      </c>
      <c r="AH754" t="s">
        <v>33</v>
      </c>
      <c r="AI754" t="str">
        <f t="shared" si="254"/>
        <v>Include</v>
      </c>
      <c r="AJ754" t="str">
        <f t="shared" si="255"/>
        <v/>
      </c>
      <c r="AK754" t="s">
        <v>34</v>
      </c>
      <c r="AL754" t="str">
        <f t="shared" si="251"/>
        <v>Completed</v>
      </c>
      <c r="AM754" t="str">
        <f t="shared" si="256"/>
        <v>Include</v>
      </c>
      <c r="AN754">
        <f t="shared" si="257"/>
        <v>11709.794999999998</v>
      </c>
      <c r="AO754">
        <f t="shared" si="258"/>
        <v>3337.5049999999974</v>
      </c>
      <c r="AP754">
        <f>IF(AN754=0,0,AO754/AN754)</f>
        <v>0.28501822619439521</v>
      </c>
      <c r="AQ754" t="str">
        <f t="shared" si="259"/>
        <v>March</v>
      </c>
      <c r="AR754">
        <f t="shared" si="260"/>
        <v>2024</v>
      </c>
      <c r="AS754" t="str">
        <f t="shared" si="261"/>
        <v>Clean</v>
      </c>
      <c r="AT754" t="str">
        <f>IF(OR(AC754&lt;0,AC754&gt;0.5),"Invalid Discount","Valid")</f>
        <v>Valid</v>
      </c>
      <c r="AU754" t="str">
        <f>IF(G754&lt;E754,"Invalid Shipping Record","Valid")</f>
        <v>Valid</v>
      </c>
      <c r="AV754" t="str">
        <f>IF(OR(AL754="Cancelled",AH754="Failed"),"Exclude","Include")</f>
        <v>Include</v>
      </c>
      <c r="AW754" t="str">
        <f t="shared" si="262"/>
        <v>Mismatch</v>
      </c>
      <c r="AX754" t="str">
        <f t="shared" si="263"/>
        <v>Mismatch</v>
      </c>
    </row>
    <row r="755" spans="1:50">
      <c r="A755" t="s">
        <v>3493</v>
      </c>
      <c r="B755">
        <f t="shared" si="264"/>
        <v>1</v>
      </c>
      <c r="C755" t="str">
        <f t="shared" si="252"/>
        <v/>
      </c>
      <c r="D755" s="3" t="s">
        <v>2437</v>
      </c>
      <c r="E755" s="7">
        <v>45515</v>
      </c>
      <c r="F755" s="3" t="s">
        <v>2797</v>
      </c>
      <c r="G755" s="7">
        <v>45514</v>
      </c>
      <c r="H755" s="7" t="str">
        <f t="shared" si="243"/>
        <v>Invalid Shipping Record</v>
      </c>
      <c r="I755" s="9">
        <f t="shared" si="244"/>
        <v>-1</v>
      </c>
      <c r="J755" s="9" t="str">
        <f t="shared" si="245"/>
        <v>Invalid Shipping Record</v>
      </c>
      <c r="K755" t="s">
        <v>3494</v>
      </c>
      <c r="L755" t="s">
        <v>106</v>
      </c>
      <c r="M755" t="s">
        <v>106</v>
      </c>
      <c r="N755" t="s">
        <v>107</v>
      </c>
      <c r="O755" s="3" t="str">
        <f t="shared" si="246"/>
        <v>Corporate</v>
      </c>
      <c r="P755" t="s">
        <v>26</v>
      </c>
      <c r="Q755" s="3" t="str">
        <f t="shared" si="247"/>
        <v>North</v>
      </c>
      <c r="R755" t="s">
        <v>505</v>
      </c>
      <c r="S755" t="s">
        <v>506</v>
      </c>
      <c r="T755" t="s">
        <v>44</v>
      </c>
      <c r="U755" s="3" t="str">
        <f t="shared" si="248"/>
        <v>Furniture</v>
      </c>
      <c r="V755" t="s">
        <v>64</v>
      </c>
      <c r="W755" t="s">
        <v>3495</v>
      </c>
      <c r="X755" t="s">
        <v>32</v>
      </c>
      <c r="Y755" s="3" t="str">
        <f t="shared" si="249"/>
        <v>Second Class</v>
      </c>
      <c r="Z755">
        <v>3</v>
      </c>
      <c r="AA755">
        <v>1017.22</v>
      </c>
      <c r="AB755">
        <v>0.15</v>
      </c>
      <c r="AC755">
        <f t="shared" si="250"/>
        <v>0.15</v>
      </c>
      <c r="AD755" t="str">
        <f t="shared" si="253"/>
        <v>Valid</v>
      </c>
      <c r="AE755">
        <v>2593.91</v>
      </c>
      <c r="AF755">
        <v>1848.48</v>
      </c>
      <c r="AG755">
        <v>745.43</v>
      </c>
      <c r="AH755" t="s">
        <v>199</v>
      </c>
      <c r="AI755" t="str">
        <f t="shared" si="254"/>
        <v>Exclude</v>
      </c>
      <c r="AJ755" t="str">
        <f t="shared" si="255"/>
        <v/>
      </c>
      <c r="AK755" t="s">
        <v>124</v>
      </c>
      <c r="AL755" t="str">
        <f t="shared" si="251"/>
        <v>Returned</v>
      </c>
      <c r="AM755" t="str">
        <f t="shared" si="256"/>
        <v>Include</v>
      </c>
      <c r="AN755">
        <f t="shared" si="257"/>
        <v>2593.9109999999996</v>
      </c>
      <c r="AO755">
        <f t="shared" si="258"/>
        <v>745.43099999999959</v>
      </c>
      <c r="AP755">
        <f>IF(AN755=0,0,AO755/AN755)</f>
        <v>0.28737724617382776</v>
      </c>
      <c r="AQ755" t="str">
        <f t="shared" si="259"/>
        <v>August</v>
      </c>
      <c r="AR755">
        <f t="shared" si="260"/>
        <v>2024</v>
      </c>
      <c r="AS755" t="str">
        <f t="shared" si="261"/>
        <v>Invalid</v>
      </c>
      <c r="AT755" t="str">
        <f>IF(OR(AC755&lt;0,AC755&gt;0.5),"Invalid Discount","Valid")</f>
        <v>Valid</v>
      </c>
      <c r="AU755" t="str">
        <f>IF(G755&lt;E755,"Invalid Shipping Record","Valid")</f>
        <v>Invalid Shipping Record</v>
      </c>
      <c r="AV755" t="str">
        <f>IF(OR(AL755="Cancelled",AH755="Failed"),"Exclude","Include")</f>
        <v>Exclude</v>
      </c>
      <c r="AW755" t="str">
        <f t="shared" si="262"/>
        <v>Match</v>
      </c>
      <c r="AX755" t="str">
        <f t="shared" si="263"/>
        <v>Match</v>
      </c>
    </row>
    <row r="756" spans="1:50">
      <c r="A756" t="s">
        <v>3496</v>
      </c>
      <c r="B756">
        <f t="shared" si="264"/>
        <v>1</v>
      </c>
      <c r="C756" t="str">
        <f t="shared" si="252"/>
        <v/>
      </c>
      <c r="D756" s="3" t="s">
        <v>3497</v>
      </c>
      <c r="E756" s="7">
        <v>45812</v>
      </c>
      <c r="F756" s="3" t="s">
        <v>3497</v>
      </c>
      <c r="G756" s="7">
        <v>45812</v>
      </c>
      <c r="H756" s="7" t="str">
        <f t="shared" si="243"/>
        <v>Valid</v>
      </c>
      <c r="I756" s="9">
        <f t="shared" si="244"/>
        <v>0</v>
      </c>
      <c r="J756" s="9" t="str">
        <f t="shared" si="245"/>
        <v>Valid</v>
      </c>
      <c r="K756" t="s">
        <v>3498</v>
      </c>
      <c r="L756" t="s">
        <v>92</v>
      </c>
      <c r="M756" t="s">
        <v>92</v>
      </c>
      <c r="N756" t="s">
        <v>107</v>
      </c>
      <c r="O756" s="3" t="str">
        <f t="shared" si="246"/>
        <v>Corporate</v>
      </c>
      <c r="P756" t="s">
        <v>61</v>
      </c>
      <c r="Q756" s="3" t="str">
        <f t="shared" si="247"/>
        <v>South</v>
      </c>
      <c r="R756" t="s">
        <v>241</v>
      </c>
      <c r="S756" t="s">
        <v>242</v>
      </c>
      <c r="T756" t="s">
        <v>29</v>
      </c>
      <c r="U756" s="3" t="str">
        <f t="shared" si="248"/>
        <v>Office Supplies</v>
      </c>
      <c r="V756" t="s">
        <v>155</v>
      </c>
      <c r="W756" t="s">
        <v>3499</v>
      </c>
      <c r="X756" t="s">
        <v>66</v>
      </c>
      <c r="Y756" s="3" t="str">
        <f t="shared" si="249"/>
        <v>Standard Class</v>
      </c>
      <c r="Z756">
        <v>4</v>
      </c>
      <c r="AA756">
        <v>891.34</v>
      </c>
      <c r="AB756">
        <v>0.25</v>
      </c>
      <c r="AC756">
        <f t="shared" si="250"/>
        <v>0.25</v>
      </c>
      <c r="AD756" t="str">
        <f t="shared" si="253"/>
        <v>Valid</v>
      </c>
      <c r="AE756">
        <v>2674.02</v>
      </c>
      <c r="AF756">
        <v>2207.5700000000002</v>
      </c>
      <c r="AG756">
        <v>466.45</v>
      </c>
      <c r="AH756" t="s">
        <v>33</v>
      </c>
      <c r="AI756" t="str">
        <f t="shared" si="254"/>
        <v>Include</v>
      </c>
      <c r="AJ756" t="str">
        <f t="shared" si="255"/>
        <v/>
      </c>
      <c r="AK756" t="s">
        <v>34</v>
      </c>
      <c r="AL756" t="str">
        <f t="shared" si="251"/>
        <v>Completed</v>
      </c>
      <c r="AM756" t="str">
        <f t="shared" si="256"/>
        <v>Include</v>
      </c>
      <c r="AN756">
        <f t="shared" si="257"/>
        <v>2674.02</v>
      </c>
      <c r="AO756">
        <f t="shared" si="258"/>
        <v>466.44999999999982</v>
      </c>
      <c r="AP756">
        <f>IF(AN756=0,0,AO756/AN756)</f>
        <v>0.17443773793763689</v>
      </c>
      <c r="AQ756" t="str">
        <f t="shared" si="259"/>
        <v>June</v>
      </c>
      <c r="AR756">
        <f t="shared" si="260"/>
        <v>2025</v>
      </c>
      <c r="AS756" t="str">
        <f t="shared" si="261"/>
        <v>Clean</v>
      </c>
      <c r="AT756" t="str">
        <f>IF(OR(AC756&lt;0,AC756&gt;0.5),"Invalid Discount","Valid")</f>
        <v>Valid</v>
      </c>
      <c r="AU756" t="str">
        <f>IF(G756&lt;E756,"Invalid Shipping Record","Valid")</f>
        <v>Valid</v>
      </c>
      <c r="AV756" t="str">
        <f>IF(OR(AL756="Cancelled",AH756="Failed"),"Exclude","Include")</f>
        <v>Include</v>
      </c>
      <c r="AW756" t="str">
        <f t="shared" si="262"/>
        <v>Match</v>
      </c>
      <c r="AX756" t="str">
        <f t="shared" si="263"/>
        <v>Match</v>
      </c>
    </row>
    <row r="757" spans="1:50">
      <c r="A757" t="s">
        <v>3500</v>
      </c>
      <c r="B757">
        <f t="shared" si="264"/>
        <v>1</v>
      </c>
      <c r="C757" t="str">
        <f t="shared" si="252"/>
        <v/>
      </c>
      <c r="D757" s="3" t="s">
        <v>1093</v>
      </c>
      <c r="E757" s="7">
        <v>45858</v>
      </c>
      <c r="F757" s="3" t="s">
        <v>1728</v>
      </c>
      <c r="G757" s="7">
        <v>45862</v>
      </c>
      <c r="H757" s="7" t="str">
        <f t="shared" si="243"/>
        <v>Valid</v>
      </c>
      <c r="I757" s="9">
        <f t="shared" si="244"/>
        <v>4</v>
      </c>
      <c r="J757" s="9" t="str">
        <f t="shared" si="245"/>
        <v>Valid</v>
      </c>
      <c r="K757" t="s">
        <v>3501</v>
      </c>
      <c r="L757" t="s">
        <v>141</v>
      </c>
      <c r="M757" t="s">
        <v>141</v>
      </c>
      <c r="N757" t="s">
        <v>114</v>
      </c>
      <c r="O757" s="3" t="str">
        <f t="shared" si="246"/>
        <v>Home Office</v>
      </c>
      <c r="P757" t="s">
        <v>72</v>
      </c>
      <c r="Q757" s="3" t="str">
        <f t="shared" si="247"/>
        <v>West</v>
      </c>
      <c r="R757" t="s">
        <v>83</v>
      </c>
      <c r="S757" t="s">
        <v>84</v>
      </c>
      <c r="T757" t="s">
        <v>29</v>
      </c>
      <c r="U757" s="3" t="str">
        <f t="shared" si="248"/>
        <v>Office Supplies</v>
      </c>
      <c r="V757" t="s">
        <v>155</v>
      </c>
      <c r="W757" t="s">
        <v>3502</v>
      </c>
      <c r="X757" t="s">
        <v>32</v>
      </c>
      <c r="Y757" s="3" t="str">
        <f t="shared" si="249"/>
        <v>Second Class</v>
      </c>
      <c r="Z757">
        <v>5</v>
      </c>
      <c r="AA757">
        <v>2481.7399999999998</v>
      </c>
      <c r="AB757">
        <v>0.2</v>
      </c>
      <c r="AC757">
        <f t="shared" si="250"/>
        <v>0.2</v>
      </c>
      <c r="AD757" t="str">
        <f t="shared" si="253"/>
        <v>Valid</v>
      </c>
      <c r="AE757">
        <v>9926.9599999999991</v>
      </c>
      <c r="AF757">
        <v>7994.98</v>
      </c>
      <c r="AG757">
        <v>1931.98</v>
      </c>
      <c r="AH757" t="s">
        <v>33</v>
      </c>
      <c r="AI757" t="str">
        <f t="shared" si="254"/>
        <v>Include</v>
      </c>
      <c r="AJ757" t="str">
        <f t="shared" si="255"/>
        <v/>
      </c>
      <c r="AK757" t="s">
        <v>34</v>
      </c>
      <c r="AL757" t="str">
        <f t="shared" si="251"/>
        <v>Completed</v>
      </c>
      <c r="AM757" t="str">
        <f t="shared" si="256"/>
        <v>Include</v>
      </c>
      <c r="AN757">
        <f t="shared" si="257"/>
        <v>9926.9599999999991</v>
      </c>
      <c r="AO757">
        <f t="shared" si="258"/>
        <v>1931.9799999999996</v>
      </c>
      <c r="AP757">
        <f>IF(AN757=0,0,AO757/AN757)</f>
        <v>0.19461950083409219</v>
      </c>
      <c r="AQ757" t="str">
        <f t="shared" si="259"/>
        <v>July</v>
      </c>
      <c r="AR757">
        <f t="shared" si="260"/>
        <v>2025</v>
      </c>
      <c r="AS757" t="str">
        <f t="shared" si="261"/>
        <v>Clean</v>
      </c>
      <c r="AT757" t="str">
        <f>IF(OR(AC757&lt;0,AC757&gt;0.5),"Invalid Discount","Valid")</f>
        <v>Valid</v>
      </c>
      <c r="AU757" t="str">
        <f>IF(G757&lt;E757,"Invalid Shipping Record","Valid")</f>
        <v>Valid</v>
      </c>
      <c r="AV757" t="str">
        <f>IF(OR(AL757="Cancelled",AH757="Failed"),"Exclude","Include")</f>
        <v>Include</v>
      </c>
      <c r="AW757" t="str">
        <f t="shared" si="262"/>
        <v>Match</v>
      </c>
      <c r="AX757" t="str">
        <f t="shared" si="263"/>
        <v>Match</v>
      </c>
    </row>
    <row r="758" spans="1:50">
      <c r="A758" t="s">
        <v>3503</v>
      </c>
      <c r="B758">
        <f t="shared" si="264"/>
        <v>1</v>
      </c>
      <c r="C758" t="str">
        <f t="shared" si="252"/>
        <v/>
      </c>
      <c r="D758" s="3" t="s">
        <v>3504</v>
      </c>
      <c r="E758" s="7">
        <v>45592</v>
      </c>
      <c r="F758" s="3" t="s">
        <v>3505</v>
      </c>
      <c r="G758" s="7">
        <v>45597</v>
      </c>
      <c r="H758" s="7" t="str">
        <f t="shared" si="243"/>
        <v>Valid</v>
      </c>
      <c r="I758" s="9">
        <f t="shared" si="244"/>
        <v>5</v>
      </c>
      <c r="J758" s="9" t="str">
        <f t="shared" si="245"/>
        <v>Valid</v>
      </c>
      <c r="K758" t="s">
        <v>3506</v>
      </c>
      <c r="L758" t="s">
        <v>179</v>
      </c>
      <c r="M758" t="s">
        <v>179</v>
      </c>
      <c r="N758" t="s">
        <v>25</v>
      </c>
      <c r="O758" s="3" t="str">
        <f t="shared" si="246"/>
        <v>Consumer</v>
      </c>
      <c r="P758" t="s">
        <v>26</v>
      </c>
      <c r="Q758" s="3" t="str">
        <f t="shared" si="247"/>
        <v>North</v>
      </c>
      <c r="R758" t="s">
        <v>27</v>
      </c>
      <c r="S758" t="s">
        <v>28</v>
      </c>
      <c r="T758" t="s">
        <v>85</v>
      </c>
      <c r="U758" s="3" t="str">
        <f t="shared" si="248"/>
        <v>Technology</v>
      </c>
      <c r="V758" t="s">
        <v>86</v>
      </c>
      <c r="W758" t="s">
        <v>3507</v>
      </c>
      <c r="X758" t="s">
        <v>47</v>
      </c>
      <c r="Y758" s="3" t="str">
        <f t="shared" si="249"/>
        <v>Same Day</v>
      </c>
      <c r="Z758">
        <v>7</v>
      </c>
      <c r="AA758">
        <v>2177.1</v>
      </c>
      <c r="AB758">
        <v>0.2</v>
      </c>
      <c r="AC758">
        <f t="shared" si="250"/>
        <v>0.2</v>
      </c>
      <c r="AD758" t="str">
        <f t="shared" si="253"/>
        <v>Valid</v>
      </c>
      <c r="AE758">
        <v>12191.76</v>
      </c>
      <c r="AF758">
        <v>10457.49</v>
      </c>
      <c r="AG758">
        <v>1734.27</v>
      </c>
      <c r="AH758" t="s">
        <v>33</v>
      </c>
      <c r="AI758" t="str">
        <f t="shared" si="254"/>
        <v>Include</v>
      </c>
      <c r="AJ758" t="str">
        <f t="shared" si="255"/>
        <v/>
      </c>
      <c r="AK758" t="s">
        <v>124</v>
      </c>
      <c r="AL758" t="str">
        <f t="shared" si="251"/>
        <v>Returned</v>
      </c>
      <c r="AM758" t="str">
        <f t="shared" si="256"/>
        <v>Include</v>
      </c>
      <c r="AN758">
        <f t="shared" si="257"/>
        <v>12191.76</v>
      </c>
      <c r="AO758">
        <f t="shared" si="258"/>
        <v>1734.2700000000004</v>
      </c>
      <c r="AP758">
        <f>IF(AN758=0,0,AO758/AN758)</f>
        <v>0.14224935530226976</v>
      </c>
      <c r="AQ758" t="str">
        <f t="shared" si="259"/>
        <v>October</v>
      </c>
      <c r="AR758">
        <f t="shared" si="260"/>
        <v>2024</v>
      </c>
      <c r="AS758" t="str">
        <f t="shared" si="261"/>
        <v>Clean</v>
      </c>
      <c r="AT758" t="str">
        <f>IF(OR(AC758&lt;0,AC758&gt;0.5),"Invalid Discount","Valid")</f>
        <v>Valid</v>
      </c>
      <c r="AU758" t="str">
        <f>IF(G758&lt;E758,"Invalid Shipping Record","Valid")</f>
        <v>Valid</v>
      </c>
      <c r="AV758" t="str">
        <f>IF(OR(AL758="Cancelled",AH758="Failed"),"Exclude","Include")</f>
        <v>Include</v>
      </c>
      <c r="AW758" t="str">
        <f t="shared" si="262"/>
        <v>Match</v>
      </c>
      <c r="AX758" t="str">
        <f t="shared" si="263"/>
        <v>Match</v>
      </c>
    </row>
    <row r="759" spans="1:50">
      <c r="A759" t="s">
        <v>3508</v>
      </c>
      <c r="B759">
        <f t="shared" si="264"/>
        <v>1</v>
      </c>
      <c r="C759" t="str">
        <f t="shared" si="252"/>
        <v/>
      </c>
      <c r="D759" s="3" t="s">
        <v>3509</v>
      </c>
      <c r="E759" s="7">
        <v>45870</v>
      </c>
      <c r="F759" s="3" t="s">
        <v>3510</v>
      </c>
      <c r="G759" s="7">
        <v>45872</v>
      </c>
      <c r="H759" s="7" t="str">
        <f t="shared" si="243"/>
        <v>Valid</v>
      </c>
      <c r="I759" s="9">
        <f t="shared" si="244"/>
        <v>2</v>
      </c>
      <c r="J759" s="9" t="str">
        <f t="shared" si="245"/>
        <v>Valid</v>
      </c>
      <c r="K759" t="s">
        <v>3511</v>
      </c>
      <c r="L759" t="s">
        <v>106</v>
      </c>
      <c r="M759" t="s">
        <v>106</v>
      </c>
      <c r="N759" t="s">
        <v>40</v>
      </c>
      <c r="O759" s="3" t="str">
        <f t="shared" si="246"/>
        <v>Small Business</v>
      </c>
      <c r="P759" t="s">
        <v>61</v>
      </c>
      <c r="Q759" s="3" t="str">
        <f t="shared" si="247"/>
        <v>South</v>
      </c>
      <c r="R759" t="s">
        <v>241</v>
      </c>
      <c r="S759" t="s">
        <v>242</v>
      </c>
      <c r="T759" t="s">
        <v>44</v>
      </c>
      <c r="U759" s="3" t="str">
        <f t="shared" si="248"/>
        <v>Furniture</v>
      </c>
      <c r="V759" t="s">
        <v>203</v>
      </c>
      <c r="W759" t="s">
        <v>3512</v>
      </c>
      <c r="X759" t="s">
        <v>66</v>
      </c>
      <c r="Y759" s="3" t="str">
        <f t="shared" si="249"/>
        <v>Standard Class</v>
      </c>
      <c r="Z759">
        <v>3</v>
      </c>
      <c r="AA759">
        <v>1904.78</v>
      </c>
      <c r="AB759">
        <v>0.25</v>
      </c>
      <c r="AC759">
        <f t="shared" si="250"/>
        <v>0.25</v>
      </c>
      <c r="AD759" t="str">
        <f t="shared" si="253"/>
        <v>Valid</v>
      </c>
      <c r="AE759">
        <v>4285.76</v>
      </c>
      <c r="AF759">
        <v>2386.33</v>
      </c>
      <c r="AG759">
        <v>1899.43</v>
      </c>
      <c r="AH759" t="s">
        <v>199</v>
      </c>
      <c r="AI759" t="str">
        <f t="shared" si="254"/>
        <v>Exclude</v>
      </c>
      <c r="AJ759" t="str">
        <f t="shared" si="255"/>
        <v/>
      </c>
      <c r="AK759" t="s">
        <v>77</v>
      </c>
      <c r="AL759" t="str">
        <f t="shared" si="251"/>
        <v>Cancelled</v>
      </c>
      <c r="AM759" t="str">
        <f t="shared" si="256"/>
        <v>Exclude</v>
      </c>
      <c r="AN759">
        <f t="shared" si="257"/>
        <v>4285.7550000000001</v>
      </c>
      <c r="AO759">
        <f t="shared" si="258"/>
        <v>1899.4250000000002</v>
      </c>
      <c r="AP759">
        <f>IF(AN759=0,0,AO759/AN759)</f>
        <v>0.44319495631458172</v>
      </c>
      <c r="AQ759" t="str">
        <f t="shared" si="259"/>
        <v>August</v>
      </c>
      <c r="AR759">
        <f t="shared" si="260"/>
        <v>2025</v>
      </c>
      <c r="AS759" t="str">
        <f t="shared" si="261"/>
        <v>Clean</v>
      </c>
      <c r="AT759" t="str">
        <f>IF(OR(AC759&lt;0,AC759&gt;0.5),"Invalid Discount","Valid")</f>
        <v>Valid</v>
      </c>
      <c r="AU759" t="str">
        <f>IF(G759&lt;E759,"Invalid Shipping Record","Valid")</f>
        <v>Valid</v>
      </c>
      <c r="AV759" t="str">
        <f>IF(OR(AL759="Cancelled",AH759="Failed"),"Exclude","Include")</f>
        <v>Exclude</v>
      </c>
      <c r="AW759" t="str">
        <f t="shared" si="262"/>
        <v>Match</v>
      </c>
      <c r="AX759" t="str">
        <f t="shared" si="263"/>
        <v>Match</v>
      </c>
    </row>
    <row r="760" spans="1:50">
      <c r="A760" t="s">
        <v>3513</v>
      </c>
      <c r="B760">
        <f t="shared" si="264"/>
        <v>1</v>
      </c>
      <c r="C760" t="str">
        <f t="shared" si="252"/>
        <v/>
      </c>
      <c r="D760" s="3" t="s">
        <v>3514</v>
      </c>
      <c r="E760" s="7">
        <v>45414</v>
      </c>
      <c r="F760" s="3" t="s">
        <v>2703</v>
      </c>
      <c r="G760" s="7">
        <v>45422</v>
      </c>
      <c r="H760" s="7" t="str">
        <f t="shared" si="243"/>
        <v>Valid</v>
      </c>
      <c r="I760" s="9">
        <f t="shared" si="244"/>
        <v>8</v>
      </c>
      <c r="J760" s="9" t="str">
        <f t="shared" si="245"/>
        <v>Valid</v>
      </c>
      <c r="K760" t="s">
        <v>3515</v>
      </c>
      <c r="L760" t="s">
        <v>161</v>
      </c>
      <c r="M760" t="s">
        <v>161</v>
      </c>
      <c r="N760" t="s">
        <v>40</v>
      </c>
      <c r="O760" s="3" t="str">
        <f t="shared" si="246"/>
        <v>Small Business</v>
      </c>
      <c r="P760" t="s">
        <v>61</v>
      </c>
      <c r="Q760" s="3" t="str">
        <f t="shared" si="247"/>
        <v>South</v>
      </c>
      <c r="R760" t="s">
        <v>228</v>
      </c>
      <c r="S760" t="s">
        <v>229</v>
      </c>
      <c r="T760" t="s">
        <v>44</v>
      </c>
      <c r="U760" s="3" t="str">
        <f t="shared" si="248"/>
        <v>Furniture</v>
      </c>
      <c r="V760" t="s">
        <v>75</v>
      </c>
      <c r="W760" t="s">
        <v>3516</v>
      </c>
      <c r="X760" t="s">
        <v>66</v>
      </c>
      <c r="Y760" s="3" t="str">
        <f t="shared" si="249"/>
        <v>Standard Class</v>
      </c>
      <c r="Z760">
        <v>1</v>
      </c>
      <c r="AA760">
        <v>4166.91</v>
      </c>
      <c r="AB760">
        <v>0</v>
      </c>
      <c r="AC760">
        <f t="shared" si="250"/>
        <v>0</v>
      </c>
      <c r="AD760" t="str">
        <f t="shared" si="253"/>
        <v>Valid</v>
      </c>
      <c r="AE760">
        <v>4166.91</v>
      </c>
      <c r="AF760">
        <v>3412.63</v>
      </c>
      <c r="AG760">
        <v>754.28</v>
      </c>
      <c r="AH760" t="s">
        <v>33</v>
      </c>
      <c r="AI760" t="str">
        <f t="shared" si="254"/>
        <v>Include</v>
      </c>
      <c r="AJ760" t="str">
        <f t="shared" si="255"/>
        <v/>
      </c>
      <c r="AK760" t="s">
        <v>34</v>
      </c>
      <c r="AL760" t="str">
        <f t="shared" si="251"/>
        <v>Completed</v>
      </c>
      <c r="AM760" t="str">
        <f t="shared" si="256"/>
        <v>Include</v>
      </c>
      <c r="AN760">
        <f t="shared" si="257"/>
        <v>4166.91</v>
      </c>
      <c r="AO760">
        <f t="shared" si="258"/>
        <v>754.27999999999975</v>
      </c>
      <c r="AP760">
        <f>IF(AN760=0,0,AO760/AN760)</f>
        <v>0.18101662862888801</v>
      </c>
      <c r="AQ760" t="str">
        <f t="shared" si="259"/>
        <v>May</v>
      </c>
      <c r="AR760">
        <f t="shared" si="260"/>
        <v>2024</v>
      </c>
      <c r="AS760" t="str">
        <f t="shared" si="261"/>
        <v>Clean</v>
      </c>
      <c r="AT760" t="str">
        <f>IF(OR(AC760&lt;0,AC760&gt;0.5),"Invalid Discount","Valid")</f>
        <v>Valid</v>
      </c>
      <c r="AU760" t="str">
        <f>IF(G760&lt;E760,"Invalid Shipping Record","Valid")</f>
        <v>Valid</v>
      </c>
      <c r="AV760" t="str">
        <f>IF(OR(AL760="Cancelled",AH760="Failed"),"Exclude","Include")</f>
        <v>Include</v>
      </c>
      <c r="AW760" t="str">
        <f t="shared" si="262"/>
        <v>Match</v>
      </c>
      <c r="AX760" t="str">
        <f t="shared" si="263"/>
        <v>Match</v>
      </c>
    </row>
    <row r="761" spans="1:50">
      <c r="A761" t="s">
        <v>3517</v>
      </c>
      <c r="B761">
        <f t="shared" si="264"/>
        <v>1</v>
      </c>
      <c r="C761" t="str">
        <f t="shared" si="252"/>
        <v/>
      </c>
      <c r="D761" s="3" t="s">
        <v>405</v>
      </c>
      <c r="E761" s="7">
        <v>45492</v>
      </c>
      <c r="F761" s="3" t="s">
        <v>3518</v>
      </c>
      <c r="G761" s="7">
        <v>45499</v>
      </c>
      <c r="H761" s="7" t="str">
        <f t="shared" si="243"/>
        <v>Valid</v>
      </c>
      <c r="I761" s="9">
        <f t="shared" si="244"/>
        <v>7</v>
      </c>
      <c r="J761" s="9" t="str">
        <f t="shared" si="245"/>
        <v>Valid</v>
      </c>
      <c r="K761" t="s">
        <v>3519</v>
      </c>
      <c r="L761" t="s">
        <v>60</v>
      </c>
      <c r="M761" t="s">
        <v>60</v>
      </c>
      <c r="N761" t="s">
        <v>114</v>
      </c>
      <c r="O761" s="3" t="str">
        <f t="shared" si="246"/>
        <v>Home Office</v>
      </c>
      <c r="P761" t="s">
        <v>61</v>
      </c>
      <c r="Q761" s="3" t="str">
        <f t="shared" si="247"/>
        <v>South</v>
      </c>
      <c r="R761" t="s">
        <v>228</v>
      </c>
      <c r="S761" t="s">
        <v>229</v>
      </c>
      <c r="T761" t="s">
        <v>44</v>
      </c>
      <c r="U761" s="3" t="str">
        <f t="shared" si="248"/>
        <v>Furniture</v>
      </c>
      <c r="V761" t="s">
        <v>45</v>
      </c>
      <c r="W761" t="s">
        <v>3520</v>
      </c>
      <c r="X761" t="s">
        <v>32</v>
      </c>
      <c r="Y761" s="3" t="str">
        <f t="shared" si="249"/>
        <v>Second Class</v>
      </c>
      <c r="Z761">
        <v>5</v>
      </c>
      <c r="AA761">
        <v>3986.01</v>
      </c>
      <c r="AB761">
        <v>0.25</v>
      </c>
      <c r="AC761">
        <f t="shared" si="250"/>
        <v>0.25</v>
      </c>
      <c r="AD761" t="str">
        <f t="shared" si="253"/>
        <v>Valid</v>
      </c>
      <c r="AE761">
        <v>14947.54</v>
      </c>
      <c r="AF761">
        <v>9438.4599999999991</v>
      </c>
      <c r="AG761">
        <v>5509.08</v>
      </c>
      <c r="AH761" t="s">
        <v>33</v>
      </c>
      <c r="AI761" t="str">
        <f t="shared" si="254"/>
        <v>Include</v>
      </c>
      <c r="AJ761" t="str">
        <f t="shared" si="255"/>
        <v/>
      </c>
      <c r="AK761" t="s">
        <v>34</v>
      </c>
      <c r="AL761" t="str">
        <f t="shared" si="251"/>
        <v>Completed</v>
      </c>
      <c r="AM761" t="str">
        <f t="shared" si="256"/>
        <v>Include</v>
      </c>
      <c r="AN761">
        <f t="shared" si="257"/>
        <v>14947.537500000002</v>
      </c>
      <c r="AO761">
        <f t="shared" si="258"/>
        <v>5509.0775000000031</v>
      </c>
      <c r="AP761">
        <f>IF(AN761=0,0,AO761/AN761)</f>
        <v>0.36856087499362367</v>
      </c>
      <c r="AQ761" t="str">
        <f t="shared" si="259"/>
        <v>July</v>
      </c>
      <c r="AR761">
        <f t="shared" si="260"/>
        <v>2024</v>
      </c>
      <c r="AS761" t="str">
        <f t="shared" si="261"/>
        <v>Clean</v>
      </c>
      <c r="AT761" t="str">
        <f>IF(OR(AC761&lt;0,AC761&gt;0.5),"Invalid Discount","Valid")</f>
        <v>Valid</v>
      </c>
      <c r="AU761" t="str">
        <f>IF(G761&lt;E761,"Invalid Shipping Record","Valid")</f>
        <v>Valid</v>
      </c>
      <c r="AV761" t="str">
        <f>IF(OR(AL761="Cancelled",AH761="Failed"),"Exclude","Include")</f>
        <v>Include</v>
      </c>
      <c r="AW761" t="str">
        <f t="shared" si="262"/>
        <v>Match</v>
      </c>
      <c r="AX761" t="str">
        <f t="shared" si="263"/>
        <v>Match</v>
      </c>
    </row>
    <row r="762" spans="1:50">
      <c r="A762" t="s">
        <v>3521</v>
      </c>
      <c r="B762">
        <f t="shared" si="264"/>
        <v>1</v>
      </c>
      <c r="C762" t="str">
        <f t="shared" si="252"/>
        <v/>
      </c>
      <c r="D762" s="3" t="s">
        <v>3522</v>
      </c>
      <c r="E762" s="7">
        <v>45532</v>
      </c>
      <c r="F762" s="3" t="s">
        <v>1194</v>
      </c>
      <c r="G762" s="7">
        <v>45537</v>
      </c>
      <c r="H762" s="7" t="str">
        <f t="shared" si="243"/>
        <v>Valid</v>
      </c>
      <c r="I762" s="9">
        <f t="shared" si="244"/>
        <v>5</v>
      </c>
      <c r="J762" s="9" t="str">
        <f t="shared" si="245"/>
        <v>Valid</v>
      </c>
      <c r="K762" t="s">
        <v>3523</v>
      </c>
      <c r="L762" t="s">
        <v>106</v>
      </c>
      <c r="M762" t="s">
        <v>106</v>
      </c>
      <c r="N762" t="s">
        <v>114</v>
      </c>
      <c r="O762" s="3" t="str">
        <f t="shared" si="246"/>
        <v>Home Office</v>
      </c>
      <c r="P762" t="s">
        <v>41</v>
      </c>
      <c r="Q762" s="3" t="str">
        <f t="shared" si="247"/>
        <v>East</v>
      </c>
      <c r="R762" t="s">
        <v>215</v>
      </c>
      <c r="S762" t="s">
        <v>216</v>
      </c>
      <c r="T762" t="s">
        <v>29</v>
      </c>
      <c r="U762" s="3" t="str">
        <f t="shared" si="248"/>
        <v>Office Supplies</v>
      </c>
      <c r="V762" t="s">
        <v>53</v>
      </c>
      <c r="W762" t="s">
        <v>3524</v>
      </c>
      <c r="X762" t="s">
        <v>32</v>
      </c>
      <c r="Y762" s="3" t="str">
        <f t="shared" si="249"/>
        <v>Second Class</v>
      </c>
      <c r="Z762">
        <v>4</v>
      </c>
      <c r="AA762">
        <v>3365.53</v>
      </c>
      <c r="AB762">
        <v>0</v>
      </c>
      <c r="AC762">
        <f t="shared" si="250"/>
        <v>0</v>
      </c>
      <c r="AD762" t="str">
        <f t="shared" si="253"/>
        <v>Valid</v>
      </c>
      <c r="AE762">
        <v>13462.12</v>
      </c>
      <c r="AF762">
        <v>7600.63</v>
      </c>
      <c r="AG762">
        <v>5861.49</v>
      </c>
      <c r="AH762" t="s">
        <v>136</v>
      </c>
      <c r="AI762" t="str">
        <f t="shared" si="254"/>
        <v>Include</v>
      </c>
      <c r="AJ762" t="str">
        <f t="shared" si="255"/>
        <v/>
      </c>
      <c r="AK762" t="s">
        <v>124</v>
      </c>
      <c r="AL762" t="str">
        <f t="shared" si="251"/>
        <v>Returned</v>
      </c>
      <c r="AM762" t="str">
        <f t="shared" si="256"/>
        <v>Include</v>
      </c>
      <c r="AN762">
        <f t="shared" si="257"/>
        <v>13462.12</v>
      </c>
      <c r="AO762">
        <f t="shared" si="258"/>
        <v>5861.4900000000007</v>
      </c>
      <c r="AP762">
        <f>IF(AN762=0,0,AO762/AN762)</f>
        <v>0.43540616188237813</v>
      </c>
      <c r="AQ762" t="str">
        <f t="shared" si="259"/>
        <v>August</v>
      </c>
      <c r="AR762">
        <f t="shared" si="260"/>
        <v>2024</v>
      </c>
      <c r="AS762" t="str">
        <f t="shared" si="261"/>
        <v>Clean</v>
      </c>
      <c r="AT762" t="str">
        <f>IF(OR(AC762&lt;0,AC762&gt;0.5),"Invalid Discount","Valid")</f>
        <v>Valid</v>
      </c>
      <c r="AU762" t="str">
        <f>IF(G762&lt;E762,"Invalid Shipping Record","Valid")</f>
        <v>Valid</v>
      </c>
      <c r="AV762" t="str">
        <f>IF(OR(AL762="Cancelled",AH762="Failed"),"Exclude","Include")</f>
        <v>Include</v>
      </c>
      <c r="AW762" t="str">
        <f t="shared" si="262"/>
        <v>Match</v>
      </c>
      <c r="AX762" t="str">
        <f t="shared" si="263"/>
        <v>Match</v>
      </c>
    </row>
    <row r="763" spans="1:50">
      <c r="A763" t="s">
        <v>3525</v>
      </c>
      <c r="B763">
        <f t="shared" si="264"/>
        <v>1</v>
      </c>
      <c r="C763" t="str">
        <f t="shared" si="252"/>
        <v/>
      </c>
      <c r="D763" s="3" t="s">
        <v>454</v>
      </c>
      <c r="E763" s="7">
        <v>45896</v>
      </c>
      <c r="F763" s="3" t="s">
        <v>3526</v>
      </c>
      <c r="G763" s="7">
        <v>45900</v>
      </c>
      <c r="H763" s="7" t="str">
        <f t="shared" si="243"/>
        <v>Valid</v>
      </c>
      <c r="I763" s="9">
        <f t="shared" si="244"/>
        <v>4</v>
      </c>
      <c r="J763" s="9" t="str">
        <f t="shared" si="245"/>
        <v>Valid</v>
      </c>
      <c r="K763" t="s">
        <v>3527</v>
      </c>
      <c r="L763" t="s">
        <v>52</v>
      </c>
      <c r="M763" t="s">
        <v>52</v>
      </c>
      <c r="N763" t="s">
        <v>25</v>
      </c>
      <c r="O763" s="3" t="str">
        <f t="shared" si="246"/>
        <v>Consumer</v>
      </c>
      <c r="P763" t="s">
        <v>61</v>
      </c>
      <c r="Q763" s="3" t="str">
        <f t="shared" si="247"/>
        <v>South</v>
      </c>
      <c r="R763" t="s">
        <v>228</v>
      </c>
      <c r="S763" t="s">
        <v>229</v>
      </c>
      <c r="T763" t="s">
        <v>85</v>
      </c>
      <c r="U763" s="3" t="str">
        <f t="shared" si="248"/>
        <v>Technology</v>
      </c>
      <c r="V763" t="s">
        <v>381</v>
      </c>
      <c r="W763" t="s">
        <v>3528</v>
      </c>
      <c r="X763" t="s">
        <v>55</v>
      </c>
      <c r="Y763" s="3" t="str">
        <f t="shared" si="249"/>
        <v>First Class</v>
      </c>
      <c r="Z763">
        <v>3</v>
      </c>
      <c r="AA763">
        <v>2489.12</v>
      </c>
      <c r="AB763">
        <v>0</v>
      </c>
      <c r="AC763">
        <f t="shared" si="250"/>
        <v>0</v>
      </c>
      <c r="AD763" t="str">
        <f t="shared" si="253"/>
        <v>Valid</v>
      </c>
      <c r="AE763">
        <v>7467.36</v>
      </c>
      <c r="AF763">
        <v>5010.6099999999997</v>
      </c>
      <c r="AG763">
        <v>2456.75</v>
      </c>
      <c r="AH763" t="s">
        <v>33</v>
      </c>
      <c r="AI763" t="str">
        <f t="shared" si="254"/>
        <v>Include</v>
      </c>
      <c r="AJ763" t="str">
        <f t="shared" si="255"/>
        <v/>
      </c>
      <c r="AK763" t="s">
        <v>34</v>
      </c>
      <c r="AL763" t="str">
        <f t="shared" si="251"/>
        <v>Completed</v>
      </c>
      <c r="AM763" t="str">
        <f t="shared" si="256"/>
        <v>Include</v>
      </c>
      <c r="AN763">
        <f t="shared" si="257"/>
        <v>7467.36</v>
      </c>
      <c r="AO763">
        <f t="shared" si="258"/>
        <v>2456.75</v>
      </c>
      <c r="AP763">
        <f>IF(AN763=0,0,AO763/AN763)</f>
        <v>0.32899846799940008</v>
      </c>
      <c r="AQ763" t="str">
        <f t="shared" si="259"/>
        <v>August</v>
      </c>
      <c r="AR763">
        <f t="shared" si="260"/>
        <v>2025</v>
      </c>
      <c r="AS763" t="str">
        <f t="shared" si="261"/>
        <v>Clean</v>
      </c>
      <c r="AT763" t="str">
        <f>IF(OR(AC763&lt;0,AC763&gt;0.5),"Invalid Discount","Valid")</f>
        <v>Valid</v>
      </c>
      <c r="AU763" t="str">
        <f>IF(G763&lt;E763,"Invalid Shipping Record","Valid")</f>
        <v>Valid</v>
      </c>
      <c r="AV763" t="str">
        <f>IF(OR(AL763="Cancelled",AH763="Failed"),"Exclude","Include")</f>
        <v>Include</v>
      </c>
      <c r="AW763" t="str">
        <f t="shared" si="262"/>
        <v>Match</v>
      </c>
      <c r="AX763" t="str">
        <f t="shared" si="263"/>
        <v>Match</v>
      </c>
    </row>
    <row r="764" spans="1:50">
      <c r="A764" t="s">
        <v>3529</v>
      </c>
      <c r="B764">
        <f t="shared" si="264"/>
        <v>1</v>
      </c>
      <c r="C764" t="str">
        <f t="shared" si="252"/>
        <v/>
      </c>
      <c r="D764" s="3" t="s">
        <v>3530</v>
      </c>
      <c r="E764" s="7">
        <v>45292</v>
      </c>
      <c r="F764" s="3" t="s">
        <v>3531</v>
      </c>
      <c r="G764" s="7">
        <v>45296</v>
      </c>
      <c r="H764" s="7" t="str">
        <f t="shared" si="243"/>
        <v>Valid</v>
      </c>
      <c r="I764" s="9">
        <f t="shared" si="244"/>
        <v>4</v>
      </c>
      <c r="J764" s="9" t="str">
        <f t="shared" si="245"/>
        <v>Valid</v>
      </c>
      <c r="K764" t="s">
        <v>3532</v>
      </c>
      <c r="L764" t="s">
        <v>209</v>
      </c>
      <c r="M764" t="s">
        <v>209</v>
      </c>
      <c r="N764" t="s">
        <v>107</v>
      </c>
      <c r="O764" s="3" t="str">
        <f t="shared" si="246"/>
        <v>Corporate</v>
      </c>
      <c r="P764" t="s">
        <v>72</v>
      </c>
      <c r="Q764" s="3" t="str">
        <f t="shared" si="247"/>
        <v>West</v>
      </c>
      <c r="R764" t="s">
        <v>83</v>
      </c>
      <c r="S764" t="s">
        <v>84</v>
      </c>
      <c r="T764" t="s">
        <v>85</v>
      </c>
      <c r="U764" s="3" t="str">
        <f t="shared" si="248"/>
        <v>Technology</v>
      </c>
      <c r="V764" t="s">
        <v>381</v>
      </c>
      <c r="W764" t="s">
        <v>3533</v>
      </c>
      <c r="X764" t="s">
        <v>32</v>
      </c>
      <c r="Y764" s="3" t="str">
        <f t="shared" si="249"/>
        <v>Second Class</v>
      </c>
      <c r="Z764">
        <v>2</v>
      </c>
      <c r="AA764">
        <v>3694.12</v>
      </c>
      <c r="AB764">
        <v>0.2</v>
      </c>
      <c r="AC764">
        <f t="shared" si="250"/>
        <v>0.2</v>
      </c>
      <c r="AD764" t="str">
        <f t="shared" si="253"/>
        <v>Valid</v>
      </c>
      <c r="AE764">
        <v>5910.59</v>
      </c>
      <c r="AF764">
        <v>4775.4399999999996</v>
      </c>
      <c r="AG764">
        <v>1135.1500000000001</v>
      </c>
      <c r="AH764" t="s">
        <v>123</v>
      </c>
      <c r="AI764" t="str">
        <f t="shared" si="254"/>
        <v>Include</v>
      </c>
      <c r="AJ764" t="str">
        <f t="shared" si="255"/>
        <v>Refunded Order</v>
      </c>
      <c r="AK764" t="s">
        <v>124</v>
      </c>
      <c r="AL764" t="str">
        <f t="shared" si="251"/>
        <v>Returned</v>
      </c>
      <c r="AM764" t="str">
        <f t="shared" si="256"/>
        <v>Include</v>
      </c>
      <c r="AN764">
        <f t="shared" si="257"/>
        <v>5910.5920000000006</v>
      </c>
      <c r="AO764">
        <f t="shared" si="258"/>
        <v>1135.152000000001</v>
      </c>
      <c r="AP764">
        <f>IF(AN764=0,0,AO764/AN764)</f>
        <v>0.19205385856442145</v>
      </c>
      <c r="AQ764" t="str">
        <f t="shared" si="259"/>
        <v>January</v>
      </c>
      <c r="AR764">
        <f t="shared" si="260"/>
        <v>2024</v>
      </c>
      <c r="AS764" t="str">
        <f t="shared" si="261"/>
        <v>Clean</v>
      </c>
      <c r="AT764" t="str">
        <f>IF(OR(AC764&lt;0,AC764&gt;0.5),"Invalid Discount","Valid")</f>
        <v>Valid</v>
      </c>
      <c r="AU764" t="str">
        <f>IF(G764&lt;E764,"Invalid Shipping Record","Valid")</f>
        <v>Valid</v>
      </c>
      <c r="AV764" t="str">
        <f>IF(OR(AL764="Cancelled",AH764="Failed"),"Exclude","Include")</f>
        <v>Include</v>
      </c>
      <c r="AW764" t="str">
        <f t="shared" si="262"/>
        <v>Match</v>
      </c>
      <c r="AX764" t="str">
        <f t="shared" si="263"/>
        <v>Match</v>
      </c>
    </row>
    <row r="765" spans="1:50">
      <c r="A765" t="s">
        <v>3534</v>
      </c>
      <c r="B765">
        <f t="shared" si="264"/>
        <v>1</v>
      </c>
      <c r="C765" t="str">
        <f t="shared" si="252"/>
        <v/>
      </c>
      <c r="D765" s="3" t="s">
        <v>3535</v>
      </c>
      <c r="E765" s="7">
        <v>45892</v>
      </c>
      <c r="F765" s="3" t="s">
        <v>3536</v>
      </c>
      <c r="G765" s="7">
        <v>45894</v>
      </c>
      <c r="H765" s="7" t="str">
        <f t="shared" si="243"/>
        <v>Valid</v>
      </c>
      <c r="I765" s="9">
        <f t="shared" si="244"/>
        <v>2</v>
      </c>
      <c r="J765" s="9" t="str">
        <f t="shared" si="245"/>
        <v>Valid</v>
      </c>
      <c r="K765" t="s">
        <v>3537</v>
      </c>
      <c r="L765" t="s">
        <v>209</v>
      </c>
      <c r="M765" t="s">
        <v>209</v>
      </c>
      <c r="N765" t="s">
        <v>25</v>
      </c>
      <c r="O765" s="3" t="str">
        <f t="shared" si="246"/>
        <v>Consumer</v>
      </c>
      <c r="P765" t="s">
        <v>26</v>
      </c>
      <c r="Q765" s="3" t="str">
        <f t="shared" si="247"/>
        <v>North</v>
      </c>
      <c r="R765" t="s">
        <v>27</v>
      </c>
      <c r="S765" t="s">
        <v>28</v>
      </c>
      <c r="T765" t="s">
        <v>44</v>
      </c>
      <c r="U765" s="3" t="str">
        <f t="shared" si="248"/>
        <v>Furniture</v>
      </c>
      <c r="V765" t="s">
        <v>64</v>
      </c>
      <c r="W765" t="s">
        <v>3538</v>
      </c>
      <c r="X765" t="s">
        <v>47</v>
      </c>
      <c r="Y765" s="3" t="str">
        <f t="shared" si="249"/>
        <v>Same Day</v>
      </c>
      <c r="Z765">
        <v>6</v>
      </c>
      <c r="AA765">
        <v>2742.48</v>
      </c>
      <c r="AB765">
        <v>0</v>
      </c>
      <c r="AC765">
        <f t="shared" si="250"/>
        <v>0</v>
      </c>
      <c r="AD765" t="str">
        <f t="shared" si="253"/>
        <v>Valid</v>
      </c>
      <c r="AE765">
        <v>16454.88</v>
      </c>
      <c r="AF765">
        <v>12081.54</v>
      </c>
      <c r="AG765">
        <v>4373.34</v>
      </c>
      <c r="AH765" t="s">
        <v>33</v>
      </c>
      <c r="AI765" t="str">
        <f t="shared" si="254"/>
        <v>Include</v>
      </c>
      <c r="AJ765" t="str">
        <f t="shared" si="255"/>
        <v/>
      </c>
      <c r="AK765" t="s">
        <v>34</v>
      </c>
      <c r="AL765" t="str">
        <f t="shared" si="251"/>
        <v>Completed</v>
      </c>
      <c r="AM765" t="str">
        <f t="shared" si="256"/>
        <v>Include</v>
      </c>
      <c r="AN765">
        <f t="shared" si="257"/>
        <v>16454.88</v>
      </c>
      <c r="AO765">
        <f t="shared" si="258"/>
        <v>4373.34</v>
      </c>
      <c r="AP765">
        <f>IF(AN765=0,0,AO765/AN765)</f>
        <v>0.26577769026574488</v>
      </c>
      <c r="AQ765" t="str">
        <f t="shared" si="259"/>
        <v>August</v>
      </c>
      <c r="AR765">
        <f t="shared" si="260"/>
        <v>2025</v>
      </c>
      <c r="AS765" t="str">
        <f t="shared" si="261"/>
        <v>Clean</v>
      </c>
      <c r="AT765" t="str">
        <f>IF(OR(AC765&lt;0,AC765&gt;0.5),"Invalid Discount","Valid")</f>
        <v>Valid</v>
      </c>
      <c r="AU765" t="str">
        <f>IF(G765&lt;E765,"Invalid Shipping Record","Valid")</f>
        <v>Valid</v>
      </c>
      <c r="AV765" t="str">
        <f>IF(OR(AL765="Cancelled",AH765="Failed"),"Exclude","Include")</f>
        <v>Include</v>
      </c>
      <c r="AW765" t="str">
        <f t="shared" si="262"/>
        <v>Match</v>
      </c>
      <c r="AX765" t="str">
        <f t="shared" si="263"/>
        <v>Match</v>
      </c>
    </row>
    <row r="766" spans="1:50">
      <c r="A766" t="s">
        <v>3539</v>
      </c>
      <c r="B766">
        <f t="shared" si="264"/>
        <v>1</v>
      </c>
      <c r="C766" t="str">
        <f t="shared" si="252"/>
        <v/>
      </c>
      <c r="D766" s="3" t="s">
        <v>1861</v>
      </c>
      <c r="E766" s="7">
        <v>45760</v>
      </c>
      <c r="F766" s="3" t="s">
        <v>2912</v>
      </c>
      <c r="G766" s="7">
        <v>45760</v>
      </c>
      <c r="H766" s="7" t="str">
        <f t="shared" si="243"/>
        <v>Valid</v>
      </c>
      <c r="I766" s="9">
        <f t="shared" si="244"/>
        <v>0</v>
      </c>
      <c r="J766" s="9" t="str">
        <f t="shared" si="245"/>
        <v>Valid</v>
      </c>
      <c r="K766" t="s">
        <v>1353</v>
      </c>
      <c r="L766" t="s">
        <v>141</v>
      </c>
      <c r="M766" t="s">
        <v>141</v>
      </c>
      <c r="N766" t="s">
        <v>107</v>
      </c>
      <c r="O766" s="3" t="str">
        <f t="shared" si="246"/>
        <v>Corporate</v>
      </c>
      <c r="P766" t="s">
        <v>61</v>
      </c>
      <c r="Q766" s="3" t="str">
        <f t="shared" si="247"/>
        <v>South</v>
      </c>
      <c r="R766" t="s">
        <v>241</v>
      </c>
      <c r="S766" t="s">
        <v>242</v>
      </c>
      <c r="T766" t="s">
        <v>44</v>
      </c>
      <c r="U766" s="3" t="str">
        <f t="shared" si="248"/>
        <v>Furniture</v>
      </c>
      <c r="V766" t="s">
        <v>203</v>
      </c>
      <c r="W766" t="s">
        <v>3540</v>
      </c>
      <c r="X766" t="s">
        <v>55</v>
      </c>
      <c r="Y766" s="3" t="str">
        <f t="shared" si="249"/>
        <v>First Class</v>
      </c>
      <c r="Z766">
        <v>6</v>
      </c>
      <c r="AA766">
        <v>4414</v>
      </c>
      <c r="AB766">
        <v>0.05</v>
      </c>
      <c r="AC766">
        <f t="shared" si="250"/>
        <v>0.05</v>
      </c>
      <c r="AD766" t="str">
        <f t="shared" si="253"/>
        <v>Valid</v>
      </c>
      <c r="AE766">
        <v>25159.8</v>
      </c>
      <c r="AF766">
        <v>21606.83</v>
      </c>
      <c r="AG766">
        <v>3552.97</v>
      </c>
      <c r="AH766" t="s">
        <v>33</v>
      </c>
      <c r="AI766" t="str">
        <f t="shared" si="254"/>
        <v>Include</v>
      </c>
      <c r="AJ766" t="str">
        <f t="shared" si="255"/>
        <v/>
      </c>
      <c r="AK766" t="s">
        <v>34</v>
      </c>
      <c r="AL766" t="str">
        <f t="shared" si="251"/>
        <v>Completed</v>
      </c>
      <c r="AM766" t="str">
        <f t="shared" si="256"/>
        <v>Include</v>
      </c>
      <c r="AN766">
        <f t="shared" si="257"/>
        <v>25159.8</v>
      </c>
      <c r="AO766">
        <f t="shared" si="258"/>
        <v>3552.9699999999975</v>
      </c>
      <c r="AP766">
        <f>IF(AN766=0,0,AO766/AN766)</f>
        <v>0.14121614639226057</v>
      </c>
      <c r="AQ766" t="str">
        <f t="shared" si="259"/>
        <v>April</v>
      </c>
      <c r="AR766">
        <f t="shared" si="260"/>
        <v>2025</v>
      </c>
      <c r="AS766" t="str">
        <f t="shared" si="261"/>
        <v>Clean</v>
      </c>
      <c r="AT766" t="str">
        <f>IF(OR(AC766&lt;0,AC766&gt;0.5),"Invalid Discount","Valid")</f>
        <v>Valid</v>
      </c>
      <c r="AU766" t="str">
        <f>IF(G766&lt;E766,"Invalid Shipping Record","Valid")</f>
        <v>Valid</v>
      </c>
      <c r="AV766" t="str">
        <f>IF(OR(AL766="Cancelled",AH766="Failed"),"Exclude","Include")</f>
        <v>Include</v>
      </c>
      <c r="AW766" t="str">
        <f t="shared" si="262"/>
        <v>Match</v>
      </c>
      <c r="AX766" t="str">
        <f t="shared" si="263"/>
        <v>Match</v>
      </c>
    </row>
    <row r="767" spans="1:50">
      <c r="A767" t="s">
        <v>3541</v>
      </c>
      <c r="B767">
        <f t="shared" si="264"/>
        <v>1</v>
      </c>
      <c r="C767" t="str">
        <f t="shared" si="252"/>
        <v/>
      </c>
      <c r="D767" s="3" t="s">
        <v>3542</v>
      </c>
      <c r="E767" s="7">
        <v>45837</v>
      </c>
      <c r="F767" s="3" t="s">
        <v>3543</v>
      </c>
      <c r="G767" s="7">
        <v>45841</v>
      </c>
      <c r="H767" s="7" t="str">
        <f t="shared" si="243"/>
        <v>Valid</v>
      </c>
      <c r="I767" s="9">
        <f t="shared" si="244"/>
        <v>4</v>
      </c>
      <c r="J767" s="9" t="str">
        <f t="shared" si="245"/>
        <v>Valid</v>
      </c>
      <c r="K767" t="s">
        <v>3544</v>
      </c>
      <c r="L767" t="s">
        <v>82</v>
      </c>
      <c r="M767" t="s">
        <v>82</v>
      </c>
      <c r="N767" t="s">
        <v>107</v>
      </c>
      <c r="O767" s="3" t="str">
        <f t="shared" si="246"/>
        <v>Corporate</v>
      </c>
      <c r="P767" t="s">
        <v>41</v>
      </c>
      <c r="Q767" s="3" t="str">
        <f t="shared" si="247"/>
        <v>East</v>
      </c>
      <c r="R767" t="s">
        <v>310</v>
      </c>
      <c r="S767" t="s">
        <v>311</v>
      </c>
      <c r="T767" t="s">
        <v>29</v>
      </c>
      <c r="U767" s="3" t="str">
        <f t="shared" si="248"/>
        <v>Office Supplies</v>
      </c>
      <c r="V767" t="s">
        <v>108</v>
      </c>
      <c r="W767" t="s">
        <v>3545</v>
      </c>
      <c r="X767" t="s">
        <v>55</v>
      </c>
      <c r="Y767" s="3" t="str">
        <f t="shared" si="249"/>
        <v>First Class</v>
      </c>
      <c r="Z767">
        <v>3</v>
      </c>
      <c r="AA767">
        <v>608.14</v>
      </c>
      <c r="AB767">
        <v>0</v>
      </c>
      <c r="AC767">
        <f t="shared" si="250"/>
        <v>0</v>
      </c>
      <c r="AD767" t="str">
        <f t="shared" si="253"/>
        <v>Valid</v>
      </c>
      <c r="AE767">
        <v>1824.42</v>
      </c>
      <c r="AF767">
        <v>1214.8699999999999</v>
      </c>
      <c r="AG767">
        <v>609.54999999999995</v>
      </c>
      <c r="AH767" t="s">
        <v>33</v>
      </c>
      <c r="AI767" t="str">
        <f t="shared" si="254"/>
        <v>Include</v>
      </c>
      <c r="AJ767" t="str">
        <f t="shared" si="255"/>
        <v/>
      </c>
      <c r="AK767" t="s">
        <v>34</v>
      </c>
      <c r="AL767" t="str">
        <f t="shared" si="251"/>
        <v>Completed</v>
      </c>
      <c r="AM767" t="str">
        <f t="shared" si="256"/>
        <v>Include</v>
      </c>
      <c r="AN767">
        <f t="shared" si="257"/>
        <v>1824.42</v>
      </c>
      <c r="AO767">
        <f t="shared" si="258"/>
        <v>609.55000000000018</v>
      </c>
      <c r="AP767">
        <f>IF(AN767=0,0,AO767/AN767)</f>
        <v>0.33410618169061956</v>
      </c>
      <c r="AQ767" t="str">
        <f t="shared" si="259"/>
        <v>June</v>
      </c>
      <c r="AR767">
        <f t="shared" si="260"/>
        <v>2025</v>
      </c>
      <c r="AS767" t="str">
        <f t="shared" si="261"/>
        <v>Clean</v>
      </c>
      <c r="AT767" t="str">
        <f>IF(OR(AC767&lt;0,AC767&gt;0.5),"Invalid Discount","Valid")</f>
        <v>Valid</v>
      </c>
      <c r="AU767" t="str">
        <f>IF(G767&lt;E767,"Invalid Shipping Record","Valid")</f>
        <v>Valid</v>
      </c>
      <c r="AV767" t="str">
        <f>IF(OR(AL767="Cancelled",AH767="Failed"),"Exclude","Include")</f>
        <v>Include</v>
      </c>
      <c r="AW767" t="str">
        <f t="shared" si="262"/>
        <v>Match</v>
      </c>
      <c r="AX767" t="str">
        <f t="shared" si="263"/>
        <v>Match</v>
      </c>
    </row>
    <row r="768" spans="1:50">
      <c r="A768" t="s">
        <v>3546</v>
      </c>
      <c r="B768">
        <f t="shared" si="264"/>
        <v>1</v>
      </c>
      <c r="C768" t="str">
        <f t="shared" si="252"/>
        <v/>
      </c>
      <c r="D768" s="3" t="s">
        <v>3547</v>
      </c>
      <c r="E768" s="7">
        <v>45552</v>
      </c>
      <c r="F768" s="3" t="s">
        <v>2008</v>
      </c>
      <c r="G768" s="7">
        <v>45559</v>
      </c>
      <c r="H768" s="7" t="str">
        <f t="shared" si="243"/>
        <v>Valid</v>
      </c>
      <c r="I768" s="9">
        <f t="shared" si="244"/>
        <v>7</v>
      </c>
      <c r="J768" s="9" t="str">
        <f t="shared" si="245"/>
        <v>Valid</v>
      </c>
      <c r="K768" t="s">
        <v>3548</v>
      </c>
      <c r="L768" t="s">
        <v>39</v>
      </c>
      <c r="M768" t="s">
        <v>39</v>
      </c>
      <c r="N768" t="s">
        <v>107</v>
      </c>
      <c r="O768" s="3" t="str">
        <f t="shared" si="246"/>
        <v>Corporate</v>
      </c>
      <c r="P768" t="s">
        <v>72</v>
      </c>
      <c r="Q768" s="3" t="str">
        <f t="shared" si="247"/>
        <v>West</v>
      </c>
      <c r="R768" t="s">
        <v>234</v>
      </c>
      <c r="S768" t="s">
        <v>235</v>
      </c>
      <c r="T768" t="s">
        <v>29</v>
      </c>
      <c r="U768" s="3" t="str">
        <f t="shared" si="248"/>
        <v>Office Supplies</v>
      </c>
      <c r="V768" t="s">
        <v>53</v>
      </c>
      <c r="W768" t="s">
        <v>3549</v>
      </c>
      <c r="X768" t="s">
        <v>32</v>
      </c>
      <c r="Y768" s="3" t="str">
        <f t="shared" si="249"/>
        <v>Second Class</v>
      </c>
      <c r="Z768">
        <v>9</v>
      </c>
      <c r="AA768">
        <v>2307.96</v>
      </c>
      <c r="AB768">
        <v>0.2</v>
      </c>
      <c r="AC768">
        <f t="shared" si="250"/>
        <v>0.2</v>
      </c>
      <c r="AD768" t="str">
        <f t="shared" si="253"/>
        <v>Valid</v>
      </c>
      <c r="AE768">
        <v>16617.310000000001</v>
      </c>
      <c r="AF768">
        <v>9195.73</v>
      </c>
      <c r="AG768">
        <v>7421.58</v>
      </c>
      <c r="AH768" t="s">
        <v>33</v>
      </c>
      <c r="AI768" t="str">
        <f t="shared" si="254"/>
        <v>Exclude</v>
      </c>
      <c r="AJ768" t="str">
        <f t="shared" si="255"/>
        <v/>
      </c>
      <c r="AK768" t="s">
        <v>77</v>
      </c>
      <c r="AL768" t="str">
        <f t="shared" si="251"/>
        <v>Cancelled</v>
      </c>
      <c r="AM768" t="str">
        <f t="shared" si="256"/>
        <v>Exclude</v>
      </c>
      <c r="AN768">
        <f t="shared" si="257"/>
        <v>16617.312000000002</v>
      </c>
      <c r="AO768">
        <f t="shared" si="258"/>
        <v>7421.5820000000022</v>
      </c>
      <c r="AP768">
        <f>IF(AN768=0,0,AO768/AN768)</f>
        <v>0.44661747940942564</v>
      </c>
      <c r="AQ768" t="str">
        <f t="shared" si="259"/>
        <v>September</v>
      </c>
      <c r="AR768">
        <f t="shared" si="260"/>
        <v>2024</v>
      </c>
      <c r="AS768" t="str">
        <f t="shared" si="261"/>
        <v>Clean</v>
      </c>
      <c r="AT768" t="str">
        <f>IF(OR(AC768&lt;0,AC768&gt;0.5),"Invalid Discount","Valid")</f>
        <v>Valid</v>
      </c>
      <c r="AU768" t="str">
        <f>IF(G768&lt;E768,"Invalid Shipping Record","Valid")</f>
        <v>Valid</v>
      </c>
      <c r="AV768" t="str">
        <f>IF(OR(AL768="Cancelled",AH768="Failed"),"Exclude","Include")</f>
        <v>Exclude</v>
      </c>
      <c r="AW768" t="str">
        <f t="shared" si="262"/>
        <v>Match</v>
      </c>
      <c r="AX768" t="str">
        <f t="shared" si="263"/>
        <v>Match</v>
      </c>
    </row>
    <row r="769" spans="1:50">
      <c r="A769" t="s">
        <v>3550</v>
      </c>
      <c r="B769">
        <f t="shared" si="264"/>
        <v>1</v>
      </c>
      <c r="C769" t="str">
        <f t="shared" si="252"/>
        <v/>
      </c>
      <c r="D769" s="3" t="s">
        <v>3551</v>
      </c>
      <c r="E769" s="7">
        <v>45415</v>
      </c>
      <c r="F769" s="3" t="s">
        <v>2707</v>
      </c>
      <c r="G769" s="7">
        <v>45418</v>
      </c>
      <c r="H769" s="7" t="str">
        <f t="shared" si="243"/>
        <v>Valid</v>
      </c>
      <c r="I769" s="9">
        <f t="shared" si="244"/>
        <v>3</v>
      </c>
      <c r="J769" s="9" t="str">
        <f t="shared" si="245"/>
        <v>Valid</v>
      </c>
      <c r="K769" t="s">
        <v>3552</v>
      </c>
      <c r="L769" t="s">
        <v>71</v>
      </c>
      <c r="M769" t="s">
        <v>71</v>
      </c>
      <c r="N769" t="s">
        <v>114</v>
      </c>
      <c r="O769" s="3" t="str">
        <f t="shared" si="246"/>
        <v>Home Office</v>
      </c>
      <c r="P769" t="s">
        <v>26</v>
      </c>
      <c r="Q769" s="3" t="str">
        <f t="shared" si="247"/>
        <v>North</v>
      </c>
      <c r="R769" t="s">
        <v>173</v>
      </c>
      <c r="S769" t="s">
        <v>174</v>
      </c>
      <c r="T769" t="s">
        <v>917</v>
      </c>
      <c r="U769" s="3" t="str">
        <f t="shared" si="248"/>
        <v>Office Supplies</v>
      </c>
      <c r="V769" t="s">
        <v>197</v>
      </c>
      <c r="W769" t="s">
        <v>3553</v>
      </c>
      <c r="X769" t="s">
        <v>66</v>
      </c>
      <c r="Y769" s="3" t="str">
        <f t="shared" si="249"/>
        <v>Standard Class</v>
      </c>
      <c r="Z769">
        <v>1</v>
      </c>
      <c r="AA769">
        <v>1244.58</v>
      </c>
      <c r="AB769">
        <v>0.25</v>
      </c>
      <c r="AC769">
        <f t="shared" si="250"/>
        <v>0.25</v>
      </c>
      <c r="AD769" t="str">
        <f t="shared" si="253"/>
        <v>Valid</v>
      </c>
      <c r="AE769">
        <v>933.43</v>
      </c>
      <c r="AF769">
        <v>583.09</v>
      </c>
      <c r="AG769">
        <v>350.34</v>
      </c>
      <c r="AH769" t="s">
        <v>33</v>
      </c>
      <c r="AI769" t="str">
        <f t="shared" si="254"/>
        <v>Include</v>
      </c>
      <c r="AJ769" t="str">
        <f t="shared" si="255"/>
        <v/>
      </c>
      <c r="AK769" t="s">
        <v>34</v>
      </c>
      <c r="AL769" t="str">
        <f t="shared" si="251"/>
        <v>Completed</v>
      </c>
      <c r="AM769" t="str">
        <f t="shared" si="256"/>
        <v>Include</v>
      </c>
      <c r="AN769">
        <f t="shared" si="257"/>
        <v>933.43499999999995</v>
      </c>
      <c r="AO769">
        <f t="shared" si="258"/>
        <v>350.34499999999991</v>
      </c>
      <c r="AP769">
        <f>IF(AN769=0,0,AO769/AN769)</f>
        <v>0.3753287588316272</v>
      </c>
      <c r="AQ769" t="str">
        <f t="shared" si="259"/>
        <v>May</v>
      </c>
      <c r="AR769">
        <f t="shared" si="260"/>
        <v>2024</v>
      </c>
      <c r="AS769" t="str">
        <f t="shared" si="261"/>
        <v>Clean</v>
      </c>
      <c r="AT769" t="str">
        <f>IF(OR(AC769&lt;0,AC769&gt;0.5),"Invalid Discount","Valid")</f>
        <v>Valid</v>
      </c>
      <c r="AU769" t="str">
        <f>IF(G769&lt;E769,"Invalid Shipping Record","Valid")</f>
        <v>Valid</v>
      </c>
      <c r="AV769" t="str">
        <f>IF(OR(AL769="Cancelled",AH769="Failed"),"Exclude","Include")</f>
        <v>Include</v>
      </c>
      <c r="AW769" t="str">
        <f t="shared" si="262"/>
        <v>Mismatch</v>
      </c>
      <c r="AX769" t="str">
        <f t="shared" si="263"/>
        <v>Mismatch</v>
      </c>
    </row>
    <row r="770" spans="1:50">
      <c r="A770" t="s">
        <v>3554</v>
      </c>
      <c r="B770">
        <f t="shared" si="264"/>
        <v>1</v>
      </c>
      <c r="C770" t="str">
        <f t="shared" si="252"/>
        <v/>
      </c>
      <c r="D770" s="3" t="s">
        <v>1811</v>
      </c>
      <c r="E770" s="7">
        <v>45749</v>
      </c>
      <c r="F770" s="3" t="s">
        <v>3555</v>
      </c>
      <c r="G770" s="7">
        <v>45751</v>
      </c>
      <c r="H770" s="7" t="str">
        <f t="shared" ref="H770:H833" si="265">IF(G770&lt;E770,"Invalid Shipping Record","Valid")</f>
        <v>Valid</v>
      </c>
      <c r="I770" s="9">
        <f t="shared" ref="I770:I833" si="266">G770-E770</f>
        <v>2</v>
      </c>
      <c r="J770" s="9" t="str">
        <f t="shared" ref="J770:J833" si="267">IF(OR(E770="",G770=""),"Missing Date",IF(OR(NOT(ISNUMBER(E770)),NOT(ISNUMBER(G770))),"Invalid Date",IF(G770&lt;E770,"Invalid Shipping Record","Valid")))</f>
        <v>Valid</v>
      </c>
      <c r="K770" t="s">
        <v>3556</v>
      </c>
      <c r="L770" t="s">
        <v>167</v>
      </c>
      <c r="M770" t="s">
        <v>167</v>
      </c>
      <c r="N770" t="s">
        <v>114</v>
      </c>
      <c r="O770" s="3" t="str">
        <f t="shared" ref="O770:O833" si="268">PROPER(TRIM(N770))</f>
        <v>Home Office</v>
      </c>
      <c r="P770" t="s">
        <v>41</v>
      </c>
      <c r="Q770" s="3" t="str">
        <f t="shared" ref="Q770:Q833" si="269">IF(TRIM(P770)="","Unknown",PROPER(TRIM(P770)))</f>
        <v>East</v>
      </c>
      <c r="R770" t="s">
        <v>310</v>
      </c>
      <c r="S770" t="s">
        <v>311</v>
      </c>
      <c r="T770" t="s">
        <v>29</v>
      </c>
      <c r="U770" s="3" t="str">
        <f t="shared" ref="U770:U833" si="270">PROPER(TRIM(T770))</f>
        <v>Office Supplies</v>
      </c>
      <c r="V770" t="s">
        <v>30</v>
      </c>
      <c r="W770" t="s">
        <v>3557</v>
      </c>
      <c r="X770" t="s">
        <v>47</v>
      </c>
      <c r="Y770" s="3" t="str">
        <f t="shared" ref="Y770:Y833" si="271">IF(TRIM(X770)="","Unknown",PROPER(TRIM(X770)))</f>
        <v>Same Day</v>
      </c>
      <c r="Z770">
        <v>5</v>
      </c>
      <c r="AA770">
        <v>3234.24</v>
      </c>
      <c r="AB770">
        <v>0.1</v>
      </c>
      <c r="AC770">
        <f t="shared" ref="AC770:AC833" si="272">IF(AND(AB770=" ",Z770=" ",AA770=" ",AF770=" "),0,AB770)</f>
        <v>0.1</v>
      </c>
      <c r="AD770" t="str">
        <f t="shared" si="253"/>
        <v>Valid</v>
      </c>
      <c r="AE770">
        <v>14554.08</v>
      </c>
      <c r="AF770">
        <v>11166.84</v>
      </c>
      <c r="AG770">
        <v>3387.24</v>
      </c>
      <c r="AH770" t="s">
        <v>33</v>
      </c>
      <c r="AI770" t="str">
        <f t="shared" si="254"/>
        <v>Include</v>
      </c>
      <c r="AJ770" t="str">
        <f t="shared" si="255"/>
        <v/>
      </c>
      <c r="AK770" t="s">
        <v>34</v>
      </c>
      <c r="AL770" t="str">
        <f t="shared" ref="AL770:AL833" si="273">PROPER(TRIM(AK770))</f>
        <v>Completed</v>
      </c>
      <c r="AM770" t="str">
        <f t="shared" si="256"/>
        <v>Include</v>
      </c>
      <c r="AN770">
        <f t="shared" si="257"/>
        <v>14554.08</v>
      </c>
      <c r="AO770">
        <f t="shared" si="258"/>
        <v>3387.24</v>
      </c>
      <c r="AP770">
        <f>IF(AN770=0,0,AO770/AN770)</f>
        <v>0.23273473830018798</v>
      </c>
      <c r="AQ770" t="str">
        <f t="shared" si="259"/>
        <v>April</v>
      </c>
      <c r="AR770">
        <f t="shared" si="260"/>
        <v>2025</v>
      </c>
      <c r="AS770" t="str">
        <f t="shared" si="261"/>
        <v>Clean</v>
      </c>
      <c r="AT770" t="str">
        <f>IF(OR(AC770&lt;0,AC770&gt;0.5),"Invalid Discount","Valid")</f>
        <v>Valid</v>
      </c>
      <c r="AU770" t="str">
        <f>IF(G770&lt;E770,"Invalid Shipping Record","Valid")</f>
        <v>Valid</v>
      </c>
      <c r="AV770" t="str">
        <f>IF(OR(AL770="Cancelled",AH770="Failed"),"Exclude","Include")</f>
        <v>Include</v>
      </c>
      <c r="AW770" t="str">
        <f t="shared" si="262"/>
        <v>Match</v>
      </c>
      <c r="AX770" t="str">
        <f t="shared" si="263"/>
        <v>Match</v>
      </c>
    </row>
    <row r="771" spans="1:50">
      <c r="A771" t="s">
        <v>3558</v>
      </c>
      <c r="B771">
        <f t="shared" si="264"/>
        <v>1</v>
      </c>
      <c r="C771" t="str">
        <f t="shared" ref="C771:C834" si="274">IF(B771&gt;1,"Review Required","")</f>
        <v/>
      </c>
      <c r="D771" s="3" t="s">
        <v>3559</v>
      </c>
      <c r="E771" s="7">
        <v>45423</v>
      </c>
      <c r="F771" s="3" t="s">
        <v>2017</v>
      </c>
      <c r="G771" s="7">
        <v>45425</v>
      </c>
      <c r="H771" s="7" t="str">
        <f t="shared" si="265"/>
        <v>Valid</v>
      </c>
      <c r="I771" s="9">
        <f t="shared" si="266"/>
        <v>2</v>
      </c>
      <c r="J771" s="9" t="str">
        <f t="shared" si="267"/>
        <v>Valid</v>
      </c>
      <c r="K771" t="s">
        <v>3560</v>
      </c>
      <c r="L771" t="s">
        <v>141</v>
      </c>
      <c r="M771" t="s">
        <v>141</v>
      </c>
      <c r="N771" t="s">
        <v>114</v>
      </c>
      <c r="O771" s="3" t="str">
        <f t="shared" si="268"/>
        <v>Home Office</v>
      </c>
      <c r="P771" t="s">
        <v>72</v>
      </c>
      <c r="Q771" s="3" t="str">
        <f t="shared" si="269"/>
        <v>West</v>
      </c>
      <c r="R771" t="s">
        <v>248</v>
      </c>
      <c r="S771" t="s">
        <v>249</v>
      </c>
      <c r="T771" t="s">
        <v>44</v>
      </c>
      <c r="U771" s="3" t="str">
        <f t="shared" si="270"/>
        <v>Furniture</v>
      </c>
      <c r="V771" t="s">
        <v>203</v>
      </c>
      <c r="W771" t="s">
        <v>3561</v>
      </c>
      <c r="X771" t="s">
        <v>47</v>
      </c>
      <c r="Y771" s="3" t="str">
        <f t="shared" si="271"/>
        <v>Same Day</v>
      </c>
      <c r="Z771">
        <v>3</v>
      </c>
      <c r="AA771">
        <v>3612.75</v>
      </c>
      <c r="AB771">
        <v>0.25</v>
      </c>
      <c r="AC771">
        <f t="shared" si="272"/>
        <v>0.25</v>
      </c>
      <c r="AD771" t="str">
        <f t="shared" ref="AD771:AD834" si="275">IF(AC771&lt;0,"Invalid Discount","Valid")</f>
        <v>Valid</v>
      </c>
      <c r="AE771">
        <v>8128.69</v>
      </c>
      <c r="AF771">
        <v>5071.66</v>
      </c>
      <c r="AG771">
        <v>3057.03</v>
      </c>
      <c r="AH771" t="s">
        <v>33</v>
      </c>
      <c r="AI771" t="str">
        <f t="shared" ref="AI771:AI834" si="276">IF(OR(AH771="Failed",AL771="Cancelled"),"Exclude","Include")</f>
        <v>Include</v>
      </c>
      <c r="AJ771" t="str">
        <f t="shared" ref="AJ771:AJ834" si="277">IF(AH771="Refunded","Refunded Order","")</f>
        <v/>
      </c>
      <c r="AK771" t="s">
        <v>34</v>
      </c>
      <c r="AL771" t="str">
        <f t="shared" si="273"/>
        <v>Completed</v>
      </c>
      <c r="AM771" t="str">
        <f t="shared" ref="AM771:AM834" si="278">IF(AL771="Cancelled","Exclude","Include")</f>
        <v>Include</v>
      </c>
      <c r="AN771">
        <f t="shared" ref="AN771:AN834" si="279">Z771*AA771*(1-AC771)</f>
        <v>8128.6875</v>
      </c>
      <c r="AO771">
        <f t="shared" ref="AO771:AO834" si="280">AN771-AF771</f>
        <v>3057.0275000000001</v>
      </c>
      <c r="AP771">
        <f>IF(AN771=0,0,AO771/AN771)</f>
        <v>0.3760788565189645</v>
      </c>
      <c r="AQ771" t="str">
        <f t="shared" ref="AQ771:AQ834" si="281">TEXT(E771,"mmmm")</f>
        <v>May</v>
      </c>
      <c r="AR771">
        <f t="shared" ref="AR771:AR834" si="282">YEAR(E771)</f>
        <v>2024</v>
      </c>
      <c r="AS771" t="str">
        <f t="shared" ref="AS771:AS834" si="283">IF(OR(AC771&lt;0,AC771&gt;1,G771&lt;E771),"Invalid",IF(OR(Q771="Unknown",Y771="Unknown"),"Warning","Clean"))</f>
        <v>Clean</v>
      </c>
      <c r="AT771" t="str">
        <f>IF(OR(AC771&lt;0,AC771&gt;0.5),"Invalid Discount","Valid")</f>
        <v>Valid</v>
      </c>
      <c r="AU771" t="str">
        <f>IF(G771&lt;E771,"Invalid Shipping Record","Valid")</f>
        <v>Valid</v>
      </c>
      <c r="AV771" t="str">
        <f>IF(OR(AL771="Cancelled",AH771="Failed"),"Exclude","Include")</f>
        <v>Include</v>
      </c>
      <c r="AW771" t="str">
        <f t="shared" ref="AW771:AW834" si="284">IF(ROUND(AE771,2)=ROUND(AN771,2),"Match","Mismatch")</f>
        <v>Match</v>
      </c>
      <c r="AX771" t="str">
        <f t="shared" ref="AX771:AX834" si="285">IF(ROUND(AG771,2)=ROUND(AO771,2),"Match","Mismatch")</f>
        <v>Match</v>
      </c>
    </row>
    <row r="772" spans="1:50">
      <c r="A772" t="s">
        <v>3562</v>
      </c>
      <c r="B772">
        <f t="shared" si="264"/>
        <v>1</v>
      </c>
      <c r="C772" t="str">
        <f t="shared" si="274"/>
        <v/>
      </c>
      <c r="D772" s="3" t="s">
        <v>2306</v>
      </c>
      <c r="E772" s="7">
        <v>45337</v>
      </c>
      <c r="F772" s="3" t="s">
        <v>2761</v>
      </c>
      <c r="G772" s="7">
        <v>45339</v>
      </c>
      <c r="H772" s="7" t="str">
        <f t="shared" si="265"/>
        <v>Valid</v>
      </c>
      <c r="I772" s="9">
        <f t="shared" si="266"/>
        <v>2</v>
      </c>
      <c r="J772" s="9" t="str">
        <f t="shared" si="267"/>
        <v>Valid</v>
      </c>
      <c r="K772" t="s">
        <v>3563</v>
      </c>
      <c r="L772" t="s">
        <v>92</v>
      </c>
      <c r="M772" t="s">
        <v>92</v>
      </c>
      <c r="N772" t="s">
        <v>25</v>
      </c>
      <c r="O772" s="3" t="str">
        <f t="shared" si="268"/>
        <v>Consumer</v>
      </c>
      <c r="P772" t="s">
        <v>26</v>
      </c>
      <c r="Q772" s="3" t="str">
        <f t="shared" si="269"/>
        <v>North</v>
      </c>
      <c r="R772" t="s">
        <v>173</v>
      </c>
      <c r="S772" t="s">
        <v>174</v>
      </c>
      <c r="T772" t="s">
        <v>85</v>
      </c>
      <c r="U772" s="3" t="str">
        <f t="shared" si="270"/>
        <v>Technology</v>
      </c>
      <c r="V772" t="s">
        <v>93</v>
      </c>
      <c r="W772" t="s">
        <v>3564</v>
      </c>
      <c r="X772" t="s">
        <v>55</v>
      </c>
      <c r="Y772" s="3" t="str">
        <f t="shared" si="271"/>
        <v>First Class</v>
      </c>
      <c r="Z772">
        <v>4</v>
      </c>
      <c r="AA772">
        <v>863</v>
      </c>
      <c r="AC772">
        <f t="shared" si="272"/>
        <v>0</v>
      </c>
      <c r="AD772" t="str">
        <f t="shared" si="275"/>
        <v>Valid</v>
      </c>
      <c r="AE772">
        <v>3106.8</v>
      </c>
      <c r="AF772">
        <v>2376.62</v>
      </c>
      <c r="AG772">
        <v>730.18</v>
      </c>
      <c r="AH772" t="s">
        <v>33</v>
      </c>
      <c r="AI772" t="str">
        <f t="shared" si="276"/>
        <v>Include</v>
      </c>
      <c r="AJ772" t="str">
        <f t="shared" si="277"/>
        <v/>
      </c>
      <c r="AK772" t="s">
        <v>34</v>
      </c>
      <c r="AL772" t="str">
        <f t="shared" si="273"/>
        <v>Completed</v>
      </c>
      <c r="AM772" t="str">
        <f t="shared" si="278"/>
        <v>Include</v>
      </c>
      <c r="AN772">
        <f t="shared" si="279"/>
        <v>3452</v>
      </c>
      <c r="AO772">
        <f t="shared" si="280"/>
        <v>1075.3800000000001</v>
      </c>
      <c r="AP772">
        <f>IF(AN772=0,0,AO772/AN772)</f>
        <v>0.3115237543453071</v>
      </c>
      <c r="AQ772" t="str">
        <f t="shared" si="281"/>
        <v>February</v>
      </c>
      <c r="AR772">
        <f t="shared" si="282"/>
        <v>2024</v>
      </c>
      <c r="AS772" t="str">
        <f t="shared" si="283"/>
        <v>Clean</v>
      </c>
      <c r="AT772" t="str">
        <f>IF(OR(AC772&lt;0,AC772&gt;0.5),"Invalid Discount","Valid")</f>
        <v>Valid</v>
      </c>
      <c r="AU772" t="str">
        <f>IF(G772&lt;E772,"Invalid Shipping Record","Valid")</f>
        <v>Valid</v>
      </c>
      <c r="AV772" t="str">
        <f>IF(OR(AL772="Cancelled",AH772="Failed"),"Exclude","Include")</f>
        <v>Include</v>
      </c>
      <c r="AW772" t="str">
        <f t="shared" si="284"/>
        <v>Mismatch</v>
      </c>
      <c r="AX772" t="str">
        <f t="shared" si="285"/>
        <v>Mismatch</v>
      </c>
    </row>
    <row r="773" spans="1:50">
      <c r="A773" t="s">
        <v>3565</v>
      </c>
      <c r="B773">
        <f t="shared" si="264"/>
        <v>1</v>
      </c>
      <c r="C773" t="str">
        <f t="shared" si="274"/>
        <v/>
      </c>
      <c r="D773" s="3" t="s">
        <v>3566</v>
      </c>
      <c r="E773" s="7">
        <v>45485</v>
      </c>
      <c r="F773" s="3" t="s">
        <v>2622</v>
      </c>
      <c r="G773" s="7">
        <v>45487</v>
      </c>
      <c r="H773" s="7" t="str">
        <f t="shared" si="265"/>
        <v>Valid</v>
      </c>
      <c r="I773" s="9">
        <f t="shared" si="266"/>
        <v>2</v>
      </c>
      <c r="J773" s="9" t="str">
        <f t="shared" si="267"/>
        <v>Valid</v>
      </c>
      <c r="K773" t="s">
        <v>690</v>
      </c>
      <c r="L773" t="s">
        <v>71</v>
      </c>
      <c r="M773" t="s">
        <v>71</v>
      </c>
      <c r="N773" t="s">
        <v>25</v>
      </c>
      <c r="O773" s="3" t="str">
        <f t="shared" si="268"/>
        <v>Consumer</v>
      </c>
      <c r="P773" t="s">
        <v>26</v>
      </c>
      <c r="Q773" s="3" t="str">
        <f t="shared" si="269"/>
        <v>North</v>
      </c>
      <c r="R773" t="s">
        <v>322</v>
      </c>
      <c r="S773" t="s">
        <v>323</v>
      </c>
      <c r="T773" t="s">
        <v>85</v>
      </c>
      <c r="U773" s="3" t="str">
        <f t="shared" si="270"/>
        <v>Technology</v>
      </c>
      <c r="V773" t="s">
        <v>381</v>
      </c>
      <c r="W773" t="s">
        <v>3567</v>
      </c>
      <c r="X773" t="s">
        <v>32</v>
      </c>
      <c r="Y773" s="3" t="str">
        <f t="shared" si="271"/>
        <v>Second Class</v>
      </c>
      <c r="Z773">
        <v>4</v>
      </c>
      <c r="AA773">
        <v>2131.41</v>
      </c>
      <c r="AC773">
        <f t="shared" si="272"/>
        <v>0</v>
      </c>
      <c r="AD773" t="str">
        <f t="shared" si="275"/>
        <v>Valid</v>
      </c>
      <c r="AE773">
        <v>6394.23</v>
      </c>
      <c r="AF773">
        <v>3520.69</v>
      </c>
      <c r="AG773">
        <v>2873.54</v>
      </c>
      <c r="AH773" t="s">
        <v>33</v>
      </c>
      <c r="AI773" t="str">
        <f t="shared" si="276"/>
        <v>Include</v>
      </c>
      <c r="AJ773" t="str">
        <f t="shared" si="277"/>
        <v/>
      </c>
      <c r="AK773" t="s">
        <v>34</v>
      </c>
      <c r="AL773" t="str">
        <f t="shared" si="273"/>
        <v>Completed</v>
      </c>
      <c r="AM773" t="str">
        <f t="shared" si="278"/>
        <v>Include</v>
      </c>
      <c r="AN773">
        <f t="shared" si="279"/>
        <v>8525.64</v>
      </c>
      <c r="AO773">
        <f t="shared" si="280"/>
        <v>5004.9499999999989</v>
      </c>
      <c r="AP773">
        <f>IF(AN773=0,0,AO773/AN773)</f>
        <v>0.58704683753946907</v>
      </c>
      <c r="AQ773" t="str">
        <f t="shared" si="281"/>
        <v>July</v>
      </c>
      <c r="AR773">
        <f t="shared" si="282"/>
        <v>2024</v>
      </c>
      <c r="AS773" t="str">
        <f t="shared" si="283"/>
        <v>Clean</v>
      </c>
      <c r="AT773" t="str">
        <f>IF(OR(AC773&lt;0,AC773&gt;0.5),"Invalid Discount","Valid")</f>
        <v>Valid</v>
      </c>
      <c r="AU773" t="str">
        <f>IF(G773&lt;E773,"Invalid Shipping Record","Valid")</f>
        <v>Valid</v>
      </c>
      <c r="AV773" t="str">
        <f>IF(OR(AL773="Cancelled",AH773="Failed"),"Exclude","Include")</f>
        <v>Include</v>
      </c>
      <c r="AW773" t="str">
        <f t="shared" si="284"/>
        <v>Mismatch</v>
      </c>
      <c r="AX773" t="str">
        <f t="shared" si="285"/>
        <v>Mismatch</v>
      </c>
    </row>
    <row r="774" spans="1:50">
      <c r="A774" t="s">
        <v>3568</v>
      </c>
      <c r="B774">
        <f t="shared" si="264"/>
        <v>1</v>
      </c>
      <c r="C774" t="str">
        <f t="shared" si="274"/>
        <v/>
      </c>
      <c r="D774" s="3" t="s">
        <v>170</v>
      </c>
      <c r="E774" s="7">
        <v>45853</v>
      </c>
      <c r="F774" s="3" t="s">
        <v>1570</v>
      </c>
      <c r="G774" s="7">
        <v>45857</v>
      </c>
      <c r="H774" s="7" t="str">
        <f t="shared" si="265"/>
        <v>Valid</v>
      </c>
      <c r="I774" s="9">
        <f t="shared" si="266"/>
        <v>4</v>
      </c>
      <c r="J774" s="9" t="str">
        <f t="shared" si="267"/>
        <v>Valid</v>
      </c>
      <c r="K774" t="s">
        <v>3569</v>
      </c>
      <c r="L774" t="s">
        <v>209</v>
      </c>
      <c r="M774" t="s">
        <v>209</v>
      </c>
      <c r="N774" t="s">
        <v>25</v>
      </c>
      <c r="O774" s="3" t="str">
        <f t="shared" si="268"/>
        <v>Consumer</v>
      </c>
      <c r="P774" t="s">
        <v>61</v>
      </c>
      <c r="Q774" s="3" t="str">
        <f t="shared" si="269"/>
        <v>South</v>
      </c>
      <c r="R774" t="s">
        <v>338</v>
      </c>
      <c r="S774" t="s">
        <v>339</v>
      </c>
      <c r="T774" t="s">
        <v>44</v>
      </c>
      <c r="U774" s="3" t="str">
        <f t="shared" si="270"/>
        <v>Furniture</v>
      </c>
      <c r="V774" t="s">
        <v>75</v>
      </c>
      <c r="W774" t="s">
        <v>3570</v>
      </c>
      <c r="X774" t="s">
        <v>47</v>
      </c>
      <c r="Y774" s="3" t="str">
        <f t="shared" si="271"/>
        <v>Same Day</v>
      </c>
      <c r="Z774">
        <v>1</v>
      </c>
      <c r="AA774">
        <v>3903.22</v>
      </c>
      <c r="AB774">
        <v>0.05</v>
      </c>
      <c r="AC774">
        <f t="shared" si="272"/>
        <v>0.05</v>
      </c>
      <c r="AD774" t="str">
        <f t="shared" si="275"/>
        <v>Valid</v>
      </c>
      <c r="AE774">
        <v>3708.06</v>
      </c>
      <c r="AF774">
        <v>2760.29</v>
      </c>
      <c r="AG774">
        <v>947.77</v>
      </c>
      <c r="AH774" t="s">
        <v>136</v>
      </c>
      <c r="AI774" t="str">
        <f t="shared" si="276"/>
        <v>Exclude</v>
      </c>
      <c r="AJ774" t="str">
        <f t="shared" si="277"/>
        <v/>
      </c>
      <c r="AK774" t="s">
        <v>77</v>
      </c>
      <c r="AL774" t="str">
        <f t="shared" si="273"/>
        <v>Cancelled</v>
      </c>
      <c r="AM774" t="str">
        <f t="shared" si="278"/>
        <v>Exclude</v>
      </c>
      <c r="AN774">
        <f t="shared" si="279"/>
        <v>3708.0589999999997</v>
      </c>
      <c r="AO774">
        <f t="shared" si="280"/>
        <v>947.76899999999978</v>
      </c>
      <c r="AP774">
        <f>IF(AN774=0,0,AO774/AN774)</f>
        <v>0.25559706574248142</v>
      </c>
      <c r="AQ774" t="str">
        <f t="shared" si="281"/>
        <v>July</v>
      </c>
      <c r="AR774">
        <f t="shared" si="282"/>
        <v>2025</v>
      </c>
      <c r="AS774" t="str">
        <f t="shared" si="283"/>
        <v>Clean</v>
      </c>
      <c r="AT774" t="str">
        <f>IF(OR(AC774&lt;0,AC774&gt;0.5),"Invalid Discount","Valid")</f>
        <v>Valid</v>
      </c>
      <c r="AU774" t="str">
        <f>IF(G774&lt;E774,"Invalid Shipping Record","Valid")</f>
        <v>Valid</v>
      </c>
      <c r="AV774" t="str">
        <f>IF(OR(AL774="Cancelled",AH774="Failed"),"Exclude","Include")</f>
        <v>Exclude</v>
      </c>
      <c r="AW774" t="str">
        <f t="shared" si="284"/>
        <v>Match</v>
      </c>
      <c r="AX774" t="str">
        <f t="shared" si="285"/>
        <v>Match</v>
      </c>
    </row>
    <row r="775" spans="1:50">
      <c r="A775" t="s">
        <v>3571</v>
      </c>
      <c r="B775">
        <f t="shared" si="264"/>
        <v>1</v>
      </c>
      <c r="C775" t="str">
        <f t="shared" si="274"/>
        <v/>
      </c>
      <c r="D775" s="3" t="s">
        <v>3572</v>
      </c>
      <c r="E775" s="7">
        <v>45709</v>
      </c>
      <c r="F775" s="3" t="s">
        <v>3573</v>
      </c>
      <c r="G775" s="7">
        <v>45709</v>
      </c>
      <c r="H775" s="7" t="str">
        <f t="shared" si="265"/>
        <v>Valid</v>
      </c>
      <c r="I775" s="9">
        <f t="shared" si="266"/>
        <v>0</v>
      </c>
      <c r="J775" s="9" t="str">
        <f t="shared" si="267"/>
        <v>Valid</v>
      </c>
      <c r="K775" t="s">
        <v>3574</v>
      </c>
      <c r="L775" t="s">
        <v>24</v>
      </c>
      <c r="M775" t="s">
        <v>24</v>
      </c>
      <c r="N775" t="s">
        <v>114</v>
      </c>
      <c r="O775" s="3" t="str">
        <f t="shared" si="268"/>
        <v>Home Office</v>
      </c>
      <c r="P775" t="s">
        <v>72</v>
      </c>
      <c r="Q775" s="3" t="str">
        <f t="shared" si="269"/>
        <v>West</v>
      </c>
      <c r="R775" t="s">
        <v>234</v>
      </c>
      <c r="S775" t="s">
        <v>235</v>
      </c>
      <c r="T775" t="s">
        <v>85</v>
      </c>
      <c r="U775" s="3" t="str">
        <f t="shared" si="270"/>
        <v>Technology</v>
      </c>
      <c r="V775" t="s">
        <v>222</v>
      </c>
      <c r="W775" t="s">
        <v>3575</v>
      </c>
      <c r="Y775" s="3" t="str">
        <f t="shared" si="271"/>
        <v>Unknown</v>
      </c>
      <c r="Z775">
        <v>4</v>
      </c>
      <c r="AA775">
        <v>2945.07</v>
      </c>
      <c r="AB775">
        <v>0.2</v>
      </c>
      <c r="AC775">
        <f t="shared" si="272"/>
        <v>0.2</v>
      </c>
      <c r="AD775" t="str">
        <f t="shared" si="275"/>
        <v>Valid</v>
      </c>
      <c r="AE775">
        <v>9424.2199999999993</v>
      </c>
      <c r="AF775">
        <v>6178.92</v>
      </c>
      <c r="AG775">
        <v>3245.3</v>
      </c>
      <c r="AH775" t="s">
        <v>33</v>
      </c>
      <c r="AI775" t="str">
        <f t="shared" si="276"/>
        <v>Include</v>
      </c>
      <c r="AJ775" t="str">
        <f t="shared" si="277"/>
        <v/>
      </c>
      <c r="AK775" t="s">
        <v>34</v>
      </c>
      <c r="AL775" t="str">
        <f t="shared" si="273"/>
        <v>Completed</v>
      </c>
      <c r="AM775" t="str">
        <f t="shared" si="278"/>
        <v>Include</v>
      </c>
      <c r="AN775">
        <f t="shared" si="279"/>
        <v>9424.2240000000002</v>
      </c>
      <c r="AO775">
        <f t="shared" si="280"/>
        <v>3245.3040000000001</v>
      </c>
      <c r="AP775">
        <f>IF(AN775=0,0,AO775/AN775)</f>
        <v>0.3443576892909167</v>
      </c>
      <c r="AQ775" t="str">
        <f t="shared" si="281"/>
        <v>February</v>
      </c>
      <c r="AR775">
        <f t="shared" si="282"/>
        <v>2025</v>
      </c>
      <c r="AS775" t="str">
        <f t="shared" si="283"/>
        <v>Warning</v>
      </c>
      <c r="AT775" t="str">
        <f>IF(OR(AC775&lt;0,AC775&gt;0.5),"Invalid Discount","Valid")</f>
        <v>Valid</v>
      </c>
      <c r="AU775" t="str">
        <f>IF(G775&lt;E775,"Invalid Shipping Record","Valid")</f>
        <v>Valid</v>
      </c>
      <c r="AV775" t="str">
        <f>IF(OR(AL775="Cancelled",AH775="Failed"),"Exclude","Include")</f>
        <v>Include</v>
      </c>
      <c r="AW775" t="str">
        <f t="shared" si="284"/>
        <v>Match</v>
      </c>
      <c r="AX775" t="str">
        <f t="shared" si="285"/>
        <v>Match</v>
      </c>
    </row>
    <row r="776" spans="1:50">
      <c r="A776" t="s">
        <v>3576</v>
      </c>
      <c r="B776">
        <f t="shared" si="264"/>
        <v>1</v>
      </c>
      <c r="C776" t="str">
        <f t="shared" si="274"/>
        <v/>
      </c>
      <c r="D776" s="3" t="s">
        <v>3577</v>
      </c>
      <c r="E776" s="7">
        <v>45876</v>
      </c>
      <c r="F776" s="3" t="s">
        <v>1798</v>
      </c>
      <c r="G776" s="7">
        <v>45876</v>
      </c>
      <c r="H776" s="7" t="str">
        <f t="shared" si="265"/>
        <v>Valid</v>
      </c>
      <c r="I776" s="9">
        <f t="shared" si="266"/>
        <v>0</v>
      </c>
      <c r="J776" s="9" t="str">
        <f t="shared" si="267"/>
        <v>Valid</v>
      </c>
      <c r="K776" t="s">
        <v>3578</v>
      </c>
      <c r="L776" t="s">
        <v>365</v>
      </c>
      <c r="M776" t="s">
        <v>365</v>
      </c>
      <c r="N776" t="s">
        <v>25</v>
      </c>
      <c r="O776" s="3" t="str">
        <f t="shared" si="268"/>
        <v>Consumer</v>
      </c>
      <c r="P776" t="s">
        <v>72</v>
      </c>
      <c r="Q776" s="3" t="str">
        <f t="shared" si="269"/>
        <v>West</v>
      </c>
      <c r="R776" t="s">
        <v>27</v>
      </c>
      <c r="S776" t="s">
        <v>134</v>
      </c>
      <c r="T776" t="s">
        <v>85</v>
      </c>
      <c r="U776" s="3" t="str">
        <f t="shared" si="270"/>
        <v>Technology</v>
      </c>
      <c r="V776" t="s">
        <v>381</v>
      </c>
      <c r="W776" t="s">
        <v>3579</v>
      </c>
      <c r="Y776" s="3" t="str">
        <f t="shared" si="271"/>
        <v>Unknown</v>
      </c>
      <c r="Z776">
        <v>9</v>
      </c>
      <c r="AA776">
        <v>1076.75</v>
      </c>
      <c r="AB776">
        <v>0.2</v>
      </c>
      <c r="AC776">
        <f t="shared" si="272"/>
        <v>0.2</v>
      </c>
      <c r="AD776" t="str">
        <f t="shared" si="275"/>
        <v>Valid</v>
      </c>
      <c r="AE776">
        <v>7752.6</v>
      </c>
      <c r="AF776">
        <v>4689.3</v>
      </c>
      <c r="AG776">
        <v>3063.3</v>
      </c>
      <c r="AH776" t="s">
        <v>33</v>
      </c>
      <c r="AI776" t="str">
        <f t="shared" si="276"/>
        <v>Include</v>
      </c>
      <c r="AJ776" t="str">
        <f t="shared" si="277"/>
        <v/>
      </c>
      <c r="AK776" t="s">
        <v>34</v>
      </c>
      <c r="AL776" t="str">
        <f t="shared" si="273"/>
        <v>Completed</v>
      </c>
      <c r="AM776" t="str">
        <f t="shared" si="278"/>
        <v>Include</v>
      </c>
      <c r="AN776">
        <f t="shared" si="279"/>
        <v>7752.6</v>
      </c>
      <c r="AO776">
        <f t="shared" si="280"/>
        <v>3063.3</v>
      </c>
      <c r="AP776">
        <f>IF(AN776=0,0,AO776/AN776)</f>
        <v>0.39513195573098059</v>
      </c>
      <c r="AQ776" t="str">
        <f t="shared" si="281"/>
        <v>August</v>
      </c>
      <c r="AR776">
        <f t="shared" si="282"/>
        <v>2025</v>
      </c>
      <c r="AS776" t="str">
        <f t="shared" si="283"/>
        <v>Warning</v>
      </c>
      <c r="AT776" t="str">
        <f>IF(OR(AC776&lt;0,AC776&gt;0.5),"Invalid Discount","Valid")</f>
        <v>Valid</v>
      </c>
      <c r="AU776" t="str">
        <f>IF(G776&lt;E776,"Invalid Shipping Record","Valid")</f>
        <v>Valid</v>
      </c>
      <c r="AV776" t="str">
        <f>IF(OR(AL776="Cancelled",AH776="Failed"),"Exclude","Include")</f>
        <v>Include</v>
      </c>
      <c r="AW776" t="str">
        <f t="shared" si="284"/>
        <v>Match</v>
      </c>
      <c r="AX776" t="str">
        <f t="shared" si="285"/>
        <v>Match</v>
      </c>
    </row>
    <row r="777" spans="1:50">
      <c r="A777" t="s">
        <v>3580</v>
      </c>
      <c r="B777">
        <f t="shared" si="264"/>
        <v>1</v>
      </c>
      <c r="C777" t="str">
        <f t="shared" si="274"/>
        <v/>
      </c>
      <c r="D777" s="3" t="s">
        <v>3581</v>
      </c>
      <c r="E777" s="7">
        <v>45396</v>
      </c>
      <c r="F777" s="3" t="s">
        <v>3582</v>
      </c>
      <c r="G777" s="7">
        <v>45404</v>
      </c>
      <c r="H777" s="7" t="str">
        <f t="shared" si="265"/>
        <v>Valid</v>
      </c>
      <c r="I777" s="9">
        <f t="shared" si="266"/>
        <v>8</v>
      </c>
      <c r="J777" s="9" t="str">
        <f t="shared" si="267"/>
        <v>Valid</v>
      </c>
      <c r="K777" t="s">
        <v>3583</v>
      </c>
      <c r="L777" t="s">
        <v>60</v>
      </c>
      <c r="M777" t="s">
        <v>60</v>
      </c>
      <c r="N777" t="s">
        <v>25</v>
      </c>
      <c r="O777" s="3" t="str">
        <f t="shared" si="268"/>
        <v>Consumer</v>
      </c>
      <c r="P777" t="s">
        <v>26</v>
      </c>
      <c r="Q777" s="3" t="str">
        <f t="shared" si="269"/>
        <v>North</v>
      </c>
      <c r="R777" t="s">
        <v>322</v>
      </c>
      <c r="S777" t="s">
        <v>323</v>
      </c>
      <c r="T777" t="s">
        <v>85</v>
      </c>
      <c r="U777" s="3" t="str">
        <f t="shared" si="270"/>
        <v>Technology</v>
      </c>
      <c r="V777" t="s">
        <v>86</v>
      </c>
      <c r="W777" t="s">
        <v>3584</v>
      </c>
      <c r="X777" t="s">
        <v>66</v>
      </c>
      <c r="Y777" s="3" t="str">
        <f t="shared" si="271"/>
        <v>Standard Class</v>
      </c>
      <c r="Z777">
        <v>8</v>
      </c>
      <c r="AA777">
        <v>3956.12</v>
      </c>
      <c r="AB777">
        <v>0.25</v>
      </c>
      <c r="AC777">
        <f t="shared" si="272"/>
        <v>0.25</v>
      </c>
      <c r="AD777" t="str">
        <f t="shared" si="275"/>
        <v>Valid</v>
      </c>
      <c r="AE777">
        <v>23736.720000000001</v>
      </c>
      <c r="AF777">
        <v>13890.9</v>
      </c>
      <c r="AG777">
        <v>9845.82</v>
      </c>
      <c r="AH777" t="s">
        <v>33</v>
      </c>
      <c r="AI777" t="str">
        <f t="shared" si="276"/>
        <v>Include</v>
      </c>
      <c r="AJ777" t="str">
        <f t="shared" si="277"/>
        <v/>
      </c>
      <c r="AK777" t="s">
        <v>34</v>
      </c>
      <c r="AL777" t="str">
        <f t="shared" si="273"/>
        <v>Completed</v>
      </c>
      <c r="AM777" t="str">
        <f t="shared" si="278"/>
        <v>Include</v>
      </c>
      <c r="AN777">
        <f t="shared" si="279"/>
        <v>23736.720000000001</v>
      </c>
      <c r="AO777">
        <f t="shared" si="280"/>
        <v>9845.8200000000015</v>
      </c>
      <c r="AP777">
        <f>IF(AN777=0,0,AO777/AN777)</f>
        <v>0.41479277676106896</v>
      </c>
      <c r="AQ777" t="str">
        <f t="shared" si="281"/>
        <v>April</v>
      </c>
      <c r="AR777">
        <f t="shared" si="282"/>
        <v>2024</v>
      </c>
      <c r="AS777" t="str">
        <f t="shared" si="283"/>
        <v>Clean</v>
      </c>
      <c r="AT777" t="str">
        <f>IF(OR(AC777&lt;0,AC777&gt;0.5),"Invalid Discount","Valid")</f>
        <v>Valid</v>
      </c>
      <c r="AU777" t="str">
        <f>IF(G777&lt;E777,"Invalid Shipping Record","Valid")</f>
        <v>Valid</v>
      </c>
      <c r="AV777" t="str">
        <f>IF(OR(AL777="Cancelled",AH777="Failed"),"Exclude","Include")</f>
        <v>Include</v>
      </c>
      <c r="AW777" t="str">
        <f t="shared" si="284"/>
        <v>Match</v>
      </c>
      <c r="AX777" t="str">
        <f t="shared" si="285"/>
        <v>Match</v>
      </c>
    </row>
    <row r="778" spans="1:50">
      <c r="A778" t="s">
        <v>3585</v>
      </c>
      <c r="B778">
        <f t="shared" si="264"/>
        <v>1</v>
      </c>
      <c r="C778" t="str">
        <f t="shared" si="274"/>
        <v/>
      </c>
      <c r="D778" s="3" t="s">
        <v>3586</v>
      </c>
      <c r="E778" s="7">
        <v>45816</v>
      </c>
      <c r="F778" s="3" t="s">
        <v>2350</v>
      </c>
      <c r="G778" s="7">
        <v>45821</v>
      </c>
      <c r="H778" s="7" t="str">
        <f t="shared" si="265"/>
        <v>Valid</v>
      </c>
      <c r="I778" s="9">
        <f t="shared" si="266"/>
        <v>5</v>
      </c>
      <c r="J778" s="9" t="str">
        <f t="shared" si="267"/>
        <v>Valid</v>
      </c>
      <c r="K778" t="s">
        <v>3587</v>
      </c>
      <c r="L778" t="s">
        <v>106</v>
      </c>
      <c r="M778" t="s">
        <v>106</v>
      </c>
      <c r="N778" t="s">
        <v>40</v>
      </c>
      <c r="O778" s="3" t="str">
        <f t="shared" si="268"/>
        <v>Small Business</v>
      </c>
      <c r="P778" t="s">
        <v>26</v>
      </c>
      <c r="Q778" s="3" t="str">
        <f t="shared" si="269"/>
        <v>North</v>
      </c>
      <c r="R778" t="s">
        <v>27</v>
      </c>
      <c r="S778" t="s">
        <v>28</v>
      </c>
      <c r="T778" t="s">
        <v>85</v>
      </c>
      <c r="U778" s="3" t="str">
        <f t="shared" si="270"/>
        <v>Technology</v>
      </c>
      <c r="V778" t="s">
        <v>93</v>
      </c>
      <c r="W778" t="s">
        <v>3588</v>
      </c>
      <c r="X778" t="s">
        <v>32</v>
      </c>
      <c r="Y778" s="3" t="str">
        <f t="shared" si="271"/>
        <v>Second Class</v>
      </c>
      <c r="Z778">
        <v>7</v>
      </c>
      <c r="AA778">
        <v>3857.13</v>
      </c>
      <c r="AB778">
        <v>0</v>
      </c>
      <c r="AC778">
        <f t="shared" si="272"/>
        <v>0</v>
      </c>
      <c r="AD778" t="str">
        <f t="shared" si="275"/>
        <v>Valid</v>
      </c>
      <c r="AE778">
        <v>26999.91</v>
      </c>
      <c r="AF778">
        <v>17815.98</v>
      </c>
      <c r="AG778">
        <v>9183.93</v>
      </c>
      <c r="AH778" t="s">
        <v>33</v>
      </c>
      <c r="AI778" t="str">
        <f t="shared" si="276"/>
        <v>Include</v>
      </c>
      <c r="AJ778" t="str">
        <f t="shared" si="277"/>
        <v/>
      </c>
      <c r="AK778" t="s">
        <v>34</v>
      </c>
      <c r="AL778" t="str">
        <f t="shared" si="273"/>
        <v>Completed</v>
      </c>
      <c r="AM778" t="str">
        <f t="shared" si="278"/>
        <v>Include</v>
      </c>
      <c r="AN778">
        <f t="shared" si="279"/>
        <v>26999.91</v>
      </c>
      <c r="AO778">
        <f t="shared" si="280"/>
        <v>9183.93</v>
      </c>
      <c r="AP778">
        <f>IF(AN778=0,0,AO778/AN778)</f>
        <v>0.34014668937785347</v>
      </c>
      <c r="AQ778" t="str">
        <f t="shared" si="281"/>
        <v>June</v>
      </c>
      <c r="AR778">
        <f t="shared" si="282"/>
        <v>2025</v>
      </c>
      <c r="AS778" t="str">
        <f t="shared" si="283"/>
        <v>Clean</v>
      </c>
      <c r="AT778" t="str">
        <f>IF(OR(AC778&lt;0,AC778&gt;0.5),"Invalid Discount","Valid")</f>
        <v>Valid</v>
      </c>
      <c r="AU778" t="str">
        <f>IF(G778&lt;E778,"Invalid Shipping Record","Valid")</f>
        <v>Valid</v>
      </c>
      <c r="AV778" t="str">
        <f>IF(OR(AL778="Cancelled",AH778="Failed"),"Exclude","Include")</f>
        <v>Include</v>
      </c>
      <c r="AW778" t="str">
        <f t="shared" si="284"/>
        <v>Match</v>
      </c>
      <c r="AX778" t="str">
        <f t="shared" si="285"/>
        <v>Match</v>
      </c>
    </row>
    <row r="779" spans="1:50">
      <c r="A779" t="s">
        <v>3589</v>
      </c>
      <c r="B779">
        <f t="shared" si="264"/>
        <v>1</v>
      </c>
      <c r="C779" t="str">
        <f t="shared" si="274"/>
        <v/>
      </c>
      <c r="D779" s="3" t="s">
        <v>3590</v>
      </c>
      <c r="E779" s="7">
        <v>45326</v>
      </c>
      <c r="F779" s="3" t="s">
        <v>2279</v>
      </c>
      <c r="G779" s="7">
        <v>45328</v>
      </c>
      <c r="H779" s="7" t="str">
        <f t="shared" si="265"/>
        <v>Valid</v>
      </c>
      <c r="I779" s="9">
        <f t="shared" si="266"/>
        <v>2</v>
      </c>
      <c r="J779" s="9" t="str">
        <f t="shared" si="267"/>
        <v>Valid</v>
      </c>
      <c r="K779" t="s">
        <v>3591</v>
      </c>
      <c r="L779" t="s">
        <v>365</v>
      </c>
      <c r="M779" t="s">
        <v>365</v>
      </c>
      <c r="N779" t="s">
        <v>40</v>
      </c>
      <c r="O779" s="3" t="str">
        <f t="shared" si="268"/>
        <v>Small Business</v>
      </c>
      <c r="P779" t="s">
        <v>72</v>
      </c>
      <c r="Q779" s="3" t="str">
        <f t="shared" si="269"/>
        <v>West</v>
      </c>
      <c r="R779" t="s">
        <v>83</v>
      </c>
      <c r="S779" t="s">
        <v>84</v>
      </c>
      <c r="T779" t="s">
        <v>85</v>
      </c>
      <c r="U779" s="3" t="str">
        <f t="shared" si="270"/>
        <v>Technology</v>
      </c>
      <c r="V779" t="s">
        <v>86</v>
      </c>
      <c r="W779" t="s">
        <v>3592</v>
      </c>
      <c r="X779" t="s">
        <v>32</v>
      </c>
      <c r="Y779" s="3" t="str">
        <f t="shared" si="271"/>
        <v>Second Class</v>
      </c>
      <c r="Z779">
        <v>4</v>
      </c>
      <c r="AA779">
        <v>1489.74</v>
      </c>
      <c r="AB779">
        <v>0.15</v>
      </c>
      <c r="AC779">
        <f t="shared" si="272"/>
        <v>0.15</v>
      </c>
      <c r="AD779" t="str">
        <f t="shared" si="275"/>
        <v>Valid</v>
      </c>
      <c r="AE779">
        <v>5065.12</v>
      </c>
      <c r="AF779">
        <v>3530.12</v>
      </c>
      <c r="AG779">
        <v>1535</v>
      </c>
      <c r="AH779" t="s">
        <v>199</v>
      </c>
      <c r="AI779" t="str">
        <f t="shared" si="276"/>
        <v>Exclude</v>
      </c>
      <c r="AJ779" t="str">
        <f t="shared" si="277"/>
        <v/>
      </c>
      <c r="AK779" t="s">
        <v>77</v>
      </c>
      <c r="AL779" t="str">
        <f t="shared" si="273"/>
        <v>Cancelled</v>
      </c>
      <c r="AM779" t="str">
        <f t="shared" si="278"/>
        <v>Exclude</v>
      </c>
      <c r="AN779">
        <f t="shared" si="279"/>
        <v>5065.116</v>
      </c>
      <c r="AO779">
        <f t="shared" si="280"/>
        <v>1534.9960000000001</v>
      </c>
      <c r="AP779">
        <f>IF(AN779=0,0,AO779/AN779)</f>
        <v>0.30305248685321323</v>
      </c>
      <c r="AQ779" t="str">
        <f t="shared" si="281"/>
        <v>February</v>
      </c>
      <c r="AR779">
        <f t="shared" si="282"/>
        <v>2024</v>
      </c>
      <c r="AS779" t="str">
        <f t="shared" si="283"/>
        <v>Clean</v>
      </c>
      <c r="AT779" t="str">
        <f>IF(OR(AC779&lt;0,AC779&gt;0.5),"Invalid Discount","Valid")</f>
        <v>Valid</v>
      </c>
      <c r="AU779" t="str">
        <f>IF(G779&lt;E779,"Invalid Shipping Record","Valid")</f>
        <v>Valid</v>
      </c>
      <c r="AV779" t="str">
        <f>IF(OR(AL779="Cancelled",AH779="Failed"),"Exclude","Include")</f>
        <v>Exclude</v>
      </c>
      <c r="AW779" t="str">
        <f t="shared" si="284"/>
        <v>Match</v>
      </c>
      <c r="AX779" t="str">
        <f t="shared" si="285"/>
        <v>Match</v>
      </c>
    </row>
    <row r="780" spans="1:50">
      <c r="A780" t="s">
        <v>3593</v>
      </c>
      <c r="B780">
        <f t="shared" si="264"/>
        <v>1</v>
      </c>
      <c r="C780" t="str">
        <f t="shared" si="274"/>
        <v/>
      </c>
      <c r="D780" s="3" t="s">
        <v>714</v>
      </c>
      <c r="E780" s="7">
        <v>45497</v>
      </c>
      <c r="F780" s="3" t="s">
        <v>3594</v>
      </c>
      <c r="G780" s="7">
        <v>45497</v>
      </c>
      <c r="H780" s="7" t="str">
        <f t="shared" si="265"/>
        <v>Valid</v>
      </c>
      <c r="I780" s="9">
        <f t="shared" si="266"/>
        <v>0</v>
      </c>
      <c r="J780" s="9" t="str">
        <f t="shared" si="267"/>
        <v>Valid</v>
      </c>
      <c r="K780" t="s">
        <v>3595</v>
      </c>
      <c r="L780" t="s">
        <v>24</v>
      </c>
      <c r="M780" t="s">
        <v>24</v>
      </c>
      <c r="N780" t="s">
        <v>40</v>
      </c>
      <c r="O780" s="3" t="str">
        <f t="shared" si="268"/>
        <v>Small Business</v>
      </c>
      <c r="P780" t="s">
        <v>26</v>
      </c>
      <c r="Q780" s="3" t="str">
        <f t="shared" si="269"/>
        <v>North</v>
      </c>
      <c r="R780" t="s">
        <v>322</v>
      </c>
      <c r="S780" t="s">
        <v>323</v>
      </c>
      <c r="T780" t="s">
        <v>85</v>
      </c>
      <c r="U780" s="3" t="str">
        <f t="shared" si="270"/>
        <v>Technology</v>
      </c>
      <c r="V780" t="s">
        <v>93</v>
      </c>
      <c r="W780" t="s">
        <v>3596</v>
      </c>
      <c r="X780" t="s">
        <v>32</v>
      </c>
      <c r="Y780" s="3" t="str">
        <f t="shared" si="271"/>
        <v>Second Class</v>
      </c>
      <c r="Z780">
        <v>4</v>
      </c>
      <c r="AA780">
        <v>1676.88</v>
      </c>
      <c r="AB780">
        <v>0</v>
      </c>
      <c r="AC780">
        <f t="shared" si="272"/>
        <v>0</v>
      </c>
      <c r="AD780" t="str">
        <f t="shared" si="275"/>
        <v>Valid</v>
      </c>
      <c r="AE780">
        <v>6707.52</v>
      </c>
      <c r="AF780">
        <v>5672.57</v>
      </c>
      <c r="AG780">
        <v>1034.95</v>
      </c>
      <c r="AH780" t="s">
        <v>33</v>
      </c>
      <c r="AI780" t="str">
        <f t="shared" si="276"/>
        <v>Include</v>
      </c>
      <c r="AJ780" t="str">
        <f t="shared" si="277"/>
        <v/>
      </c>
      <c r="AK780" t="s">
        <v>34</v>
      </c>
      <c r="AL780" t="str">
        <f t="shared" si="273"/>
        <v>Completed</v>
      </c>
      <c r="AM780" t="str">
        <f t="shared" si="278"/>
        <v>Include</v>
      </c>
      <c r="AN780">
        <f t="shared" si="279"/>
        <v>6707.52</v>
      </c>
      <c r="AO780">
        <f t="shared" si="280"/>
        <v>1034.9500000000007</v>
      </c>
      <c r="AP780">
        <f>IF(AN780=0,0,AO780/AN780)</f>
        <v>0.15429696817899918</v>
      </c>
      <c r="AQ780" t="str">
        <f t="shared" si="281"/>
        <v>July</v>
      </c>
      <c r="AR780">
        <f t="shared" si="282"/>
        <v>2024</v>
      </c>
      <c r="AS780" t="str">
        <f t="shared" si="283"/>
        <v>Clean</v>
      </c>
      <c r="AT780" t="str">
        <f>IF(OR(AC780&lt;0,AC780&gt;0.5),"Invalid Discount","Valid")</f>
        <v>Valid</v>
      </c>
      <c r="AU780" t="str">
        <f>IF(G780&lt;E780,"Invalid Shipping Record","Valid")</f>
        <v>Valid</v>
      </c>
      <c r="AV780" t="str">
        <f>IF(OR(AL780="Cancelled",AH780="Failed"),"Exclude","Include")</f>
        <v>Include</v>
      </c>
      <c r="AW780" t="str">
        <f t="shared" si="284"/>
        <v>Match</v>
      </c>
      <c r="AX780" t="str">
        <f t="shared" si="285"/>
        <v>Match</v>
      </c>
    </row>
    <row r="781" spans="1:50">
      <c r="A781" t="s">
        <v>3597</v>
      </c>
      <c r="B781">
        <f t="shared" si="264"/>
        <v>1</v>
      </c>
      <c r="C781" t="str">
        <f t="shared" si="274"/>
        <v/>
      </c>
      <c r="D781" s="3" t="s">
        <v>2204</v>
      </c>
      <c r="E781" s="7">
        <v>45306</v>
      </c>
      <c r="F781" s="3" t="s">
        <v>3598</v>
      </c>
      <c r="G781" s="7">
        <v>45311</v>
      </c>
      <c r="H781" s="7" t="str">
        <f t="shared" si="265"/>
        <v>Valid</v>
      </c>
      <c r="I781" s="9">
        <f t="shared" si="266"/>
        <v>5</v>
      </c>
      <c r="J781" s="9" t="str">
        <f t="shared" si="267"/>
        <v>Valid</v>
      </c>
      <c r="K781" t="s">
        <v>3599</v>
      </c>
      <c r="L781" t="s">
        <v>141</v>
      </c>
      <c r="M781" t="s">
        <v>141</v>
      </c>
      <c r="N781" t="s">
        <v>40</v>
      </c>
      <c r="O781" s="3" t="str">
        <f t="shared" si="268"/>
        <v>Small Business</v>
      </c>
      <c r="P781" t="s">
        <v>61</v>
      </c>
      <c r="Q781" s="3" t="str">
        <f t="shared" si="269"/>
        <v>South</v>
      </c>
      <c r="R781" t="s">
        <v>99</v>
      </c>
      <c r="S781" t="s">
        <v>100</v>
      </c>
      <c r="T781" t="s">
        <v>44</v>
      </c>
      <c r="U781" s="3" t="str">
        <f t="shared" si="270"/>
        <v>Furniture</v>
      </c>
      <c r="V781" t="s">
        <v>75</v>
      </c>
      <c r="W781" t="s">
        <v>3600</v>
      </c>
      <c r="X781" t="s">
        <v>66</v>
      </c>
      <c r="Y781" s="3" t="str">
        <f t="shared" si="271"/>
        <v>Standard Class</v>
      </c>
      <c r="Z781">
        <v>4</v>
      </c>
      <c r="AA781">
        <v>3153.54</v>
      </c>
      <c r="AB781">
        <v>0.05</v>
      </c>
      <c r="AC781">
        <f t="shared" si="272"/>
        <v>0.05</v>
      </c>
      <c r="AD781" t="str">
        <f t="shared" si="275"/>
        <v>Valid</v>
      </c>
      <c r="AE781">
        <v>11983.45</v>
      </c>
      <c r="AF781">
        <v>8572.9</v>
      </c>
      <c r="AG781">
        <v>3410.55</v>
      </c>
      <c r="AH781" t="s">
        <v>33</v>
      </c>
      <c r="AI781" t="str">
        <f t="shared" si="276"/>
        <v>Include</v>
      </c>
      <c r="AJ781" t="str">
        <f t="shared" si="277"/>
        <v/>
      </c>
      <c r="AK781" t="s">
        <v>34</v>
      </c>
      <c r="AL781" t="str">
        <f t="shared" si="273"/>
        <v>Completed</v>
      </c>
      <c r="AM781" t="str">
        <f t="shared" si="278"/>
        <v>Include</v>
      </c>
      <c r="AN781">
        <f t="shared" si="279"/>
        <v>11983.451999999999</v>
      </c>
      <c r="AO781">
        <f t="shared" si="280"/>
        <v>3410.5519999999997</v>
      </c>
      <c r="AP781">
        <f>IF(AN781=0,0,AO781/AN781)</f>
        <v>0.2846051371507976</v>
      </c>
      <c r="AQ781" t="str">
        <f t="shared" si="281"/>
        <v>January</v>
      </c>
      <c r="AR781">
        <f t="shared" si="282"/>
        <v>2024</v>
      </c>
      <c r="AS781" t="str">
        <f t="shared" si="283"/>
        <v>Clean</v>
      </c>
      <c r="AT781" t="str">
        <f>IF(OR(AC781&lt;0,AC781&gt;0.5),"Invalid Discount","Valid")</f>
        <v>Valid</v>
      </c>
      <c r="AU781" t="str">
        <f>IF(G781&lt;E781,"Invalid Shipping Record","Valid")</f>
        <v>Valid</v>
      </c>
      <c r="AV781" t="str">
        <f>IF(OR(AL781="Cancelled",AH781="Failed"),"Exclude","Include")</f>
        <v>Include</v>
      </c>
      <c r="AW781" t="str">
        <f t="shared" si="284"/>
        <v>Match</v>
      </c>
      <c r="AX781" t="str">
        <f t="shared" si="285"/>
        <v>Match</v>
      </c>
    </row>
    <row r="782" spans="1:50">
      <c r="A782" t="s">
        <v>3601</v>
      </c>
      <c r="B782">
        <f t="shared" si="264"/>
        <v>1</v>
      </c>
      <c r="C782" t="str">
        <f t="shared" si="274"/>
        <v/>
      </c>
      <c r="D782" s="3" t="s">
        <v>3602</v>
      </c>
      <c r="E782" s="7">
        <v>45508</v>
      </c>
      <c r="F782" s="3" t="s">
        <v>2653</v>
      </c>
      <c r="G782" s="7">
        <v>45514</v>
      </c>
      <c r="H782" s="7" t="str">
        <f t="shared" si="265"/>
        <v>Valid</v>
      </c>
      <c r="I782" s="9">
        <f t="shared" si="266"/>
        <v>6</v>
      </c>
      <c r="J782" s="9" t="str">
        <f t="shared" si="267"/>
        <v>Valid</v>
      </c>
      <c r="K782" t="s">
        <v>3603</v>
      </c>
      <c r="L782" t="s">
        <v>209</v>
      </c>
      <c r="M782" t="s">
        <v>209</v>
      </c>
      <c r="N782" t="s">
        <v>40</v>
      </c>
      <c r="O782" s="3" t="str">
        <f t="shared" si="268"/>
        <v>Small Business</v>
      </c>
      <c r="P782" t="s">
        <v>72</v>
      </c>
      <c r="Q782" s="3" t="str">
        <f t="shared" si="269"/>
        <v>West</v>
      </c>
      <c r="R782" t="s">
        <v>27</v>
      </c>
      <c r="S782" t="s">
        <v>134</v>
      </c>
      <c r="T782" t="s">
        <v>44</v>
      </c>
      <c r="U782" s="3" t="str">
        <f t="shared" si="270"/>
        <v>Furniture</v>
      </c>
      <c r="V782" t="s">
        <v>75</v>
      </c>
      <c r="W782" t="s">
        <v>3604</v>
      </c>
      <c r="X782" t="s">
        <v>47</v>
      </c>
      <c r="Y782" s="3" t="str">
        <f t="shared" si="271"/>
        <v>Same Day</v>
      </c>
      <c r="Z782">
        <v>4</v>
      </c>
      <c r="AA782">
        <v>426.43</v>
      </c>
      <c r="AB782">
        <v>0.2</v>
      </c>
      <c r="AC782">
        <f t="shared" si="272"/>
        <v>0.2</v>
      </c>
      <c r="AD782" t="str">
        <f t="shared" si="275"/>
        <v>Valid</v>
      </c>
      <c r="AE782">
        <v>1364.58</v>
      </c>
      <c r="AF782">
        <v>978.16</v>
      </c>
      <c r="AG782">
        <v>386.42</v>
      </c>
      <c r="AH782" t="s">
        <v>33</v>
      </c>
      <c r="AI782" t="str">
        <f t="shared" si="276"/>
        <v>Include</v>
      </c>
      <c r="AJ782" t="str">
        <f t="shared" si="277"/>
        <v/>
      </c>
      <c r="AK782" t="s">
        <v>34</v>
      </c>
      <c r="AL782" t="str">
        <f t="shared" si="273"/>
        <v>Completed</v>
      </c>
      <c r="AM782" t="str">
        <f t="shared" si="278"/>
        <v>Include</v>
      </c>
      <c r="AN782">
        <f t="shared" si="279"/>
        <v>1364.576</v>
      </c>
      <c r="AO782">
        <f t="shared" si="280"/>
        <v>386.41600000000005</v>
      </c>
      <c r="AP782">
        <f>IF(AN782=0,0,AO782/AN782)</f>
        <v>0.28317660577351506</v>
      </c>
      <c r="AQ782" t="str">
        <f t="shared" si="281"/>
        <v>August</v>
      </c>
      <c r="AR782">
        <f t="shared" si="282"/>
        <v>2024</v>
      </c>
      <c r="AS782" t="str">
        <f t="shared" si="283"/>
        <v>Clean</v>
      </c>
      <c r="AT782" t="str">
        <f>IF(OR(AC782&lt;0,AC782&gt;0.5),"Invalid Discount","Valid")</f>
        <v>Valid</v>
      </c>
      <c r="AU782" t="str">
        <f>IF(G782&lt;E782,"Invalid Shipping Record","Valid")</f>
        <v>Valid</v>
      </c>
      <c r="AV782" t="str">
        <f>IF(OR(AL782="Cancelled",AH782="Failed"),"Exclude","Include")</f>
        <v>Include</v>
      </c>
      <c r="AW782" t="str">
        <f t="shared" si="284"/>
        <v>Match</v>
      </c>
      <c r="AX782" t="str">
        <f t="shared" si="285"/>
        <v>Match</v>
      </c>
    </row>
    <row r="783" spans="1:50">
      <c r="A783" t="s">
        <v>3605</v>
      </c>
      <c r="B783">
        <f t="shared" si="264"/>
        <v>1</v>
      </c>
      <c r="C783" t="str">
        <f t="shared" si="274"/>
        <v/>
      </c>
      <c r="D783" s="3" t="s">
        <v>3606</v>
      </c>
      <c r="E783" s="7">
        <v>45324</v>
      </c>
      <c r="F783" s="3" t="s">
        <v>2128</v>
      </c>
      <c r="G783" s="7">
        <v>45332</v>
      </c>
      <c r="H783" s="7" t="str">
        <f t="shared" si="265"/>
        <v>Valid</v>
      </c>
      <c r="I783" s="9">
        <f t="shared" si="266"/>
        <v>8</v>
      </c>
      <c r="J783" s="9" t="str">
        <f t="shared" si="267"/>
        <v>Valid</v>
      </c>
      <c r="K783" t="s">
        <v>3607</v>
      </c>
      <c r="L783" t="s">
        <v>24</v>
      </c>
      <c r="M783" t="s">
        <v>24</v>
      </c>
      <c r="N783" t="s">
        <v>114</v>
      </c>
      <c r="O783" s="3" t="str">
        <f t="shared" si="268"/>
        <v>Home Office</v>
      </c>
      <c r="P783" t="s">
        <v>72</v>
      </c>
      <c r="Q783" s="3" t="str">
        <f t="shared" si="269"/>
        <v>West</v>
      </c>
      <c r="R783" t="s">
        <v>27</v>
      </c>
      <c r="S783" t="s">
        <v>134</v>
      </c>
      <c r="T783" t="s">
        <v>29</v>
      </c>
      <c r="U783" s="3" t="str">
        <f t="shared" si="270"/>
        <v>Office Supplies</v>
      </c>
      <c r="V783" t="s">
        <v>108</v>
      </c>
      <c r="W783" t="s">
        <v>3608</v>
      </c>
      <c r="X783" t="s">
        <v>55</v>
      </c>
      <c r="Y783" s="3" t="str">
        <f t="shared" si="271"/>
        <v>First Class</v>
      </c>
      <c r="Z783">
        <v>3</v>
      </c>
      <c r="AA783">
        <v>383.4</v>
      </c>
      <c r="AB783">
        <v>0.25</v>
      </c>
      <c r="AC783">
        <f t="shared" si="272"/>
        <v>0.25</v>
      </c>
      <c r="AD783" t="str">
        <f t="shared" si="275"/>
        <v>Valid</v>
      </c>
      <c r="AE783">
        <v>862.65</v>
      </c>
      <c r="AF783">
        <v>603.73</v>
      </c>
      <c r="AG783">
        <v>258.92</v>
      </c>
      <c r="AH783" t="s">
        <v>136</v>
      </c>
      <c r="AI783" t="str">
        <f t="shared" si="276"/>
        <v>Include</v>
      </c>
      <c r="AJ783" t="str">
        <f t="shared" si="277"/>
        <v/>
      </c>
      <c r="AK783" t="s">
        <v>124</v>
      </c>
      <c r="AL783" t="str">
        <f t="shared" si="273"/>
        <v>Returned</v>
      </c>
      <c r="AM783" t="str">
        <f t="shared" si="278"/>
        <v>Include</v>
      </c>
      <c r="AN783">
        <f t="shared" si="279"/>
        <v>862.64999999999986</v>
      </c>
      <c r="AO783">
        <f t="shared" si="280"/>
        <v>258.91999999999985</v>
      </c>
      <c r="AP783">
        <f>IF(AN783=0,0,AO783/AN783)</f>
        <v>0.30014490233582553</v>
      </c>
      <c r="AQ783" t="str">
        <f t="shared" si="281"/>
        <v>February</v>
      </c>
      <c r="AR783">
        <f t="shared" si="282"/>
        <v>2024</v>
      </c>
      <c r="AS783" t="str">
        <f t="shared" si="283"/>
        <v>Clean</v>
      </c>
      <c r="AT783" t="str">
        <f>IF(OR(AC783&lt;0,AC783&gt;0.5),"Invalid Discount","Valid")</f>
        <v>Valid</v>
      </c>
      <c r="AU783" t="str">
        <f>IF(G783&lt;E783,"Invalid Shipping Record","Valid")</f>
        <v>Valid</v>
      </c>
      <c r="AV783" t="str">
        <f>IF(OR(AL783="Cancelled",AH783="Failed"),"Exclude","Include")</f>
        <v>Include</v>
      </c>
      <c r="AW783" t="str">
        <f t="shared" si="284"/>
        <v>Match</v>
      </c>
      <c r="AX783" t="str">
        <f t="shared" si="285"/>
        <v>Match</v>
      </c>
    </row>
    <row r="784" spans="1:50">
      <c r="A784" t="s">
        <v>3609</v>
      </c>
      <c r="B784">
        <f t="shared" si="264"/>
        <v>1</v>
      </c>
      <c r="C784" t="str">
        <f t="shared" si="274"/>
        <v/>
      </c>
      <c r="D784" s="3" t="s">
        <v>1434</v>
      </c>
      <c r="E784" s="7">
        <v>45730</v>
      </c>
      <c r="F784" s="3" t="s">
        <v>3610</v>
      </c>
      <c r="G784" s="7">
        <v>45738</v>
      </c>
      <c r="H784" s="7" t="str">
        <f t="shared" si="265"/>
        <v>Valid</v>
      </c>
      <c r="I784" s="9">
        <f t="shared" si="266"/>
        <v>8</v>
      </c>
      <c r="J784" s="9" t="str">
        <f t="shared" si="267"/>
        <v>Valid</v>
      </c>
      <c r="K784" t="s">
        <v>3611</v>
      </c>
      <c r="L784" t="s">
        <v>39</v>
      </c>
      <c r="M784" t="s">
        <v>39</v>
      </c>
      <c r="N784" t="s">
        <v>107</v>
      </c>
      <c r="O784" s="3" t="str">
        <f t="shared" si="268"/>
        <v>Corporate</v>
      </c>
      <c r="P784" t="s">
        <v>41</v>
      </c>
      <c r="Q784" s="3" t="str">
        <f t="shared" si="269"/>
        <v>East</v>
      </c>
      <c r="R784" t="s">
        <v>120</v>
      </c>
      <c r="S784" t="s">
        <v>121</v>
      </c>
      <c r="T784" t="s">
        <v>85</v>
      </c>
      <c r="U784" s="3" t="str">
        <f t="shared" si="270"/>
        <v>Technology</v>
      </c>
      <c r="V784" t="s">
        <v>93</v>
      </c>
      <c r="W784" t="s">
        <v>3612</v>
      </c>
      <c r="X784" t="s">
        <v>66</v>
      </c>
      <c r="Y784" s="3" t="str">
        <f t="shared" si="271"/>
        <v>Standard Class</v>
      </c>
      <c r="Z784">
        <v>2</v>
      </c>
      <c r="AA784">
        <v>669.63</v>
      </c>
      <c r="AB784">
        <v>0.15</v>
      </c>
      <c r="AC784">
        <f t="shared" si="272"/>
        <v>0.15</v>
      </c>
      <c r="AD784" t="str">
        <f t="shared" si="275"/>
        <v>Valid</v>
      </c>
      <c r="AE784">
        <v>1138.3699999999999</v>
      </c>
      <c r="AF784">
        <v>797.34</v>
      </c>
      <c r="AG784">
        <v>341.03</v>
      </c>
      <c r="AH784" t="s">
        <v>33</v>
      </c>
      <c r="AI784" t="str">
        <f t="shared" si="276"/>
        <v>Include</v>
      </c>
      <c r="AJ784" t="str">
        <f t="shared" si="277"/>
        <v/>
      </c>
      <c r="AK784" t="s">
        <v>34</v>
      </c>
      <c r="AL784" t="str">
        <f t="shared" si="273"/>
        <v>Completed</v>
      </c>
      <c r="AM784" t="str">
        <f t="shared" si="278"/>
        <v>Include</v>
      </c>
      <c r="AN784">
        <f t="shared" si="279"/>
        <v>1138.3709999999999</v>
      </c>
      <c r="AO784">
        <f t="shared" si="280"/>
        <v>341.03099999999984</v>
      </c>
      <c r="AP784">
        <f>IF(AN784=0,0,AO784/AN784)</f>
        <v>0.29957808131092578</v>
      </c>
      <c r="AQ784" t="str">
        <f t="shared" si="281"/>
        <v>March</v>
      </c>
      <c r="AR784">
        <f t="shared" si="282"/>
        <v>2025</v>
      </c>
      <c r="AS784" t="str">
        <f t="shared" si="283"/>
        <v>Clean</v>
      </c>
      <c r="AT784" t="str">
        <f>IF(OR(AC784&lt;0,AC784&gt;0.5),"Invalid Discount","Valid")</f>
        <v>Valid</v>
      </c>
      <c r="AU784" t="str">
        <f>IF(G784&lt;E784,"Invalid Shipping Record","Valid")</f>
        <v>Valid</v>
      </c>
      <c r="AV784" t="str">
        <f>IF(OR(AL784="Cancelled",AH784="Failed"),"Exclude","Include")</f>
        <v>Include</v>
      </c>
      <c r="AW784" t="str">
        <f t="shared" si="284"/>
        <v>Match</v>
      </c>
      <c r="AX784" t="str">
        <f t="shared" si="285"/>
        <v>Match</v>
      </c>
    </row>
    <row r="785" spans="1:50">
      <c r="A785" t="s">
        <v>3613</v>
      </c>
      <c r="B785">
        <f t="shared" si="264"/>
        <v>1</v>
      </c>
      <c r="C785" t="str">
        <f t="shared" si="274"/>
        <v/>
      </c>
      <c r="D785" s="3" t="s">
        <v>3614</v>
      </c>
      <c r="E785" s="7">
        <v>45450</v>
      </c>
      <c r="F785" s="3" t="s">
        <v>3615</v>
      </c>
      <c r="G785" s="7">
        <v>45450</v>
      </c>
      <c r="H785" s="7" t="str">
        <f t="shared" si="265"/>
        <v>Valid</v>
      </c>
      <c r="I785" s="9">
        <f t="shared" si="266"/>
        <v>0</v>
      </c>
      <c r="J785" s="9" t="str">
        <f t="shared" si="267"/>
        <v>Valid</v>
      </c>
      <c r="K785" t="s">
        <v>3616</v>
      </c>
      <c r="L785" t="s">
        <v>161</v>
      </c>
      <c r="M785" t="s">
        <v>161</v>
      </c>
      <c r="N785" t="s">
        <v>40</v>
      </c>
      <c r="O785" s="3" t="str">
        <f t="shared" si="268"/>
        <v>Small Business</v>
      </c>
      <c r="P785" t="s">
        <v>41</v>
      </c>
      <c r="Q785" s="3" t="str">
        <f t="shared" si="269"/>
        <v>East</v>
      </c>
      <c r="R785" t="s">
        <v>185</v>
      </c>
      <c r="S785" t="s">
        <v>186</v>
      </c>
      <c r="T785" t="s">
        <v>29</v>
      </c>
      <c r="U785" s="3" t="str">
        <f t="shared" si="270"/>
        <v>Office Supplies</v>
      </c>
      <c r="V785" t="s">
        <v>53</v>
      </c>
      <c r="W785" t="s">
        <v>3617</v>
      </c>
      <c r="X785" t="s">
        <v>32</v>
      </c>
      <c r="Y785" s="3" t="str">
        <f t="shared" si="271"/>
        <v>Second Class</v>
      </c>
      <c r="Z785">
        <v>1</v>
      </c>
      <c r="AA785">
        <v>2581.9299999999998</v>
      </c>
      <c r="AB785">
        <v>0.05</v>
      </c>
      <c r="AC785">
        <f t="shared" si="272"/>
        <v>0.05</v>
      </c>
      <c r="AD785" t="str">
        <f t="shared" si="275"/>
        <v>Valid</v>
      </c>
      <c r="AE785">
        <v>2452.83</v>
      </c>
      <c r="AF785">
        <v>1906.7</v>
      </c>
      <c r="AG785">
        <v>546.13</v>
      </c>
      <c r="AH785" t="s">
        <v>33</v>
      </c>
      <c r="AI785" t="str">
        <f t="shared" si="276"/>
        <v>Include</v>
      </c>
      <c r="AJ785" t="str">
        <f t="shared" si="277"/>
        <v/>
      </c>
      <c r="AK785" t="s">
        <v>34</v>
      </c>
      <c r="AL785" t="str">
        <f t="shared" si="273"/>
        <v>Completed</v>
      </c>
      <c r="AM785" t="str">
        <f t="shared" si="278"/>
        <v>Include</v>
      </c>
      <c r="AN785">
        <f t="shared" si="279"/>
        <v>2452.8334999999997</v>
      </c>
      <c r="AO785">
        <f t="shared" si="280"/>
        <v>546.13349999999969</v>
      </c>
      <c r="AP785">
        <f>IF(AN785=0,0,AO785/AN785)</f>
        <v>0.22265412634000625</v>
      </c>
      <c r="AQ785" t="str">
        <f t="shared" si="281"/>
        <v>June</v>
      </c>
      <c r="AR785">
        <f t="shared" si="282"/>
        <v>2024</v>
      </c>
      <c r="AS785" t="str">
        <f t="shared" si="283"/>
        <v>Clean</v>
      </c>
      <c r="AT785" t="str">
        <f>IF(OR(AC785&lt;0,AC785&gt;0.5),"Invalid Discount","Valid")</f>
        <v>Valid</v>
      </c>
      <c r="AU785" t="str">
        <f>IF(G785&lt;E785,"Invalid Shipping Record","Valid")</f>
        <v>Valid</v>
      </c>
      <c r="AV785" t="str">
        <f>IF(OR(AL785="Cancelled",AH785="Failed"),"Exclude","Include")</f>
        <v>Include</v>
      </c>
      <c r="AW785" t="str">
        <f t="shared" si="284"/>
        <v>Match</v>
      </c>
      <c r="AX785" t="str">
        <f t="shared" si="285"/>
        <v>Match</v>
      </c>
    </row>
    <row r="786" spans="1:50">
      <c r="A786" t="s">
        <v>3618</v>
      </c>
      <c r="B786">
        <f t="shared" si="264"/>
        <v>1</v>
      </c>
      <c r="C786" t="str">
        <f t="shared" si="274"/>
        <v/>
      </c>
      <c r="D786" s="3" t="s">
        <v>3619</v>
      </c>
      <c r="E786" s="7">
        <v>45934</v>
      </c>
      <c r="F786" s="3" t="s">
        <v>2552</v>
      </c>
      <c r="G786" s="7">
        <v>45935</v>
      </c>
      <c r="H786" s="7" t="str">
        <f t="shared" si="265"/>
        <v>Valid</v>
      </c>
      <c r="I786" s="9">
        <f t="shared" si="266"/>
        <v>1</v>
      </c>
      <c r="J786" s="9" t="str">
        <f t="shared" si="267"/>
        <v>Valid</v>
      </c>
      <c r="K786" t="s">
        <v>3620</v>
      </c>
      <c r="L786" t="s">
        <v>141</v>
      </c>
      <c r="M786" t="s">
        <v>141</v>
      </c>
      <c r="N786" t="s">
        <v>107</v>
      </c>
      <c r="O786" s="3" t="str">
        <f t="shared" si="268"/>
        <v>Corporate</v>
      </c>
      <c r="P786" t="s">
        <v>3621</v>
      </c>
      <c r="Q786" s="3" t="str">
        <f t="shared" si="269"/>
        <v>North</v>
      </c>
      <c r="R786" t="s">
        <v>153</v>
      </c>
      <c r="S786" t="s">
        <v>154</v>
      </c>
      <c r="T786" t="s">
        <v>85</v>
      </c>
      <c r="U786" s="3" t="str">
        <f t="shared" si="270"/>
        <v>Technology</v>
      </c>
      <c r="V786" t="s">
        <v>93</v>
      </c>
      <c r="W786" t="s">
        <v>3622</v>
      </c>
      <c r="X786" t="s">
        <v>55</v>
      </c>
      <c r="Y786" s="3" t="str">
        <f t="shared" si="271"/>
        <v>First Class</v>
      </c>
      <c r="Z786">
        <v>4</v>
      </c>
      <c r="AA786">
        <v>418.18</v>
      </c>
      <c r="AB786">
        <v>0.05</v>
      </c>
      <c r="AC786">
        <f t="shared" si="272"/>
        <v>0.05</v>
      </c>
      <c r="AD786" t="str">
        <f t="shared" si="275"/>
        <v>Valid</v>
      </c>
      <c r="AE786">
        <v>1589.08</v>
      </c>
      <c r="AF786">
        <v>1084.6600000000001</v>
      </c>
      <c r="AG786">
        <v>504.42</v>
      </c>
      <c r="AH786" t="s">
        <v>33</v>
      </c>
      <c r="AI786" t="str">
        <f t="shared" si="276"/>
        <v>Include</v>
      </c>
      <c r="AJ786" t="str">
        <f t="shared" si="277"/>
        <v/>
      </c>
      <c r="AK786" t="s">
        <v>34</v>
      </c>
      <c r="AL786" t="str">
        <f t="shared" si="273"/>
        <v>Completed</v>
      </c>
      <c r="AM786" t="str">
        <f t="shared" si="278"/>
        <v>Include</v>
      </c>
      <c r="AN786">
        <f t="shared" si="279"/>
        <v>1589.0840000000001</v>
      </c>
      <c r="AO786">
        <f t="shared" si="280"/>
        <v>504.42399999999998</v>
      </c>
      <c r="AP786">
        <f>IF(AN786=0,0,AO786/AN786)</f>
        <v>0.31743067075120002</v>
      </c>
      <c r="AQ786" t="str">
        <f t="shared" si="281"/>
        <v>October</v>
      </c>
      <c r="AR786">
        <f t="shared" si="282"/>
        <v>2025</v>
      </c>
      <c r="AS786" t="str">
        <f t="shared" si="283"/>
        <v>Clean</v>
      </c>
      <c r="AT786" t="str">
        <f>IF(OR(AC786&lt;0,AC786&gt;0.5),"Invalid Discount","Valid")</f>
        <v>Valid</v>
      </c>
      <c r="AU786" t="str">
        <f>IF(G786&lt;E786,"Invalid Shipping Record","Valid")</f>
        <v>Valid</v>
      </c>
      <c r="AV786" t="str">
        <f>IF(OR(AL786="Cancelled",AH786="Failed"),"Exclude","Include")</f>
        <v>Include</v>
      </c>
      <c r="AW786" t="str">
        <f t="shared" si="284"/>
        <v>Match</v>
      </c>
      <c r="AX786" t="str">
        <f t="shared" si="285"/>
        <v>Match</v>
      </c>
    </row>
    <row r="787" spans="1:50">
      <c r="A787" t="s">
        <v>3623</v>
      </c>
      <c r="B787">
        <f t="shared" si="264"/>
        <v>1</v>
      </c>
      <c r="C787" t="str">
        <f t="shared" si="274"/>
        <v/>
      </c>
      <c r="D787" s="3" t="s">
        <v>3624</v>
      </c>
      <c r="E787" s="7">
        <v>45435</v>
      </c>
      <c r="F787" s="3" t="s">
        <v>272</v>
      </c>
      <c r="G787" s="7">
        <v>45441</v>
      </c>
      <c r="H787" s="7" t="str">
        <f t="shared" si="265"/>
        <v>Valid</v>
      </c>
      <c r="I787" s="9">
        <f t="shared" si="266"/>
        <v>6</v>
      </c>
      <c r="J787" s="9" t="str">
        <f t="shared" si="267"/>
        <v>Valid</v>
      </c>
      <c r="K787" t="s">
        <v>3625</v>
      </c>
      <c r="L787" t="s">
        <v>209</v>
      </c>
      <c r="M787" t="s">
        <v>209</v>
      </c>
      <c r="N787" t="s">
        <v>40</v>
      </c>
      <c r="O787" s="3" t="str">
        <f t="shared" si="268"/>
        <v>Small Business</v>
      </c>
      <c r="P787" t="s">
        <v>26</v>
      </c>
      <c r="Q787" s="3" t="str">
        <f t="shared" si="269"/>
        <v>North</v>
      </c>
      <c r="R787" t="s">
        <v>322</v>
      </c>
      <c r="S787" t="s">
        <v>323</v>
      </c>
      <c r="T787" t="s">
        <v>29</v>
      </c>
      <c r="U787" s="3" t="str">
        <f t="shared" si="270"/>
        <v>Office Supplies</v>
      </c>
      <c r="V787" t="s">
        <v>155</v>
      </c>
      <c r="W787" t="s">
        <v>3626</v>
      </c>
      <c r="X787" t="s">
        <v>47</v>
      </c>
      <c r="Y787" s="3" t="str">
        <f t="shared" si="271"/>
        <v>Same Day</v>
      </c>
      <c r="Z787">
        <v>2</v>
      </c>
      <c r="AA787">
        <v>3012.94</v>
      </c>
      <c r="AB787">
        <v>0.25</v>
      </c>
      <c r="AC787">
        <f t="shared" si="272"/>
        <v>0.25</v>
      </c>
      <c r="AD787" t="str">
        <f t="shared" si="275"/>
        <v>Valid</v>
      </c>
      <c r="AE787">
        <v>4519.41</v>
      </c>
      <c r="AF787">
        <v>3504.16</v>
      </c>
      <c r="AG787">
        <v>1275.55</v>
      </c>
      <c r="AH787" t="s">
        <v>199</v>
      </c>
      <c r="AI787" t="str">
        <f t="shared" si="276"/>
        <v>Exclude</v>
      </c>
      <c r="AJ787" t="str">
        <f t="shared" si="277"/>
        <v/>
      </c>
      <c r="AK787" t="s">
        <v>77</v>
      </c>
      <c r="AL787" t="str">
        <f t="shared" si="273"/>
        <v>Cancelled</v>
      </c>
      <c r="AM787" t="str">
        <f t="shared" si="278"/>
        <v>Exclude</v>
      </c>
      <c r="AN787">
        <f t="shared" si="279"/>
        <v>4519.41</v>
      </c>
      <c r="AO787">
        <f t="shared" si="280"/>
        <v>1015.25</v>
      </c>
      <c r="AP787">
        <f>IF(AN787=0,0,AO787/AN787)</f>
        <v>0.22464215461752751</v>
      </c>
      <c r="AQ787" t="str">
        <f t="shared" si="281"/>
        <v>May</v>
      </c>
      <c r="AR787">
        <f t="shared" si="282"/>
        <v>2024</v>
      </c>
      <c r="AS787" t="str">
        <f t="shared" si="283"/>
        <v>Clean</v>
      </c>
      <c r="AT787" t="str">
        <f>IF(OR(AC787&lt;0,AC787&gt;0.5),"Invalid Discount","Valid")</f>
        <v>Valid</v>
      </c>
      <c r="AU787" t="str">
        <f>IF(G787&lt;E787,"Invalid Shipping Record","Valid")</f>
        <v>Valid</v>
      </c>
      <c r="AV787" t="str">
        <f>IF(OR(AL787="Cancelled",AH787="Failed"),"Exclude","Include")</f>
        <v>Exclude</v>
      </c>
      <c r="AW787" t="str">
        <f t="shared" si="284"/>
        <v>Match</v>
      </c>
      <c r="AX787" t="str">
        <f t="shared" si="285"/>
        <v>Mismatch</v>
      </c>
    </row>
    <row r="788" spans="1:50">
      <c r="A788" t="s">
        <v>3627</v>
      </c>
      <c r="B788">
        <f t="shared" si="264"/>
        <v>1</v>
      </c>
      <c r="C788" t="str">
        <f t="shared" si="274"/>
        <v/>
      </c>
      <c r="D788" s="3" t="s">
        <v>1270</v>
      </c>
      <c r="E788" s="7">
        <v>45844</v>
      </c>
      <c r="F788" s="3" t="s">
        <v>2852</v>
      </c>
      <c r="G788" s="7">
        <v>45846</v>
      </c>
      <c r="H788" s="7" t="str">
        <f t="shared" si="265"/>
        <v>Valid</v>
      </c>
      <c r="I788" s="9">
        <f t="shared" si="266"/>
        <v>2</v>
      </c>
      <c r="J788" s="9" t="str">
        <f t="shared" si="267"/>
        <v>Valid</v>
      </c>
      <c r="K788" t="s">
        <v>3628</v>
      </c>
      <c r="L788" t="s">
        <v>71</v>
      </c>
      <c r="M788" t="s">
        <v>71</v>
      </c>
      <c r="N788" t="s">
        <v>107</v>
      </c>
      <c r="O788" s="3" t="str">
        <f t="shared" si="268"/>
        <v>Corporate</v>
      </c>
      <c r="P788" t="s">
        <v>26</v>
      </c>
      <c r="Q788" s="3" t="str">
        <f t="shared" si="269"/>
        <v>North</v>
      </c>
      <c r="R788" t="s">
        <v>27</v>
      </c>
      <c r="S788" t="s">
        <v>28</v>
      </c>
      <c r="T788" t="s">
        <v>44</v>
      </c>
      <c r="U788" s="3" t="str">
        <f t="shared" si="270"/>
        <v>Furniture</v>
      </c>
      <c r="V788" t="s">
        <v>64</v>
      </c>
      <c r="W788" t="s">
        <v>3629</v>
      </c>
      <c r="Y788" s="3" t="str">
        <f t="shared" si="271"/>
        <v>Unknown</v>
      </c>
      <c r="Z788">
        <v>4</v>
      </c>
      <c r="AA788">
        <v>715.45</v>
      </c>
      <c r="AB788">
        <v>0.05</v>
      </c>
      <c r="AC788">
        <f t="shared" si="272"/>
        <v>0.05</v>
      </c>
      <c r="AD788" t="str">
        <f t="shared" si="275"/>
        <v>Valid</v>
      </c>
      <c r="AE788">
        <v>2718.71</v>
      </c>
      <c r="AF788">
        <v>2065.0500000000002</v>
      </c>
      <c r="AG788">
        <v>653.66</v>
      </c>
      <c r="AH788" t="s">
        <v>123</v>
      </c>
      <c r="AI788" t="str">
        <f t="shared" si="276"/>
        <v>Include</v>
      </c>
      <c r="AJ788" t="str">
        <f t="shared" si="277"/>
        <v>Refunded Order</v>
      </c>
      <c r="AK788" t="s">
        <v>124</v>
      </c>
      <c r="AL788" t="str">
        <f t="shared" si="273"/>
        <v>Returned</v>
      </c>
      <c r="AM788" t="str">
        <f t="shared" si="278"/>
        <v>Include</v>
      </c>
      <c r="AN788">
        <f t="shared" si="279"/>
        <v>2718.71</v>
      </c>
      <c r="AO788">
        <f t="shared" si="280"/>
        <v>653.65999999999985</v>
      </c>
      <c r="AP788">
        <f>IF(AN788=0,0,AO788/AN788)</f>
        <v>0.24043020403058799</v>
      </c>
      <c r="AQ788" t="str">
        <f t="shared" si="281"/>
        <v>July</v>
      </c>
      <c r="AR788">
        <f t="shared" si="282"/>
        <v>2025</v>
      </c>
      <c r="AS788" t="str">
        <f t="shared" si="283"/>
        <v>Warning</v>
      </c>
      <c r="AT788" t="str">
        <f>IF(OR(AC788&lt;0,AC788&gt;0.5),"Invalid Discount","Valid")</f>
        <v>Valid</v>
      </c>
      <c r="AU788" t="str">
        <f>IF(G788&lt;E788,"Invalid Shipping Record","Valid")</f>
        <v>Valid</v>
      </c>
      <c r="AV788" t="str">
        <f>IF(OR(AL788="Cancelled",AH788="Failed"),"Exclude","Include")</f>
        <v>Include</v>
      </c>
      <c r="AW788" t="str">
        <f t="shared" si="284"/>
        <v>Match</v>
      </c>
      <c r="AX788" t="str">
        <f t="shared" si="285"/>
        <v>Match</v>
      </c>
    </row>
    <row r="789" spans="1:50">
      <c r="A789" t="s">
        <v>3630</v>
      </c>
      <c r="B789">
        <f t="shared" si="264"/>
        <v>1</v>
      </c>
      <c r="C789" t="str">
        <f t="shared" si="274"/>
        <v/>
      </c>
      <c r="D789" s="3" t="s">
        <v>1323</v>
      </c>
      <c r="E789" s="7">
        <v>45547</v>
      </c>
      <c r="F789" s="3" t="s">
        <v>3631</v>
      </c>
      <c r="G789" s="7">
        <v>45553</v>
      </c>
      <c r="H789" s="7" t="str">
        <f t="shared" si="265"/>
        <v>Valid</v>
      </c>
      <c r="I789" s="9">
        <f t="shared" si="266"/>
        <v>6</v>
      </c>
      <c r="J789" s="9" t="str">
        <f t="shared" si="267"/>
        <v>Valid</v>
      </c>
      <c r="K789" t="s">
        <v>3632</v>
      </c>
      <c r="L789" t="s">
        <v>71</v>
      </c>
      <c r="M789" t="s">
        <v>71</v>
      </c>
      <c r="N789" t="s">
        <v>114</v>
      </c>
      <c r="O789" s="3" t="str">
        <f t="shared" si="268"/>
        <v>Home Office</v>
      </c>
      <c r="P789" t="s">
        <v>41</v>
      </c>
      <c r="Q789" s="3" t="str">
        <f t="shared" si="269"/>
        <v>East</v>
      </c>
      <c r="R789" t="s">
        <v>185</v>
      </c>
      <c r="S789" t="s">
        <v>186</v>
      </c>
      <c r="T789" t="s">
        <v>29</v>
      </c>
      <c r="U789" s="3" t="str">
        <f t="shared" si="270"/>
        <v>Office Supplies</v>
      </c>
      <c r="V789" t="s">
        <v>30</v>
      </c>
      <c r="W789" t="s">
        <v>3633</v>
      </c>
      <c r="X789" t="s">
        <v>32</v>
      </c>
      <c r="Y789" s="3" t="str">
        <f t="shared" si="271"/>
        <v>Second Class</v>
      </c>
      <c r="Z789">
        <v>2</v>
      </c>
      <c r="AA789">
        <v>3718.77</v>
      </c>
      <c r="AB789">
        <v>0.05</v>
      </c>
      <c r="AC789">
        <f t="shared" si="272"/>
        <v>0.05</v>
      </c>
      <c r="AD789" t="str">
        <f t="shared" si="275"/>
        <v>Valid</v>
      </c>
      <c r="AE789">
        <v>7065.66</v>
      </c>
      <c r="AF789">
        <v>4915.2700000000004</v>
      </c>
      <c r="AG789">
        <v>2150.39</v>
      </c>
      <c r="AH789" t="s">
        <v>33</v>
      </c>
      <c r="AI789" t="str">
        <f t="shared" si="276"/>
        <v>Include</v>
      </c>
      <c r="AJ789" t="str">
        <f t="shared" si="277"/>
        <v/>
      </c>
      <c r="AK789" t="s">
        <v>34</v>
      </c>
      <c r="AL789" t="str">
        <f t="shared" si="273"/>
        <v>Completed</v>
      </c>
      <c r="AM789" t="str">
        <f t="shared" si="278"/>
        <v>Include</v>
      </c>
      <c r="AN789">
        <f t="shared" si="279"/>
        <v>7065.6629999999996</v>
      </c>
      <c r="AO789">
        <f t="shared" si="280"/>
        <v>2150.3929999999991</v>
      </c>
      <c r="AP789">
        <f>IF(AN789=0,0,AO789/AN789)</f>
        <v>0.30434412170521002</v>
      </c>
      <c r="AQ789" t="str">
        <f t="shared" si="281"/>
        <v>September</v>
      </c>
      <c r="AR789">
        <f t="shared" si="282"/>
        <v>2024</v>
      </c>
      <c r="AS789" t="str">
        <f t="shared" si="283"/>
        <v>Clean</v>
      </c>
      <c r="AT789" t="str">
        <f>IF(OR(AC789&lt;0,AC789&gt;0.5),"Invalid Discount","Valid")</f>
        <v>Valid</v>
      </c>
      <c r="AU789" t="str">
        <f>IF(G789&lt;E789,"Invalid Shipping Record","Valid")</f>
        <v>Valid</v>
      </c>
      <c r="AV789" t="str">
        <f>IF(OR(AL789="Cancelled",AH789="Failed"),"Exclude","Include")</f>
        <v>Include</v>
      </c>
      <c r="AW789" t="str">
        <f t="shared" si="284"/>
        <v>Match</v>
      </c>
      <c r="AX789" t="str">
        <f t="shared" si="285"/>
        <v>Match</v>
      </c>
    </row>
    <row r="790" spans="1:50">
      <c r="A790" t="s">
        <v>3634</v>
      </c>
      <c r="B790">
        <f t="shared" si="264"/>
        <v>1</v>
      </c>
      <c r="C790" t="str">
        <f t="shared" si="274"/>
        <v/>
      </c>
      <c r="D790" s="3" t="s">
        <v>1298</v>
      </c>
      <c r="E790" s="7">
        <v>45505</v>
      </c>
      <c r="F790" s="3" t="s">
        <v>537</v>
      </c>
      <c r="G790" s="7">
        <v>45506</v>
      </c>
      <c r="H790" s="7" t="str">
        <f t="shared" si="265"/>
        <v>Valid</v>
      </c>
      <c r="I790" s="9">
        <f t="shared" si="266"/>
        <v>1</v>
      </c>
      <c r="J790" s="9" t="str">
        <f t="shared" si="267"/>
        <v>Valid</v>
      </c>
      <c r="K790" t="s">
        <v>3635</v>
      </c>
      <c r="L790" t="s">
        <v>52</v>
      </c>
      <c r="M790" t="s">
        <v>52</v>
      </c>
      <c r="N790" t="s">
        <v>107</v>
      </c>
      <c r="O790" s="3" t="str">
        <f t="shared" si="268"/>
        <v>Corporate</v>
      </c>
      <c r="P790" t="s">
        <v>26</v>
      </c>
      <c r="Q790" s="3" t="str">
        <f t="shared" si="269"/>
        <v>North</v>
      </c>
      <c r="R790" t="s">
        <v>173</v>
      </c>
      <c r="S790" t="s">
        <v>174</v>
      </c>
      <c r="T790" t="s">
        <v>44</v>
      </c>
      <c r="U790" s="3" t="str">
        <f t="shared" si="270"/>
        <v>Furniture</v>
      </c>
      <c r="V790" t="s">
        <v>75</v>
      </c>
      <c r="W790" t="s">
        <v>3636</v>
      </c>
      <c r="X790" t="s">
        <v>66</v>
      </c>
      <c r="Y790" s="3" t="str">
        <f t="shared" si="271"/>
        <v>Standard Class</v>
      </c>
      <c r="Z790">
        <v>8</v>
      </c>
      <c r="AA790">
        <v>2487.64</v>
      </c>
      <c r="AB790">
        <v>0.1</v>
      </c>
      <c r="AC790">
        <f t="shared" si="272"/>
        <v>0.1</v>
      </c>
      <c r="AD790" t="str">
        <f t="shared" si="275"/>
        <v>Valid</v>
      </c>
      <c r="AE790">
        <v>17911.009999999998</v>
      </c>
      <c r="AF790">
        <v>11546.05</v>
      </c>
      <c r="AG790">
        <v>6364.96</v>
      </c>
      <c r="AH790" t="s">
        <v>199</v>
      </c>
      <c r="AI790" t="str">
        <f t="shared" si="276"/>
        <v>Exclude</v>
      </c>
      <c r="AJ790" t="str">
        <f t="shared" si="277"/>
        <v/>
      </c>
      <c r="AK790" t="s">
        <v>124</v>
      </c>
      <c r="AL790" t="str">
        <f t="shared" si="273"/>
        <v>Returned</v>
      </c>
      <c r="AM790" t="str">
        <f t="shared" si="278"/>
        <v>Include</v>
      </c>
      <c r="AN790">
        <f t="shared" si="279"/>
        <v>17911.007999999998</v>
      </c>
      <c r="AO790">
        <f t="shared" si="280"/>
        <v>6364.9579999999987</v>
      </c>
      <c r="AP790">
        <f>IF(AN790=0,0,AO790/AN790)</f>
        <v>0.35536570582738836</v>
      </c>
      <c r="AQ790" t="str">
        <f t="shared" si="281"/>
        <v>August</v>
      </c>
      <c r="AR790">
        <f t="shared" si="282"/>
        <v>2024</v>
      </c>
      <c r="AS790" t="str">
        <f t="shared" si="283"/>
        <v>Clean</v>
      </c>
      <c r="AT790" t="str">
        <f>IF(OR(AC790&lt;0,AC790&gt;0.5),"Invalid Discount","Valid")</f>
        <v>Valid</v>
      </c>
      <c r="AU790" t="str">
        <f>IF(G790&lt;E790,"Invalid Shipping Record","Valid")</f>
        <v>Valid</v>
      </c>
      <c r="AV790" t="str">
        <f>IF(OR(AL790="Cancelled",AH790="Failed"),"Exclude","Include")</f>
        <v>Exclude</v>
      </c>
      <c r="AW790" t="str">
        <f t="shared" si="284"/>
        <v>Match</v>
      </c>
      <c r="AX790" t="str">
        <f t="shared" si="285"/>
        <v>Match</v>
      </c>
    </row>
    <row r="791" spans="1:50">
      <c r="A791" t="s">
        <v>3637</v>
      </c>
      <c r="B791">
        <f t="shared" si="264"/>
        <v>1</v>
      </c>
      <c r="C791" t="str">
        <f t="shared" si="274"/>
        <v/>
      </c>
      <c r="D791" s="3" t="s">
        <v>3638</v>
      </c>
      <c r="E791" s="7">
        <v>45723</v>
      </c>
      <c r="F791" s="3" t="s">
        <v>2323</v>
      </c>
      <c r="G791" s="7">
        <v>45724</v>
      </c>
      <c r="H791" s="7" t="str">
        <f t="shared" si="265"/>
        <v>Valid</v>
      </c>
      <c r="I791" s="9">
        <f t="shared" si="266"/>
        <v>1</v>
      </c>
      <c r="J791" s="9" t="str">
        <f t="shared" si="267"/>
        <v>Valid</v>
      </c>
      <c r="K791" t="s">
        <v>3639</v>
      </c>
      <c r="L791" t="s">
        <v>141</v>
      </c>
      <c r="M791" t="s">
        <v>141</v>
      </c>
      <c r="N791" t="s">
        <v>114</v>
      </c>
      <c r="O791" s="3" t="str">
        <f t="shared" si="268"/>
        <v>Home Office</v>
      </c>
      <c r="Q791" s="3" t="str">
        <f t="shared" si="269"/>
        <v>Unknown</v>
      </c>
      <c r="R791" t="s">
        <v>27</v>
      </c>
      <c r="S791" t="s">
        <v>134</v>
      </c>
      <c r="T791" t="s">
        <v>85</v>
      </c>
      <c r="U791" s="3" t="str">
        <f t="shared" si="270"/>
        <v>Technology</v>
      </c>
      <c r="V791" t="s">
        <v>93</v>
      </c>
      <c r="W791" t="s">
        <v>3640</v>
      </c>
      <c r="X791" t="s">
        <v>47</v>
      </c>
      <c r="Y791" s="3" t="str">
        <f t="shared" si="271"/>
        <v>Same Day</v>
      </c>
      <c r="Z791">
        <v>4</v>
      </c>
      <c r="AA791">
        <v>3537.48</v>
      </c>
      <c r="AB791">
        <v>0</v>
      </c>
      <c r="AC791">
        <f t="shared" si="272"/>
        <v>0</v>
      </c>
      <c r="AD791" t="str">
        <f t="shared" si="275"/>
        <v>Valid</v>
      </c>
      <c r="AE791">
        <v>14149.92</v>
      </c>
      <c r="AF791">
        <v>9466.51</v>
      </c>
      <c r="AG791">
        <v>4683.41</v>
      </c>
      <c r="AH791" t="s">
        <v>33</v>
      </c>
      <c r="AI791" t="str">
        <f t="shared" si="276"/>
        <v>Include</v>
      </c>
      <c r="AJ791" t="str">
        <f t="shared" si="277"/>
        <v/>
      </c>
      <c r="AK791" t="s">
        <v>34</v>
      </c>
      <c r="AL791" t="str">
        <f t="shared" si="273"/>
        <v>Completed</v>
      </c>
      <c r="AM791" t="str">
        <f t="shared" si="278"/>
        <v>Include</v>
      </c>
      <c r="AN791">
        <f t="shared" si="279"/>
        <v>14149.92</v>
      </c>
      <c r="AO791">
        <f t="shared" si="280"/>
        <v>4683.41</v>
      </c>
      <c r="AP791">
        <f>IF(AN791=0,0,AO791/AN791)</f>
        <v>0.33098491016203624</v>
      </c>
      <c r="AQ791" t="str">
        <f t="shared" si="281"/>
        <v>March</v>
      </c>
      <c r="AR791">
        <f t="shared" si="282"/>
        <v>2025</v>
      </c>
      <c r="AS791" t="str">
        <f t="shared" si="283"/>
        <v>Warning</v>
      </c>
      <c r="AT791" t="str">
        <f>IF(OR(AC791&lt;0,AC791&gt;0.5),"Invalid Discount","Valid")</f>
        <v>Valid</v>
      </c>
      <c r="AU791" t="str">
        <f>IF(G791&lt;E791,"Invalid Shipping Record","Valid")</f>
        <v>Valid</v>
      </c>
      <c r="AV791" t="str">
        <f>IF(OR(AL791="Cancelled",AH791="Failed"),"Exclude","Include")</f>
        <v>Include</v>
      </c>
      <c r="AW791" t="str">
        <f t="shared" si="284"/>
        <v>Match</v>
      </c>
      <c r="AX791" t="str">
        <f t="shared" si="285"/>
        <v>Match</v>
      </c>
    </row>
    <row r="792" spans="1:50">
      <c r="A792" t="s">
        <v>3641</v>
      </c>
      <c r="B792">
        <f t="shared" si="264"/>
        <v>1</v>
      </c>
      <c r="C792" t="str">
        <f t="shared" si="274"/>
        <v/>
      </c>
      <c r="D792" s="3" t="s">
        <v>3642</v>
      </c>
      <c r="E792" s="7">
        <v>45443</v>
      </c>
      <c r="F792" s="3" t="s">
        <v>3643</v>
      </c>
      <c r="G792" s="7">
        <v>45445</v>
      </c>
      <c r="H792" s="7" t="str">
        <f t="shared" si="265"/>
        <v>Valid</v>
      </c>
      <c r="I792" s="9">
        <f t="shared" si="266"/>
        <v>2</v>
      </c>
      <c r="J792" s="9" t="str">
        <f t="shared" si="267"/>
        <v>Valid</v>
      </c>
      <c r="K792" t="s">
        <v>3644</v>
      </c>
      <c r="L792" t="s">
        <v>147</v>
      </c>
      <c r="M792" t="s">
        <v>147</v>
      </c>
      <c r="N792" t="s">
        <v>107</v>
      </c>
      <c r="O792" s="3" t="str">
        <f t="shared" si="268"/>
        <v>Corporate</v>
      </c>
      <c r="P792" t="s">
        <v>61</v>
      </c>
      <c r="Q792" s="3" t="str">
        <f t="shared" si="269"/>
        <v>South</v>
      </c>
      <c r="R792" t="s">
        <v>99</v>
      </c>
      <c r="S792" t="s">
        <v>100</v>
      </c>
      <c r="T792" t="s">
        <v>29</v>
      </c>
      <c r="U792" s="3" t="str">
        <f t="shared" si="270"/>
        <v>Office Supplies</v>
      </c>
      <c r="V792" t="s">
        <v>53</v>
      </c>
      <c r="W792" t="s">
        <v>3645</v>
      </c>
      <c r="X792" t="s">
        <v>66</v>
      </c>
      <c r="Y792" s="3" t="str">
        <f t="shared" si="271"/>
        <v>Standard Class</v>
      </c>
      <c r="Z792">
        <v>8</v>
      </c>
      <c r="AA792">
        <v>667.59</v>
      </c>
      <c r="AB792">
        <v>0.2</v>
      </c>
      <c r="AC792">
        <f t="shared" si="272"/>
        <v>0.2</v>
      </c>
      <c r="AD792" t="str">
        <f t="shared" si="275"/>
        <v>Valid</v>
      </c>
      <c r="AE792">
        <v>4272.58</v>
      </c>
      <c r="AF792">
        <v>3328.92</v>
      </c>
      <c r="AG792">
        <v>943.66</v>
      </c>
      <c r="AH792" t="s">
        <v>33</v>
      </c>
      <c r="AI792" t="str">
        <f t="shared" si="276"/>
        <v>Include</v>
      </c>
      <c r="AJ792" t="str">
        <f t="shared" si="277"/>
        <v/>
      </c>
      <c r="AK792" t="s">
        <v>34</v>
      </c>
      <c r="AL792" t="str">
        <f t="shared" si="273"/>
        <v>Completed</v>
      </c>
      <c r="AM792" t="str">
        <f t="shared" si="278"/>
        <v>Include</v>
      </c>
      <c r="AN792">
        <f t="shared" si="279"/>
        <v>4272.576</v>
      </c>
      <c r="AO792">
        <f t="shared" si="280"/>
        <v>943.65599999999995</v>
      </c>
      <c r="AP792">
        <f>IF(AN792=0,0,AO792/AN792)</f>
        <v>0.22086347908147214</v>
      </c>
      <c r="AQ792" t="str">
        <f t="shared" si="281"/>
        <v>May</v>
      </c>
      <c r="AR792">
        <f t="shared" si="282"/>
        <v>2024</v>
      </c>
      <c r="AS792" t="str">
        <f t="shared" si="283"/>
        <v>Clean</v>
      </c>
      <c r="AT792" t="str">
        <f>IF(OR(AC792&lt;0,AC792&gt;0.5),"Invalid Discount","Valid")</f>
        <v>Valid</v>
      </c>
      <c r="AU792" t="str">
        <f>IF(G792&lt;E792,"Invalid Shipping Record","Valid")</f>
        <v>Valid</v>
      </c>
      <c r="AV792" t="str">
        <f>IF(OR(AL792="Cancelled",AH792="Failed"),"Exclude","Include")</f>
        <v>Include</v>
      </c>
      <c r="AW792" t="str">
        <f t="shared" si="284"/>
        <v>Match</v>
      </c>
      <c r="AX792" t="str">
        <f t="shared" si="285"/>
        <v>Match</v>
      </c>
    </row>
    <row r="793" spans="1:50">
      <c r="A793" t="s">
        <v>3646</v>
      </c>
      <c r="B793">
        <f t="shared" si="264"/>
        <v>1</v>
      </c>
      <c r="C793" t="str">
        <f t="shared" si="274"/>
        <v/>
      </c>
      <c r="D793" s="3" t="s">
        <v>3012</v>
      </c>
      <c r="E793" s="7">
        <v>45567</v>
      </c>
      <c r="F793" s="3" t="s">
        <v>3647</v>
      </c>
      <c r="G793" s="7">
        <v>45571</v>
      </c>
      <c r="H793" s="7" t="str">
        <f t="shared" si="265"/>
        <v>Valid</v>
      </c>
      <c r="I793" s="9">
        <f t="shared" si="266"/>
        <v>4</v>
      </c>
      <c r="J793" s="9" t="str">
        <f t="shared" si="267"/>
        <v>Valid</v>
      </c>
      <c r="K793" t="s">
        <v>3648</v>
      </c>
      <c r="L793" t="s">
        <v>147</v>
      </c>
      <c r="M793" t="s">
        <v>147</v>
      </c>
      <c r="N793" t="s">
        <v>114</v>
      </c>
      <c r="O793" s="3" t="str">
        <f t="shared" si="268"/>
        <v>Home Office</v>
      </c>
      <c r="P793" t="s">
        <v>61</v>
      </c>
      <c r="Q793" s="3" t="str">
        <f t="shared" si="269"/>
        <v>South</v>
      </c>
      <c r="R793" t="s">
        <v>228</v>
      </c>
      <c r="S793" t="s">
        <v>229</v>
      </c>
      <c r="T793" t="s">
        <v>44</v>
      </c>
      <c r="U793" s="3" t="str">
        <f t="shared" si="270"/>
        <v>Furniture</v>
      </c>
      <c r="V793" t="s">
        <v>203</v>
      </c>
      <c r="W793" t="s">
        <v>3649</v>
      </c>
      <c r="X793" t="s">
        <v>47</v>
      </c>
      <c r="Y793" s="3" t="str">
        <f t="shared" si="271"/>
        <v>Same Day</v>
      </c>
      <c r="Z793">
        <v>8</v>
      </c>
      <c r="AA793">
        <v>1558.77</v>
      </c>
      <c r="AB793">
        <v>0.25</v>
      </c>
      <c r="AC793">
        <f t="shared" si="272"/>
        <v>0.25</v>
      </c>
      <c r="AD793" t="str">
        <f t="shared" si="275"/>
        <v>Valid</v>
      </c>
      <c r="AE793">
        <v>9352.6200000000008</v>
      </c>
      <c r="AF793">
        <v>5269.41</v>
      </c>
      <c r="AG793">
        <v>4083.21</v>
      </c>
      <c r="AH793" t="s">
        <v>33</v>
      </c>
      <c r="AI793" t="str">
        <f t="shared" si="276"/>
        <v>Include</v>
      </c>
      <c r="AJ793" t="str">
        <f t="shared" si="277"/>
        <v/>
      </c>
      <c r="AK793" t="s">
        <v>34</v>
      </c>
      <c r="AL793" t="str">
        <f t="shared" si="273"/>
        <v>Completed</v>
      </c>
      <c r="AM793" t="str">
        <f t="shared" si="278"/>
        <v>Include</v>
      </c>
      <c r="AN793">
        <f t="shared" si="279"/>
        <v>9352.619999999999</v>
      </c>
      <c r="AO793">
        <f t="shared" si="280"/>
        <v>4083.2099999999991</v>
      </c>
      <c r="AP793">
        <f>IF(AN793=0,0,AO793/AN793)</f>
        <v>0.43658461479243243</v>
      </c>
      <c r="AQ793" t="str">
        <f t="shared" si="281"/>
        <v>October</v>
      </c>
      <c r="AR793">
        <f t="shared" si="282"/>
        <v>2024</v>
      </c>
      <c r="AS793" t="str">
        <f t="shared" si="283"/>
        <v>Clean</v>
      </c>
      <c r="AT793" t="str">
        <f>IF(OR(AC793&lt;0,AC793&gt;0.5),"Invalid Discount","Valid")</f>
        <v>Valid</v>
      </c>
      <c r="AU793" t="str">
        <f>IF(G793&lt;E793,"Invalid Shipping Record","Valid")</f>
        <v>Valid</v>
      </c>
      <c r="AV793" t="str">
        <f>IF(OR(AL793="Cancelled",AH793="Failed"),"Exclude","Include")</f>
        <v>Include</v>
      </c>
      <c r="AW793" t="str">
        <f t="shared" si="284"/>
        <v>Match</v>
      </c>
      <c r="AX793" t="str">
        <f t="shared" si="285"/>
        <v>Match</v>
      </c>
    </row>
    <row r="794" spans="1:50">
      <c r="A794" t="s">
        <v>3650</v>
      </c>
      <c r="B794">
        <f t="shared" si="264"/>
        <v>1</v>
      </c>
      <c r="C794" t="str">
        <f t="shared" si="274"/>
        <v/>
      </c>
      <c r="D794" s="3" t="s">
        <v>1229</v>
      </c>
      <c r="E794" s="7">
        <v>45812</v>
      </c>
      <c r="F794" s="3" t="s">
        <v>3651</v>
      </c>
      <c r="G794" s="7">
        <v>45816</v>
      </c>
      <c r="H794" s="7" t="str">
        <f t="shared" si="265"/>
        <v>Valid</v>
      </c>
      <c r="I794" s="9">
        <f t="shared" si="266"/>
        <v>4</v>
      </c>
      <c r="J794" s="9" t="str">
        <f t="shared" si="267"/>
        <v>Valid</v>
      </c>
      <c r="K794" t="s">
        <v>3652</v>
      </c>
      <c r="L794" t="s">
        <v>60</v>
      </c>
      <c r="M794" t="s">
        <v>60</v>
      </c>
      <c r="N794" t="s">
        <v>40</v>
      </c>
      <c r="O794" s="3" t="str">
        <f t="shared" si="268"/>
        <v>Small Business</v>
      </c>
      <c r="P794" t="s">
        <v>41</v>
      </c>
      <c r="Q794" s="3" t="str">
        <f t="shared" si="269"/>
        <v>East</v>
      </c>
      <c r="R794" t="s">
        <v>215</v>
      </c>
      <c r="S794" t="s">
        <v>216</v>
      </c>
      <c r="T794" t="s">
        <v>44</v>
      </c>
      <c r="U794" s="3" t="str">
        <f t="shared" si="270"/>
        <v>Furniture</v>
      </c>
      <c r="V794" t="s">
        <v>64</v>
      </c>
      <c r="W794" t="s">
        <v>3653</v>
      </c>
      <c r="X794" t="s">
        <v>32</v>
      </c>
      <c r="Y794" s="3" t="str">
        <f t="shared" si="271"/>
        <v>Second Class</v>
      </c>
      <c r="Z794">
        <v>1</v>
      </c>
      <c r="AA794">
        <v>3501.12</v>
      </c>
      <c r="AB794">
        <v>0.2</v>
      </c>
      <c r="AC794">
        <f t="shared" si="272"/>
        <v>0.2</v>
      </c>
      <c r="AD794" t="str">
        <f t="shared" si="275"/>
        <v>Valid</v>
      </c>
      <c r="AE794">
        <v>2800.9</v>
      </c>
      <c r="AF794">
        <v>1735.98</v>
      </c>
      <c r="AG794">
        <v>1064.92</v>
      </c>
      <c r="AH794" t="s">
        <v>33</v>
      </c>
      <c r="AI794" t="str">
        <f t="shared" si="276"/>
        <v>Include</v>
      </c>
      <c r="AJ794" t="str">
        <f t="shared" si="277"/>
        <v/>
      </c>
      <c r="AK794" t="s">
        <v>124</v>
      </c>
      <c r="AL794" t="str">
        <f t="shared" si="273"/>
        <v>Returned</v>
      </c>
      <c r="AM794" t="str">
        <f t="shared" si="278"/>
        <v>Include</v>
      </c>
      <c r="AN794">
        <f t="shared" si="279"/>
        <v>2800.8960000000002</v>
      </c>
      <c r="AO794">
        <f t="shared" si="280"/>
        <v>1064.9160000000002</v>
      </c>
      <c r="AP794">
        <f>IF(AN794=0,0,AO794/AN794)</f>
        <v>0.38020547710446945</v>
      </c>
      <c r="AQ794" t="str">
        <f t="shared" si="281"/>
        <v>June</v>
      </c>
      <c r="AR794">
        <f t="shared" si="282"/>
        <v>2025</v>
      </c>
      <c r="AS794" t="str">
        <f t="shared" si="283"/>
        <v>Clean</v>
      </c>
      <c r="AT794" t="str">
        <f>IF(OR(AC794&lt;0,AC794&gt;0.5),"Invalid Discount","Valid")</f>
        <v>Valid</v>
      </c>
      <c r="AU794" t="str">
        <f>IF(G794&lt;E794,"Invalid Shipping Record","Valid")</f>
        <v>Valid</v>
      </c>
      <c r="AV794" t="str">
        <f>IF(OR(AL794="Cancelled",AH794="Failed"),"Exclude","Include")</f>
        <v>Include</v>
      </c>
      <c r="AW794" t="str">
        <f t="shared" si="284"/>
        <v>Match</v>
      </c>
      <c r="AX794" t="str">
        <f t="shared" si="285"/>
        <v>Match</v>
      </c>
    </row>
    <row r="795" spans="1:50">
      <c r="A795" t="s">
        <v>3654</v>
      </c>
      <c r="B795">
        <f t="shared" si="264"/>
        <v>1</v>
      </c>
      <c r="C795" t="str">
        <f t="shared" si="274"/>
        <v/>
      </c>
      <c r="D795" s="3" t="s">
        <v>80</v>
      </c>
      <c r="E795" s="7">
        <v>45440</v>
      </c>
      <c r="F795" s="3" t="s">
        <v>3655</v>
      </c>
      <c r="G795" s="7">
        <v>45446</v>
      </c>
      <c r="H795" s="7" t="str">
        <f t="shared" si="265"/>
        <v>Valid</v>
      </c>
      <c r="I795" s="9">
        <f t="shared" si="266"/>
        <v>6</v>
      </c>
      <c r="J795" s="9" t="str">
        <f t="shared" si="267"/>
        <v>Valid</v>
      </c>
      <c r="K795" t="s">
        <v>3656</v>
      </c>
      <c r="L795" t="s">
        <v>82</v>
      </c>
      <c r="M795" t="s">
        <v>82</v>
      </c>
      <c r="N795" t="s">
        <v>107</v>
      </c>
      <c r="O795" s="3" t="str">
        <f t="shared" si="268"/>
        <v>Corporate</v>
      </c>
      <c r="P795" t="s">
        <v>26</v>
      </c>
      <c r="Q795" s="3" t="str">
        <f t="shared" si="269"/>
        <v>North</v>
      </c>
      <c r="R795" t="s">
        <v>27</v>
      </c>
      <c r="S795" t="s">
        <v>28</v>
      </c>
      <c r="T795" t="s">
        <v>85</v>
      </c>
      <c r="U795" s="3" t="str">
        <f t="shared" si="270"/>
        <v>Technology</v>
      </c>
      <c r="V795" t="s">
        <v>93</v>
      </c>
      <c r="W795" t="s">
        <v>3657</v>
      </c>
      <c r="X795" t="s">
        <v>32</v>
      </c>
      <c r="Y795" s="3" t="str">
        <f t="shared" si="271"/>
        <v>Second Class</v>
      </c>
      <c r="Z795">
        <v>5</v>
      </c>
      <c r="AA795">
        <v>4302.32</v>
      </c>
      <c r="AB795">
        <v>0</v>
      </c>
      <c r="AC795">
        <f t="shared" si="272"/>
        <v>0</v>
      </c>
      <c r="AD795" t="str">
        <f t="shared" si="275"/>
        <v>Valid</v>
      </c>
      <c r="AE795">
        <v>21511.599999999999</v>
      </c>
      <c r="AF795">
        <v>15408.47</v>
      </c>
      <c r="AG795">
        <v>6103.13</v>
      </c>
      <c r="AH795" t="s">
        <v>33</v>
      </c>
      <c r="AI795" t="str">
        <f t="shared" si="276"/>
        <v>Include</v>
      </c>
      <c r="AJ795" t="str">
        <f t="shared" si="277"/>
        <v/>
      </c>
      <c r="AK795" t="s">
        <v>34</v>
      </c>
      <c r="AL795" t="str">
        <f t="shared" si="273"/>
        <v>Completed</v>
      </c>
      <c r="AM795" t="str">
        <f t="shared" si="278"/>
        <v>Include</v>
      </c>
      <c r="AN795">
        <f t="shared" si="279"/>
        <v>21511.599999999999</v>
      </c>
      <c r="AO795">
        <f t="shared" si="280"/>
        <v>6103.1299999999992</v>
      </c>
      <c r="AP795">
        <f>IF(AN795=0,0,AO795/AN795)</f>
        <v>0.28371343833094703</v>
      </c>
      <c r="AQ795" t="str">
        <f t="shared" si="281"/>
        <v>May</v>
      </c>
      <c r="AR795">
        <f t="shared" si="282"/>
        <v>2024</v>
      </c>
      <c r="AS795" t="str">
        <f t="shared" si="283"/>
        <v>Clean</v>
      </c>
      <c r="AT795" t="str">
        <f>IF(OR(AC795&lt;0,AC795&gt;0.5),"Invalid Discount","Valid")</f>
        <v>Valid</v>
      </c>
      <c r="AU795" t="str">
        <f>IF(G795&lt;E795,"Invalid Shipping Record","Valid")</f>
        <v>Valid</v>
      </c>
      <c r="AV795" t="str">
        <f>IF(OR(AL795="Cancelled",AH795="Failed"),"Exclude","Include")</f>
        <v>Include</v>
      </c>
      <c r="AW795" t="str">
        <f t="shared" si="284"/>
        <v>Match</v>
      </c>
      <c r="AX795" t="str">
        <f t="shared" si="285"/>
        <v>Match</v>
      </c>
    </row>
    <row r="796" spans="1:50">
      <c r="A796" t="s">
        <v>3658</v>
      </c>
      <c r="B796">
        <f t="shared" ref="B796:B859" si="286">COUNTIF($A:$A,A796)</f>
        <v>1</v>
      </c>
      <c r="C796" t="str">
        <f t="shared" si="274"/>
        <v/>
      </c>
      <c r="D796" s="3" t="s">
        <v>3659</v>
      </c>
      <c r="E796" s="7">
        <v>45830</v>
      </c>
      <c r="F796" s="3" t="s">
        <v>995</v>
      </c>
      <c r="G796" s="7">
        <v>45832</v>
      </c>
      <c r="H796" s="7" t="str">
        <f t="shared" si="265"/>
        <v>Valid</v>
      </c>
      <c r="I796" s="9">
        <f t="shared" si="266"/>
        <v>2</v>
      </c>
      <c r="J796" s="9" t="str">
        <f t="shared" si="267"/>
        <v>Valid</v>
      </c>
      <c r="K796" t="s">
        <v>3660</v>
      </c>
      <c r="L796" t="s">
        <v>167</v>
      </c>
      <c r="M796" t="s">
        <v>167</v>
      </c>
      <c r="N796" t="s">
        <v>107</v>
      </c>
      <c r="O796" s="3" t="str">
        <f t="shared" si="268"/>
        <v>Corporate</v>
      </c>
      <c r="P796" t="s">
        <v>41</v>
      </c>
      <c r="Q796" s="3" t="str">
        <f t="shared" si="269"/>
        <v>East</v>
      </c>
      <c r="R796" t="s">
        <v>215</v>
      </c>
      <c r="S796" t="s">
        <v>216</v>
      </c>
      <c r="T796" t="s">
        <v>29</v>
      </c>
      <c r="U796" s="3" t="str">
        <f t="shared" si="270"/>
        <v>Office Supplies</v>
      </c>
      <c r="V796" t="s">
        <v>30</v>
      </c>
      <c r="W796" t="s">
        <v>3661</v>
      </c>
      <c r="X796" t="s">
        <v>66</v>
      </c>
      <c r="Y796" s="3" t="str">
        <f t="shared" si="271"/>
        <v>Standard Class</v>
      </c>
      <c r="Z796">
        <v>9</v>
      </c>
      <c r="AA796">
        <v>951.55</v>
      </c>
      <c r="AB796">
        <v>0.15</v>
      </c>
      <c r="AC796">
        <f t="shared" si="272"/>
        <v>0.15</v>
      </c>
      <c r="AD796" t="str">
        <f t="shared" si="275"/>
        <v>Valid</v>
      </c>
      <c r="AE796">
        <v>7279.36</v>
      </c>
      <c r="AF796">
        <v>4870.3900000000003</v>
      </c>
      <c r="AG796">
        <v>2408.9699999999998</v>
      </c>
      <c r="AH796" t="s">
        <v>33</v>
      </c>
      <c r="AI796" t="str">
        <f t="shared" si="276"/>
        <v>Include</v>
      </c>
      <c r="AJ796" t="str">
        <f t="shared" si="277"/>
        <v/>
      </c>
      <c r="AK796" t="s">
        <v>34</v>
      </c>
      <c r="AL796" t="str">
        <f t="shared" si="273"/>
        <v>Completed</v>
      </c>
      <c r="AM796" t="str">
        <f t="shared" si="278"/>
        <v>Include</v>
      </c>
      <c r="AN796">
        <f t="shared" si="279"/>
        <v>7279.3574999999992</v>
      </c>
      <c r="AO796">
        <f t="shared" si="280"/>
        <v>2408.9674999999988</v>
      </c>
      <c r="AP796">
        <f>IF(AN796=0,0,AO796/AN796)</f>
        <v>0.33093133562955235</v>
      </c>
      <c r="AQ796" t="str">
        <f t="shared" si="281"/>
        <v>June</v>
      </c>
      <c r="AR796">
        <f t="shared" si="282"/>
        <v>2025</v>
      </c>
      <c r="AS796" t="str">
        <f t="shared" si="283"/>
        <v>Clean</v>
      </c>
      <c r="AT796" t="str">
        <f>IF(OR(AC796&lt;0,AC796&gt;0.5),"Invalid Discount","Valid")</f>
        <v>Valid</v>
      </c>
      <c r="AU796" t="str">
        <f>IF(G796&lt;E796,"Invalid Shipping Record","Valid")</f>
        <v>Valid</v>
      </c>
      <c r="AV796" t="str">
        <f>IF(OR(AL796="Cancelled",AH796="Failed"),"Exclude","Include")</f>
        <v>Include</v>
      </c>
      <c r="AW796" t="str">
        <f t="shared" si="284"/>
        <v>Match</v>
      </c>
      <c r="AX796" t="str">
        <f t="shared" si="285"/>
        <v>Match</v>
      </c>
    </row>
    <row r="797" spans="1:50">
      <c r="A797" t="s">
        <v>3662</v>
      </c>
      <c r="B797">
        <f t="shared" si="286"/>
        <v>1</v>
      </c>
      <c r="C797" t="str">
        <f t="shared" si="274"/>
        <v/>
      </c>
      <c r="D797" s="3" t="s">
        <v>3663</v>
      </c>
      <c r="E797" s="7">
        <v>45503</v>
      </c>
      <c r="F797" s="3" t="s">
        <v>528</v>
      </c>
      <c r="G797" s="7">
        <v>45503</v>
      </c>
      <c r="H797" s="7" t="str">
        <f t="shared" si="265"/>
        <v>Valid</v>
      </c>
      <c r="I797" s="9">
        <f t="shared" si="266"/>
        <v>0</v>
      </c>
      <c r="J797" s="9" t="str">
        <f t="shared" si="267"/>
        <v>Valid</v>
      </c>
      <c r="K797" t="s">
        <v>3664</v>
      </c>
      <c r="L797" t="s">
        <v>209</v>
      </c>
      <c r="M797" t="s">
        <v>209</v>
      </c>
      <c r="N797" t="s">
        <v>114</v>
      </c>
      <c r="O797" s="3" t="str">
        <f t="shared" si="268"/>
        <v>Home Office</v>
      </c>
      <c r="P797" t="s">
        <v>41</v>
      </c>
      <c r="Q797" s="3" t="str">
        <f t="shared" si="269"/>
        <v>East</v>
      </c>
      <c r="R797" t="s">
        <v>42</v>
      </c>
      <c r="S797" t="s">
        <v>43</v>
      </c>
      <c r="T797" t="s">
        <v>85</v>
      </c>
      <c r="U797" s="3" t="str">
        <f t="shared" si="270"/>
        <v>Technology</v>
      </c>
      <c r="V797" t="s">
        <v>93</v>
      </c>
      <c r="W797" t="s">
        <v>3665</v>
      </c>
      <c r="X797" t="s">
        <v>47</v>
      </c>
      <c r="Y797" s="3" t="str">
        <f t="shared" si="271"/>
        <v>Same Day</v>
      </c>
      <c r="Z797">
        <v>9</v>
      </c>
      <c r="AA797">
        <v>2894.66</v>
      </c>
      <c r="AB797">
        <v>0</v>
      </c>
      <c r="AC797">
        <f t="shared" si="272"/>
        <v>0</v>
      </c>
      <c r="AD797" t="str">
        <f t="shared" si="275"/>
        <v>Valid</v>
      </c>
      <c r="AE797">
        <v>26051.94</v>
      </c>
      <c r="AF797">
        <v>16883.59</v>
      </c>
      <c r="AG797">
        <v>9168.35</v>
      </c>
      <c r="AH797" t="s">
        <v>123</v>
      </c>
      <c r="AI797" t="str">
        <f t="shared" si="276"/>
        <v>Exclude</v>
      </c>
      <c r="AJ797" t="str">
        <f t="shared" si="277"/>
        <v>Refunded Order</v>
      </c>
      <c r="AK797" t="s">
        <v>77</v>
      </c>
      <c r="AL797" t="str">
        <f t="shared" si="273"/>
        <v>Cancelled</v>
      </c>
      <c r="AM797" t="str">
        <f t="shared" si="278"/>
        <v>Exclude</v>
      </c>
      <c r="AN797">
        <f t="shared" si="279"/>
        <v>26051.94</v>
      </c>
      <c r="AO797">
        <f t="shared" si="280"/>
        <v>9168.3499999999985</v>
      </c>
      <c r="AP797">
        <f>IF(AN797=0,0,AO797/AN797)</f>
        <v>0.3519258066769691</v>
      </c>
      <c r="AQ797" t="str">
        <f t="shared" si="281"/>
        <v>July</v>
      </c>
      <c r="AR797">
        <f t="shared" si="282"/>
        <v>2024</v>
      </c>
      <c r="AS797" t="str">
        <f t="shared" si="283"/>
        <v>Clean</v>
      </c>
      <c r="AT797" t="str">
        <f>IF(OR(AC797&lt;0,AC797&gt;0.5),"Invalid Discount","Valid")</f>
        <v>Valid</v>
      </c>
      <c r="AU797" t="str">
        <f>IF(G797&lt;E797,"Invalid Shipping Record","Valid")</f>
        <v>Valid</v>
      </c>
      <c r="AV797" t="str">
        <f>IF(OR(AL797="Cancelled",AH797="Failed"),"Exclude","Include")</f>
        <v>Exclude</v>
      </c>
      <c r="AW797" t="str">
        <f t="shared" si="284"/>
        <v>Match</v>
      </c>
      <c r="AX797" t="str">
        <f t="shared" si="285"/>
        <v>Match</v>
      </c>
    </row>
    <row r="798" spans="1:50">
      <c r="A798" t="s">
        <v>3666</v>
      </c>
      <c r="B798">
        <f t="shared" si="286"/>
        <v>1</v>
      </c>
      <c r="C798" t="str">
        <f t="shared" si="274"/>
        <v/>
      </c>
      <c r="D798" s="3" t="s">
        <v>795</v>
      </c>
      <c r="E798" s="7">
        <v>45374</v>
      </c>
      <c r="F798" s="3" t="s">
        <v>3667</v>
      </c>
      <c r="G798" s="7">
        <v>45381</v>
      </c>
      <c r="H798" s="7" t="str">
        <f t="shared" si="265"/>
        <v>Valid</v>
      </c>
      <c r="I798" s="9">
        <f t="shared" si="266"/>
        <v>7</v>
      </c>
      <c r="J798" s="9" t="str">
        <f t="shared" si="267"/>
        <v>Valid</v>
      </c>
      <c r="K798" t="s">
        <v>3668</v>
      </c>
      <c r="L798" t="s">
        <v>179</v>
      </c>
      <c r="M798" t="s">
        <v>179</v>
      </c>
      <c r="N798" t="s">
        <v>40</v>
      </c>
      <c r="O798" s="3" t="str">
        <f t="shared" si="268"/>
        <v>Small Business</v>
      </c>
      <c r="P798" t="s">
        <v>61</v>
      </c>
      <c r="Q798" s="3" t="str">
        <f t="shared" si="269"/>
        <v>South</v>
      </c>
      <c r="R798" t="s">
        <v>99</v>
      </c>
      <c r="S798" t="s">
        <v>100</v>
      </c>
      <c r="T798" t="s">
        <v>85</v>
      </c>
      <c r="U798" s="3" t="str">
        <f t="shared" si="270"/>
        <v>Technology</v>
      </c>
      <c r="V798" t="s">
        <v>381</v>
      </c>
      <c r="W798" t="s">
        <v>3669</v>
      </c>
      <c r="X798" t="s">
        <v>55</v>
      </c>
      <c r="Y798" s="3" t="str">
        <f t="shared" si="271"/>
        <v>First Class</v>
      </c>
      <c r="Z798">
        <v>6</v>
      </c>
      <c r="AA798">
        <v>1894.44</v>
      </c>
      <c r="AB798">
        <v>0.15</v>
      </c>
      <c r="AC798">
        <f t="shared" si="272"/>
        <v>0.15</v>
      </c>
      <c r="AD798" t="str">
        <f t="shared" si="275"/>
        <v>Valid</v>
      </c>
      <c r="AE798">
        <v>9661.64</v>
      </c>
      <c r="AF798">
        <v>6303.77</v>
      </c>
      <c r="AG798">
        <v>3357.87</v>
      </c>
      <c r="AH798" t="s">
        <v>33</v>
      </c>
      <c r="AI798" t="str">
        <f t="shared" si="276"/>
        <v>Include</v>
      </c>
      <c r="AJ798" t="str">
        <f t="shared" si="277"/>
        <v/>
      </c>
      <c r="AK798" t="s">
        <v>34</v>
      </c>
      <c r="AL798" t="str">
        <f t="shared" si="273"/>
        <v>Completed</v>
      </c>
      <c r="AM798" t="str">
        <f t="shared" si="278"/>
        <v>Include</v>
      </c>
      <c r="AN798">
        <f t="shared" si="279"/>
        <v>9661.6439999999984</v>
      </c>
      <c r="AO798">
        <f t="shared" si="280"/>
        <v>3357.873999999998</v>
      </c>
      <c r="AP798">
        <f>IF(AN798=0,0,AO798/AN798)</f>
        <v>0.34754685641491223</v>
      </c>
      <c r="AQ798" t="str">
        <f t="shared" si="281"/>
        <v>March</v>
      </c>
      <c r="AR798">
        <f t="shared" si="282"/>
        <v>2024</v>
      </c>
      <c r="AS798" t="str">
        <f t="shared" si="283"/>
        <v>Clean</v>
      </c>
      <c r="AT798" t="str">
        <f>IF(OR(AC798&lt;0,AC798&gt;0.5),"Invalid Discount","Valid")</f>
        <v>Valid</v>
      </c>
      <c r="AU798" t="str">
        <f>IF(G798&lt;E798,"Invalid Shipping Record","Valid")</f>
        <v>Valid</v>
      </c>
      <c r="AV798" t="str">
        <f>IF(OR(AL798="Cancelled",AH798="Failed"),"Exclude","Include")</f>
        <v>Include</v>
      </c>
      <c r="AW798" t="str">
        <f t="shared" si="284"/>
        <v>Match</v>
      </c>
      <c r="AX798" t="str">
        <f t="shared" si="285"/>
        <v>Match</v>
      </c>
    </row>
    <row r="799" spans="1:50">
      <c r="A799" t="s">
        <v>3670</v>
      </c>
      <c r="B799">
        <f t="shared" si="286"/>
        <v>1</v>
      </c>
      <c r="C799" t="str">
        <f t="shared" si="274"/>
        <v/>
      </c>
      <c r="D799" s="3" t="s">
        <v>3671</v>
      </c>
      <c r="E799" s="7">
        <v>45400</v>
      </c>
      <c r="F799" s="3" t="s">
        <v>3582</v>
      </c>
      <c r="G799" s="7">
        <v>45404</v>
      </c>
      <c r="H799" s="7" t="str">
        <f t="shared" si="265"/>
        <v>Valid</v>
      </c>
      <c r="I799" s="9">
        <f t="shared" si="266"/>
        <v>4</v>
      </c>
      <c r="J799" s="9" t="str">
        <f t="shared" si="267"/>
        <v>Valid</v>
      </c>
      <c r="K799" t="s">
        <v>3672</v>
      </c>
      <c r="L799" t="s">
        <v>161</v>
      </c>
      <c r="M799" t="s">
        <v>161</v>
      </c>
      <c r="N799" t="s">
        <v>25</v>
      </c>
      <c r="O799" s="3" t="str">
        <f t="shared" si="268"/>
        <v>Consumer</v>
      </c>
      <c r="P799" t="s">
        <v>41</v>
      </c>
      <c r="Q799" s="3" t="str">
        <f t="shared" si="269"/>
        <v>East</v>
      </c>
      <c r="R799" t="s">
        <v>42</v>
      </c>
      <c r="S799" t="s">
        <v>43</v>
      </c>
      <c r="T799" t="s">
        <v>29</v>
      </c>
      <c r="U799" s="3" t="str">
        <f t="shared" si="270"/>
        <v>Office Supplies</v>
      </c>
      <c r="V799" t="s">
        <v>197</v>
      </c>
      <c r="W799" t="s">
        <v>3673</v>
      </c>
      <c r="X799" t="s">
        <v>55</v>
      </c>
      <c r="Y799" s="3" t="str">
        <f t="shared" si="271"/>
        <v>First Class</v>
      </c>
      <c r="Z799">
        <v>8</v>
      </c>
      <c r="AA799">
        <v>1714.37</v>
      </c>
      <c r="AB799">
        <v>0</v>
      </c>
      <c r="AC799">
        <f t="shared" si="272"/>
        <v>0</v>
      </c>
      <c r="AD799" t="str">
        <f t="shared" si="275"/>
        <v>Valid</v>
      </c>
      <c r="AE799">
        <v>13714.96</v>
      </c>
      <c r="AF799">
        <v>10550.47</v>
      </c>
      <c r="AG799">
        <v>3164.49</v>
      </c>
      <c r="AH799" t="s">
        <v>199</v>
      </c>
      <c r="AI799" t="str">
        <f t="shared" si="276"/>
        <v>Exclude</v>
      </c>
      <c r="AJ799" t="str">
        <f t="shared" si="277"/>
        <v/>
      </c>
      <c r="AK799" t="s">
        <v>77</v>
      </c>
      <c r="AL799" t="str">
        <f t="shared" si="273"/>
        <v>Cancelled</v>
      </c>
      <c r="AM799" t="str">
        <f t="shared" si="278"/>
        <v>Exclude</v>
      </c>
      <c r="AN799">
        <f t="shared" si="279"/>
        <v>13714.96</v>
      </c>
      <c r="AO799">
        <f t="shared" si="280"/>
        <v>3164.49</v>
      </c>
      <c r="AP799">
        <f>IF(AN799=0,0,AO799/AN799)</f>
        <v>0.23073271814135804</v>
      </c>
      <c r="AQ799" t="str">
        <f t="shared" si="281"/>
        <v>April</v>
      </c>
      <c r="AR799">
        <f t="shared" si="282"/>
        <v>2024</v>
      </c>
      <c r="AS799" t="str">
        <f t="shared" si="283"/>
        <v>Clean</v>
      </c>
      <c r="AT799" t="str">
        <f>IF(OR(AC799&lt;0,AC799&gt;0.5),"Invalid Discount","Valid")</f>
        <v>Valid</v>
      </c>
      <c r="AU799" t="str">
        <f>IF(G799&lt;E799,"Invalid Shipping Record","Valid")</f>
        <v>Valid</v>
      </c>
      <c r="AV799" t="str">
        <f>IF(OR(AL799="Cancelled",AH799="Failed"),"Exclude","Include")</f>
        <v>Exclude</v>
      </c>
      <c r="AW799" t="str">
        <f t="shared" si="284"/>
        <v>Match</v>
      </c>
      <c r="AX799" t="str">
        <f t="shared" si="285"/>
        <v>Match</v>
      </c>
    </row>
    <row r="800" spans="1:50">
      <c r="A800" t="s">
        <v>3674</v>
      </c>
      <c r="B800">
        <f t="shared" si="286"/>
        <v>1</v>
      </c>
      <c r="C800" t="str">
        <f t="shared" si="274"/>
        <v/>
      </c>
      <c r="D800" s="3" t="s">
        <v>3675</v>
      </c>
      <c r="E800" s="7">
        <v>45849</v>
      </c>
      <c r="F800" s="3" t="s">
        <v>3676</v>
      </c>
      <c r="G800" s="7">
        <v>45847</v>
      </c>
      <c r="H800" s="7" t="str">
        <f t="shared" si="265"/>
        <v>Invalid Shipping Record</v>
      </c>
      <c r="I800" s="9">
        <f t="shared" si="266"/>
        <v>-2</v>
      </c>
      <c r="J800" s="9" t="str">
        <f t="shared" si="267"/>
        <v>Invalid Shipping Record</v>
      </c>
      <c r="K800" t="s">
        <v>3677</v>
      </c>
      <c r="L800" t="s">
        <v>106</v>
      </c>
      <c r="M800" t="s">
        <v>106</v>
      </c>
      <c r="N800" t="s">
        <v>107</v>
      </c>
      <c r="O800" s="3" t="str">
        <f t="shared" si="268"/>
        <v>Corporate</v>
      </c>
      <c r="P800" t="s">
        <v>26</v>
      </c>
      <c r="Q800" s="3" t="str">
        <f t="shared" si="269"/>
        <v>North</v>
      </c>
      <c r="R800" t="s">
        <v>505</v>
      </c>
      <c r="S800" t="s">
        <v>506</v>
      </c>
      <c r="T800" t="s">
        <v>44</v>
      </c>
      <c r="U800" s="3" t="str">
        <f t="shared" si="270"/>
        <v>Furniture</v>
      </c>
      <c r="V800" t="s">
        <v>64</v>
      </c>
      <c r="W800" t="s">
        <v>3678</v>
      </c>
      <c r="X800" t="s">
        <v>66</v>
      </c>
      <c r="Y800" s="3" t="str">
        <f t="shared" si="271"/>
        <v>Standard Class</v>
      </c>
      <c r="Z800">
        <v>9</v>
      </c>
      <c r="AA800">
        <v>1706.05</v>
      </c>
      <c r="AB800">
        <v>0</v>
      </c>
      <c r="AC800">
        <f t="shared" si="272"/>
        <v>0</v>
      </c>
      <c r="AD800" t="str">
        <f t="shared" si="275"/>
        <v>Valid</v>
      </c>
      <c r="AE800">
        <v>15354.45</v>
      </c>
      <c r="AF800">
        <v>9656.5</v>
      </c>
      <c r="AG800">
        <v>5697.95</v>
      </c>
      <c r="AH800" t="s">
        <v>33</v>
      </c>
      <c r="AI800" t="str">
        <f t="shared" si="276"/>
        <v>Include</v>
      </c>
      <c r="AJ800" t="str">
        <f t="shared" si="277"/>
        <v/>
      </c>
      <c r="AK800" t="s">
        <v>34</v>
      </c>
      <c r="AL800" t="str">
        <f t="shared" si="273"/>
        <v>Completed</v>
      </c>
      <c r="AM800" t="str">
        <f t="shared" si="278"/>
        <v>Include</v>
      </c>
      <c r="AN800">
        <f t="shared" si="279"/>
        <v>15354.449999999999</v>
      </c>
      <c r="AO800">
        <f t="shared" si="280"/>
        <v>5697.9499999999989</v>
      </c>
      <c r="AP800">
        <f>IF(AN800=0,0,AO800/AN800)</f>
        <v>0.37109437329243311</v>
      </c>
      <c r="AQ800" t="str">
        <f t="shared" si="281"/>
        <v>July</v>
      </c>
      <c r="AR800">
        <f t="shared" si="282"/>
        <v>2025</v>
      </c>
      <c r="AS800" t="str">
        <f t="shared" si="283"/>
        <v>Invalid</v>
      </c>
      <c r="AT800" t="str">
        <f>IF(OR(AC800&lt;0,AC800&gt;0.5),"Invalid Discount","Valid")</f>
        <v>Valid</v>
      </c>
      <c r="AU800" t="str">
        <f>IF(G800&lt;E800,"Invalid Shipping Record","Valid")</f>
        <v>Invalid Shipping Record</v>
      </c>
      <c r="AV800" t="str">
        <f>IF(OR(AL800="Cancelled",AH800="Failed"),"Exclude","Include")</f>
        <v>Include</v>
      </c>
      <c r="AW800" t="str">
        <f t="shared" si="284"/>
        <v>Match</v>
      </c>
      <c r="AX800" t="str">
        <f t="shared" si="285"/>
        <v>Match</v>
      </c>
    </row>
    <row r="801" spans="1:50">
      <c r="A801" t="s">
        <v>3679</v>
      </c>
      <c r="B801">
        <f t="shared" si="286"/>
        <v>1</v>
      </c>
      <c r="C801" t="str">
        <f t="shared" si="274"/>
        <v/>
      </c>
      <c r="D801" s="3" t="s">
        <v>3365</v>
      </c>
      <c r="E801" s="7">
        <v>45575</v>
      </c>
      <c r="F801" s="3" t="s">
        <v>2542</v>
      </c>
      <c r="G801" s="7">
        <v>45582</v>
      </c>
      <c r="H801" s="7" t="str">
        <f t="shared" si="265"/>
        <v>Valid</v>
      </c>
      <c r="I801" s="9">
        <f t="shared" si="266"/>
        <v>7</v>
      </c>
      <c r="J801" s="9" t="str">
        <f t="shared" si="267"/>
        <v>Valid</v>
      </c>
      <c r="K801" t="s">
        <v>3680</v>
      </c>
      <c r="L801" t="s">
        <v>52</v>
      </c>
      <c r="M801" t="s">
        <v>52</v>
      </c>
      <c r="N801" t="s">
        <v>114</v>
      </c>
      <c r="O801" s="3" t="str">
        <f t="shared" si="268"/>
        <v>Home Office</v>
      </c>
      <c r="P801" t="s">
        <v>26</v>
      </c>
      <c r="Q801" s="3" t="str">
        <f t="shared" si="269"/>
        <v>North</v>
      </c>
      <c r="R801" t="s">
        <v>322</v>
      </c>
      <c r="S801" t="s">
        <v>323</v>
      </c>
      <c r="T801" t="s">
        <v>85</v>
      </c>
      <c r="U801" s="3" t="str">
        <f t="shared" si="270"/>
        <v>Technology</v>
      </c>
      <c r="V801" t="s">
        <v>86</v>
      </c>
      <c r="W801" t="s">
        <v>3681</v>
      </c>
      <c r="Y801" s="3" t="str">
        <f t="shared" si="271"/>
        <v>Unknown</v>
      </c>
      <c r="Z801">
        <v>5</v>
      </c>
      <c r="AA801">
        <v>967.41</v>
      </c>
      <c r="AB801">
        <v>0.05</v>
      </c>
      <c r="AC801">
        <f t="shared" si="272"/>
        <v>0.05</v>
      </c>
      <c r="AD801" t="str">
        <f t="shared" si="275"/>
        <v>Valid</v>
      </c>
      <c r="AE801">
        <v>4595.2</v>
      </c>
      <c r="AF801">
        <v>3887.41</v>
      </c>
      <c r="AG801">
        <v>707.79</v>
      </c>
      <c r="AH801" t="s">
        <v>33</v>
      </c>
      <c r="AI801" t="str">
        <f t="shared" si="276"/>
        <v>Include</v>
      </c>
      <c r="AJ801" t="str">
        <f t="shared" si="277"/>
        <v/>
      </c>
      <c r="AK801" t="s">
        <v>124</v>
      </c>
      <c r="AL801" t="str">
        <f t="shared" si="273"/>
        <v>Returned</v>
      </c>
      <c r="AM801" t="str">
        <f t="shared" si="278"/>
        <v>Include</v>
      </c>
      <c r="AN801">
        <f t="shared" si="279"/>
        <v>4595.1975000000002</v>
      </c>
      <c r="AO801">
        <f t="shared" si="280"/>
        <v>707.78750000000036</v>
      </c>
      <c r="AP801">
        <f>IF(AN801=0,0,AO801/AN801)</f>
        <v>0.15402765604742785</v>
      </c>
      <c r="AQ801" t="str">
        <f t="shared" si="281"/>
        <v>October</v>
      </c>
      <c r="AR801">
        <f t="shared" si="282"/>
        <v>2024</v>
      </c>
      <c r="AS801" t="str">
        <f t="shared" si="283"/>
        <v>Warning</v>
      </c>
      <c r="AT801" t="str">
        <f>IF(OR(AC801&lt;0,AC801&gt;0.5),"Invalid Discount","Valid")</f>
        <v>Valid</v>
      </c>
      <c r="AU801" t="str">
        <f>IF(G801&lt;E801,"Invalid Shipping Record","Valid")</f>
        <v>Valid</v>
      </c>
      <c r="AV801" t="str">
        <f>IF(OR(AL801="Cancelled",AH801="Failed"),"Exclude","Include")</f>
        <v>Include</v>
      </c>
      <c r="AW801" t="str">
        <f t="shared" si="284"/>
        <v>Match</v>
      </c>
      <c r="AX801" t="str">
        <f t="shared" si="285"/>
        <v>Match</v>
      </c>
    </row>
    <row r="802" spans="1:50">
      <c r="A802" t="s">
        <v>3682</v>
      </c>
      <c r="B802">
        <f t="shared" si="286"/>
        <v>1</v>
      </c>
      <c r="C802" t="str">
        <f t="shared" si="274"/>
        <v/>
      </c>
      <c r="D802" s="3" t="s">
        <v>3683</v>
      </c>
      <c r="E802" s="7">
        <v>45352</v>
      </c>
      <c r="F802" s="3" t="s">
        <v>3684</v>
      </c>
      <c r="G802" s="7">
        <v>45358</v>
      </c>
      <c r="H802" s="7" t="str">
        <f t="shared" si="265"/>
        <v>Valid</v>
      </c>
      <c r="I802" s="9">
        <f t="shared" si="266"/>
        <v>6</v>
      </c>
      <c r="J802" s="9" t="str">
        <f t="shared" si="267"/>
        <v>Valid</v>
      </c>
      <c r="K802" t="s">
        <v>3685</v>
      </c>
      <c r="L802" t="s">
        <v>82</v>
      </c>
      <c r="M802" t="s">
        <v>82</v>
      </c>
      <c r="N802" t="s">
        <v>40</v>
      </c>
      <c r="O802" s="3" t="str">
        <f t="shared" si="268"/>
        <v>Small Business</v>
      </c>
      <c r="P802" t="s">
        <v>72</v>
      </c>
      <c r="Q802" s="3" t="str">
        <f t="shared" si="269"/>
        <v>West</v>
      </c>
      <c r="R802" t="s">
        <v>73</v>
      </c>
      <c r="S802" t="s">
        <v>74</v>
      </c>
      <c r="T802" t="s">
        <v>29</v>
      </c>
      <c r="U802" s="3" t="str">
        <f t="shared" si="270"/>
        <v>Office Supplies</v>
      </c>
      <c r="V802" t="s">
        <v>155</v>
      </c>
      <c r="W802" t="s">
        <v>3686</v>
      </c>
      <c r="X802" t="s">
        <v>32</v>
      </c>
      <c r="Y802" s="3" t="str">
        <f t="shared" si="271"/>
        <v>Second Class</v>
      </c>
      <c r="Z802">
        <v>6</v>
      </c>
      <c r="AA802">
        <v>4163.72</v>
      </c>
      <c r="AB802">
        <v>0.15</v>
      </c>
      <c r="AC802">
        <f t="shared" si="272"/>
        <v>0.15</v>
      </c>
      <c r="AD802" t="str">
        <f t="shared" si="275"/>
        <v>Valid</v>
      </c>
      <c r="AE802">
        <v>21234.97</v>
      </c>
      <c r="AF802">
        <v>16736.09</v>
      </c>
      <c r="AG802">
        <v>4498.88</v>
      </c>
      <c r="AH802" t="s">
        <v>33</v>
      </c>
      <c r="AI802" t="str">
        <f t="shared" si="276"/>
        <v>Include</v>
      </c>
      <c r="AJ802" t="str">
        <f t="shared" si="277"/>
        <v/>
      </c>
      <c r="AK802" t="s">
        <v>34</v>
      </c>
      <c r="AL802" t="str">
        <f t="shared" si="273"/>
        <v>Completed</v>
      </c>
      <c r="AM802" t="str">
        <f t="shared" si="278"/>
        <v>Include</v>
      </c>
      <c r="AN802">
        <f t="shared" si="279"/>
        <v>21234.971999999998</v>
      </c>
      <c r="AO802">
        <f t="shared" si="280"/>
        <v>4498.8819999999978</v>
      </c>
      <c r="AP802">
        <f>IF(AN802=0,0,AO802/AN802)</f>
        <v>0.21186192286950029</v>
      </c>
      <c r="AQ802" t="str">
        <f t="shared" si="281"/>
        <v>March</v>
      </c>
      <c r="AR802">
        <f t="shared" si="282"/>
        <v>2024</v>
      </c>
      <c r="AS802" t="str">
        <f t="shared" si="283"/>
        <v>Clean</v>
      </c>
      <c r="AT802" t="str">
        <f>IF(OR(AC802&lt;0,AC802&gt;0.5),"Invalid Discount","Valid")</f>
        <v>Valid</v>
      </c>
      <c r="AU802" t="str">
        <f>IF(G802&lt;E802,"Invalid Shipping Record","Valid")</f>
        <v>Valid</v>
      </c>
      <c r="AV802" t="str">
        <f>IF(OR(AL802="Cancelled",AH802="Failed"),"Exclude","Include")</f>
        <v>Include</v>
      </c>
      <c r="AW802" t="str">
        <f t="shared" si="284"/>
        <v>Match</v>
      </c>
      <c r="AX802" t="str">
        <f t="shared" si="285"/>
        <v>Match</v>
      </c>
    </row>
    <row r="803" spans="1:50">
      <c r="A803" t="s">
        <v>3687</v>
      </c>
      <c r="B803">
        <f t="shared" si="286"/>
        <v>1</v>
      </c>
      <c r="C803" t="str">
        <f t="shared" si="274"/>
        <v/>
      </c>
      <c r="D803" s="3" t="s">
        <v>3688</v>
      </c>
      <c r="E803" s="7">
        <v>45938</v>
      </c>
      <c r="F803" s="3" t="s">
        <v>308</v>
      </c>
      <c r="G803" s="7">
        <v>45945</v>
      </c>
      <c r="H803" s="7" t="str">
        <f t="shared" si="265"/>
        <v>Valid</v>
      </c>
      <c r="I803" s="9">
        <f t="shared" si="266"/>
        <v>7</v>
      </c>
      <c r="J803" s="9" t="str">
        <f t="shared" si="267"/>
        <v>Valid</v>
      </c>
      <c r="K803" t="s">
        <v>3689</v>
      </c>
      <c r="L803" t="s">
        <v>161</v>
      </c>
      <c r="M803" t="s">
        <v>161</v>
      </c>
      <c r="N803" t="s">
        <v>114</v>
      </c>
      <c r="O803" s="3" t="str">
        <f t="shared" si="268"/>
        <v>Home Office</v>
      </c>
      <c r="P803" t="s">
        <v>41</v>
      </c>
      <c r="Q803" s="3" t="str">
        <f t="shared" si="269"/>
        <v>East</v>
      </c>
      <c r="R803" t="s">
        <v>42</v>
      </c>
      <c r="S803" t="s">
        <v>43</v>
      </c>
      <c r="T803" t="s">
        <v>85</v>
      </c>
      <c r="U803" s="3" t="str">
        <f t="shared" si="270"/>
        <v>Technology</v>
      </c>
      <c r="V803" t="s">
        <v>86</v>
      </c>
      <c r="W803" t="s">
        <v>3690</v>
      </c>
      <c r="X803" t="s">
        <v>32</v>
      </c>
      <c r="Y803" s="3" t="str">
        <f t="shared" si="271"/>
        <v>Second Class</v>
      </c>
      <c r="Z803">
        <v>3</v>
      </c>
      <c r="AA803">
        <v>3372.21</v>
      </c>
      <c r="AB803">
        <v>0.2</v>
      </c>
      <c r="AC803">
        <f t="shared" si="272"/>
        <v>0.2</v>
      </c>
      <c r="AD803" t="str">
        <f t="shared" si="275"/>
        <v>Valid</v>
      </c>
      <c r="AE803">
        <v>8093.3</v>
      </c>
      <c r="AF803">
        <v>6052.43</v>
      </c>
      <c r="AG803">
        <v>2040.87</v>
      </c>
      <c r="AH803" t="s">
        <v>136</v>
      </c>
      <c r="AI803" t="str">
        <f t="shared" si="276"/>
        <v>Exclude</v>
      </c>
      <c r="AJ803" t="str">
        <f t="shared" si="277"/>
        <v/>
      </c>
      <c r="AK803" t="s">
        <v>77</v>
      </c>
      <c r="AL803" t="str">
        <f t="shared" si="273"/>
        <v>Cancelled</v>
      </c>
      <c r="AM803" t="str">
        <f t="shared" si="278"/>
        <v>Exclude</v>
      </c>
      <c r="AN803">
        <f t="shared" si="279"/>
        <v>8093.304000000001</v>
      </c>
      <c r="AO803">
        <f t="shared" si="280"/>
        <v>2040.8740000000007</v>
      </c>
      <c r="AP803">
        <f>IF(AN803=0,0,AO803/AN803)</f>
        <v>0.25216821214179036</v>
      </c>
      <c r="AQ803" t="str">
        <f t="shared" si="281"/>
        <v>October</v>
      </c>
      <c r="AR803">
        <f t="shared" si="282"/>
        <v>2025</v>
      </c>
      <c r="AS803" t="str">
        <f t="shared" si="283"/>
        <v>Clean</v>
      </c>
      <c r="AT803" t="str">
        <f>IF(OR(AC803&lt;0,AC803&gt;0.5),"Invalid Discount","Valid")</f>
        <v>Valid</v>
      </c>
      <c r="AU803" t="str">
        <f>IF(G803&lt;E803,"Invalid Shipping Record","Valid")</f>
        <v>Valid</v>
      </c>
      <c r="AV803" t="str">
        <f>IF(OR(AL803="Cancelled",AH803="Failed"),"Exclude","Include")</f>
        <v>Exclude</v>
      </c>
      <c r="AW803" t="str">
        <f t="shared" si="284"/>
        <v>Match</v>
      </c>
      <c r="AX803" t="str">
        <f t="shared" si="285"/>
        <v>Match</v>
      </c>
    </row>
    <row r="804" spans="1:50">
      <c r="A804" t="s">
        <v>3691</v>
      </c>
      <c r="B804">
        <f t="shared" si="286"/>
        <v>1</v>
      </c>
      <c r="C804" t="str">
        <f t="shared" si="274"/>
        <v/>
      </c>
      <c r="D804" s="3" t="s">
        <v>3171</v>
      </c>
      <c r="E804" s="7">
        <v>45704</v>
      </c>
      <c r="F804" s="3" t="s">
        <v>3692</v>
      </c>
      <c r="G804" s="7">
        <v>45704</v>
      </c>
      <c r="H804" s="7" t="str">
        <f t="shared" si="265"/>
        <v>Valid</v>
      </c>
      <c r="I804" s="9">
        <f t="shared" si="266"/>
        <v>0</v>
      </c>
      <c r="J804" s="9" t="str">
        <f t="shared" si="267"/>
        <v>Valid</v>
      </c>
      <c r="K804" t="s">
        <v>3693</v>
      </c>
      <c r="L804" t="s">
        <v>179</v>
      </c>
      <c r="M804" t="s">
        <v>179</v>
      </c>
      <c r="N804" t="s">
        <v>40</v>
      </c>
      <c r="O804" s="3" t="str">
        <f t="shared" si="268"/>
        <v>Small Business</v>
      </c>
      <c r="P804" t="s">
        <v>41</v>
      </c>
      <c r="Q804" s="3" t="str">
        <f t="shared" si="269"/>
        <v>East</v>
      </c>
      <c r="R804" t="s">
        <v>215</v>
      </c>
      <c r="S804" t="s">
        <v>216</v>
      </c>
      <c r="T804" t="s">
        <v>44</v>
      </c>
      <c r="U804" s="3" t="str">
        <f t="shared" si="270"/>
        <v>Furniture</v>
      </c>
      <c r="V804" t="s">
        <v>64</v>
      </c>
      <c r="W804" t="s">
        <v>3694</v>
      </c>
      <c r="X804" t="s">
        <v>32</v>
      </c>
      <c r="Y804" s="3" t="str">
        <f t="shared" si="271"/>
        <v>Second Class</v>
      </c>
      <c r="Z804">
        <v>6</v>
      </c>
      <c r="AA804">
        <v>1441.91</v>
      </c>
      <c r="AB804">
        <v>0</v>
      </c>
      <c r="AC804">
        <f t="shared" si="272"/>
        <v>0</v>
      </c>
      <c r="AD804" t="str">
        <f t="shared" si="275"/>
        <v>Valid</v>
      </c>
      <c r="AE804">
        <v>8651.4599999999991</v>
      </c>
      <c r="AF804">
        <v>5254.62</v>
      </c>
      <c r="AG804">
        <v>3396.84</v>
      </c>
      <c r="AH804" t="s">
        <v>3695</v>
      </c>
      <c r="AI804" t="str">
        <f t="shared" si="276"/>
        <v>Exclude</v>
      </c>
      <c r="AJ804" t="str">
        <f t="shared" si="277"/>
        <v/>
      </c>
      <c r="AK804" t="s">
        <v>124</v>
      </c>
      <c r="AL804" t="str">
        <f t="shared" si="273"/>
        <v>Returned</v>
      </c>
      <c r="AM804" t="str">
        <f t="shared" si="278"/>
        <v>Include</v>
      </c>
      <c r="AN804">
        <f t="shared" si="279"/>
        <v>8651.4600000000009</v>
      </c>
      <c r="AO804">
        <f t="shared" si="280"/>
        <v>3396.8400000000011</v>
      </c>
      <c r="AP804">
        <f>IF(AN804=0,0,AO804/AN804)</f>
        <v>0.39263199506210522</v>
      </c>
      <c r="AQ804" t="str">
        <f t="shared" si="281"/>
        <v>February</v>
      </c>
      <c r="AR804">
        <f t="shared" si="282"/>
        <v>2025</v>
      </c>
      <c r="AS804" t="str">
        <f t="shared" si="283"/>
        <v>Clean</v>
      </c>
      <c r="AT804" t="str">
        <f>IF(OR(AC804&lt;0,AC804&gt;0.5),"Invalid Discount","Valid")</f>
        <v>Valid</v>
      </c>
      <c r="AU804" t="str">
        <f>IF(G804&lt;E804,"Invalid Shipping Record","Valid")</f>
        <v>Valid</v>
      </c>
      <c r="AV804" t="str">
        <f>IF(OR(AL804="Cancelled",AH804="Failed"),"Exclude","Include")</f>
        <v>Exclude</v>
      </c>
      <c r="AW804" t="str">
        <f t="shared" si="284"/>
        <v>Match</v>
      </c>
      <c r="AX804" t="str">
        <f t="shared" si="285"/>
        <v>Match</v>
      </c>
    </row>
    <row r="805" spans="1:50">
      <c r="A805" t="s">
        <v>3696</v>
      </c>
      <c r="B805">
        <f t="shared" si="286"/>
        <v>1</v>
      </c>
      <c r="C805" t="str">
        <f t="shared" si="274"/>
        <v/>
      </c>
      <c r="D805" s="3" t="s">
        <v>3697</v>
      </c>
      <c r="E805" s="7">
        <v>45635</v>
      </c>
      <c r="F805" s="3" t="s">
        <v>732</v>
      </c>
      <c r="G805" s="7">
        <v>45639</v>
      </c>
      <c r="H805" s="7" t="str">
        <f t="shared" si="265"/>
        <v>Valid</v>
      </c>
      <c r="I805" s="9">
        <f t="shared" si="266"/>
        <v>4</v>
      </c>
      <c r="J805" s="9" t="str">
        <f t="shared" si="267"/>
        <v>Valid</v>
      </c>
      <c r="K805" t="s">
        <v>3698</v>
      </c>
      <c r="L805" t="s">
        <v>179</v>
      </c>
      <c r="M805" t="s">
        <v>179</v>
      </c>
      <c r="N805" t="s">
        <v>25</v>
      </c>
      <c r="O805" s="3" t="str">
        <f t="shared" si="268"/>
        <v>Consumer</v>
      </c>
      <c r="Q805" s="3" t="str">
        <f t="shared" si="269"/>
        <v>Unknown</v>
      </c>
      <c r="R805" t="s">
        <v>310</v>
      </c>
      <c r="S805" t="s">
        <v>311</v>
      </c>
      <c r="T805" t="s">
        <v>29</v>
      </c>
      <c r="U805" s="3" t="str">
        <f t="shared" si="270"/>
        <v>Office Supplies</v>
      </c>
      <c r="V805" t="s">
        <v>108</v>
      </c>
      <c r="W805" t="s">
        <v>3699</v>
      </c>
      <c r="X805" t="s">
        <v>55</v>
      </c>
      <c r="Y805" s="3" t="str">
        <f t="shared" si="271"/>
        <v>First Class</v>
      </c>
      <c r="Z805">
        <v>1</v>
      </c>
      <c r="AA805">
        <v>4306.6499999999996</v>
      </c>
      <c r="AB805">
        <v>0</v>
      </c>
      <c r="AC805">
        <f t="shared" si="272"/>
        <v>0</v>
      </c>
      <c r="AD805" t="str">
        <f t="shared" si="275"/>
        <v>Valid</v>
      </c>
      <c r="AE805">
        <v>4306.6499999999996</v>
      </c>
      <c r="AF805">
        <v>2568.8200000000002</v>
      </c>
      <c r="AG805">
        <v>1737.83</v>
      </c>
      <c r="AH805" t="s">
        <v>33</v>
      </c>
      <c r="AI805" t="str">
        <f t="shared" si="276"/>
        <v>Include</v>
      </c>
      <c r="AJ805" t="str">
        <f t="shared" si="277"/>
        <v/>
      </c>
      <c r="AK805" t="s">
        <v>34</v>
      </c>
      <c r="AL805" t="str">
        <f t="shared" si="273"/>
        <v>Completed</v>
      </c>
      <c r="AM805" t="str">
        <f t="shared" si="278"/>
        <v>Include</v>
      </c>
      <c r="AN805">
        <f t="shared" si="279"/>
        <v>4306.6499999999996</v>
      </c>
      <c r="AO805">
        <f t="shared" si="280"/>
        <v>1737.8299999999995</v>
      </c>
      <c r="AP805">
        <f>IF(AN805=0,0,AO805/AN805)</f>
        <v>0.40352245945224235</v>
      </c>
      <c r="AQ805" t="str">
        <f t="shared" si="281"/>
        <v>December</v>
      </c>
      <c r="AR805">
        <f t="shared" si="282"/>
        <v>2024</v>
      </c>
      <c r="AS805" t="str">
        <f t="shared" si="283"/>
        <v>Warning</v>
      </c>
      <c r="AT805" t="str">
        <f>IF(OR(AC805&lt;0,AC805&gt;0.5),"Invalid Discount","Valid")</f>
        <v>Valid</v>
      </c>
      <c r="AU805" t="str">
        <f>IF(G805&lt;E805,"Invalid Shipping Record","Valid")</f>
        <v>Valid</v>
      </c>
      <c r="AV805" t="str">
        <f>IF(OR(AL805="Cancelled",AH805="Failed"),"Exclude","Include")</f>
        <v>Include</v>
      </c>
      <c r="AW805" t="str">
        <f t="shared" si="284"/>
        <v>Match</v>
      </c>
      <c r="AX805" t="str">
        <f t="shared" si="285"/>
        <v>Match</v>
      </c>
    </row>
    <row r="806" spans="1:50">
      <c r="A806" t="s">
        <v>3700</v>
      </c>
      <c r="B806">
        <f t="shared" si="286"/>
        <v>1</v>
      </c>
      <c r="C806" t="str">
        <f t="shared" si="274"/>
        <v/>
      </c>
      <c r="D806" s="3" t="s">
        <v>988</v>
      </c>
      <c r="E806" s="7">
        <v>45910</v>
      </c>
      <c r="F806" s="3" t="s">
        <v>2195</v>
      </c>
      <c r="G806" s="7">
        <v>45918</v>
      </c>
      <c r="H806" s="7" t="str">
        <f t="shared" si="265"/>
        <v>Valid</v>
      </c>
      <c r="I806" s="9">
        <f t="shared" si="266"/>
        <v>8</v>
      </c>
      <c r="J806" s="9" t="str">
        <f t="shared" si="267"/>
        <v>Valid</v>
      </c>
      <c r="K806" t="s">
        <v>3701</v>
      </c>
      <c r="L806" t="s">
        <v>147</v>
      </c>
      <c r="M806" t="s">
        <v>147</v>
      </c>
      <c r="N806" t="s">
        <v>114</v>
      </c>
      <c r="O806" s="3" t="str">
        <f t="shared" si="268"/>
        <v>Home Office</v>
      </c>
      <c r="P806" t="s">
        <v>61</v>
      </c>
      <c r="Q806" s="3" t="str">
        <f t="shared" si="269"/>
        <v>South</v>
      </c>
      <c r="R806" t="s">
        <v>62</v>
      </c>
      <c r="S806" t="s">
        <v>63</v>
      </c>
      <c r="T806" t="s">
        <v>44</v>
      </c>
      <c r="U806" s="3" t="str">
        <f t="shared" si="270"/>
        <v>Furniture</v>
      </c>
      <c r="V806" t="s">
        <v>64</v>
      </c>
      <c r="W806" t="s">
        <v>3702</v>
      </c>
      <c r="X806" t="s">
        <v>66</v>
      </c>
      <c r="Y806" s="3" t="str">
        <f t="shared" si="271"/>
        <v>Standard Class</v>
      </c>
      <c r="Z806">
        <v>1</v>
      </c>
      <c r="AA806">
        <v>2050.62</v>
      </c>
      <c r="AB806">
        <v>0.05</v>
      </c>
      <c r="AC806">
        <f t="shared" si="272"/>
        <v>0.05</v>
      </c>
      <c r="AD806" t="str">
        <f t="shared" si="275"/>
        <v>Valid</v>
      </c>
      <c r="AE806">
        <v>1948.09</v>
      </c>
      <c r="AF806">
        <v>1507.08</v>
      </c>
      <c r="AG806">
        <v>441.01</v>
      </c>
      <c r="AH806" t="s">
        <v>33</v>
      </c>
      <c r="AI806" t="str">
        <f t="shared" si="276"/>
        <v>Include</v>
      </c>
      <c r="AJ806" t="str">
        <f t="shared" si="277"/>
        <v/>
      </c>
      <c r="AK806" t="s">
        <v>34</v>
      </c>
      <c r="AL806" t="str">
        <f t="shared" si="273"/>
        <v>Completed</v>
      </c>
      <c r="AM806" t="str">
        <f t="shared" si="278"/>
        <v>Include</v>
      </c>
      <c r="AN806">
        <f t="shared" si="279"/>
        <v>1948.0889999999997</v>
      </c>
      <c r="AO806">
        <f t="shared" si="280"/>
        <v>441.00899999999979</v>
      </c>
      <c r="AP806">
        <f>IF(AN806=0,0,AO806/AN806)</f>
        <v>0.22638031424642296</v>
      </c>
      <c r="AQ806" t="str">
        <f t="shared" si="281"/>
        <v>September</v>
      </c>
      <c r="AR806">
        <f t="shared" si="282"/>
        <v>2025</v>
      </c>
      <c r="AS806" t="str">
        <f t="shared" si="283"/>
        <v>Clean</v>
      </c>
      <c r="AT806" t="str">
        <f>IF(OR(AC806&lt;0,AC806&gt;0.5),"Invalid Discount","Valid")</f>
        <v>Valid</v>
      </c>
      <c r="AU806" t="str">
        <f>IF(G806&lt;E806,"Invalid Shipping Record","Valid")</f>
        <v>Valid</v>
      </c>
      <c r="AV806" t="str">
        <f>IF(OR(AL806="Cancelled",AH806="Failed"),"Exclude","Include")</f>
        <v>Include</v>
      </c>
      <c r="AW806" t="str">
        <f t="shared" si="284"/>
        <v>Match</v>
      </c>
      <c r="AX806" t="str">
        <f t="shared" si="285"/>
        <v>Match</v>
      </c>
    </row>
    <row r="807" spans="1:50">
      <c r="A807" t="s">
        <v>3703</v>
      </c>
      <c r="B807">
        <f t="shared" si="286"/>
        <v>1</v>
      </c>
      <c r="C807" t="str">
        <f t="shared" si="274"/>
        <v/>
      </c>
      <c r="D807" s="3" t="s">
        <v>1315</v>
      </c>
      <c r="E807" s="7">
        <v>45753</v>
      </c>
      <c r="F807" s="3" t="s">
        <v>1062</v>
      </c>
      <c r="G807" s="7">
        <v>45754</v>
      </c>
      <c r="H807" s="7" t="str">
        <f t="shared" si="265"/>
        <v>Valid</v>
      </c>
      <c r="I807" s="9">
        <f t="shared" si="266"/>
        <v>1</v>
      </c>
      <c r="J807" s="9" t="str">
        <f t="shared" si="267"/>
        <v>Valid</v>
      </c>
      <c r="K807" t="s">
        <v>3519</v>
      </c>
      <c r="L807" t="s">
        <v>141</v>
      </c>
      <c r="M807" t="s">
        <v>141</v>
      </c>
      <c r="N807" t="s">
        <v>114</v>
      </c>
      <c r="O807" s="3" t="str">
        <f t="shared" si="268"/>
        <v>Home Office</v>
      </c>
      <c r="P807" t="s">
        <v>41</v>
      </c>
      <c r="Q807" s="3" t="str">
        <f t="shared" si="269"/>
        <v>East</v>
      </c>
      <c r="R807" t="s">
        <v>215</v>
      </c>
      <c r="S807" t="s">
        <v>216</v>
      </c>
      <c r="T807" t="s">
        <v>29</v>
      </c>
      <c r="U807" s="3" t="str">
        <f t="shared" si="270"/>
        <v>Office Supplies</v>
      </c>
      <c r="V807" t="s">
        <v>197</v>
      </c>
      <c r="W807" t="s">
        <v>3704</v>
      </c>
      <c r="X807" t="s">
        <v>32</v>
      </c>
      <c r="Y807" s="3" t="str">
        <f t="shared" si="271"/>
        <v>Second Class</v>
      </c>
      <c r="Z807">
        <v>2</v>
      </c>
      <c r="AA807">
        <v>2030.06</v>
      </c>
      <c r="AB807">
        <v>0.25</v>
      </c>
      <c r="AC807">
        <f t="shared" si="272"/>
        <v>0.25</v>
      </c>
      <c r="AD807" t="str">
        <f t="shared" si="275"/>
        <v>Valid</v>
      </c>
      <c r="AE807">
        <v>3045.09</v>
      </c>
      <c r="AF807">
        <v>2601.09</v>
      </c>
      <c r="AG807">
        <v>444</v>
      </c>
      <c r="AH807" t="s">
        <v>33</v>
      </c>
      <c r="AI807" t="str">
        <f t="shared" si="276"/>
        <v>Include</v>
      </c>
      <c r="AJ807" t="str">
        <f t="shared" si="277"/>
        <v/>
      </c>
      <c r="AK807" t="s">
        <v>34</v>
      </c>
      <c r="AL807" t="str">
        <f t="shared" si="273"/>
        <v>Completed</v>
      </c>
      <c r="AM807" t="str">
        <f t="shared" si="278"/>
        <v>Include</v>
      </c>
      <c r="AN807">
        <f t="shared" si="279"/>
        <v>3045.09</v>
      </c>
      <c r="AO807">
        <f t="shared" si="280"/>
        <v>444</v>
      </c>
      <c r="AP807">
        <f>IF(AN807=0,0,AO807/AN807)</f>
        <v>0.14580849827098705</v>
      </c>
      <c r="AQ807" t="str">
        <f t="shared" si="281"/>
        <v>April</v>
      </c>
      <c r="AR807">
        <f t="shared" si="282"/>
        <v>2025</v>
      </c>
      <c r="AS807" t="str">
        <f t="shared" si="283"/>
        <v>Clean</v>
      </c>
      <c r="AT807" t="str">
        <f>IF(OR(AC807&lt;0,AC807&gt;0.5),"Invalid Discount","Valid")</f>
        <v>Valid</v>
      </c>
      <c r="AU807" t="str">
        <f>IF(G807&lt;E807,"Invalid Shipping Record","Valid")</f>
        <v>Valid</v>
      </c>
      <c r="AV807" t="str">
        <f>IF(OR(AL807="Cancelled",AH807="Failed"),"Exclude","Include")</f>
        <v>Include</v>
      </c>
      <c r="AW807" t="str">
        <f t="shared" si="284"/>
        <v>Match</v>
      </c>
      <c r="AX807" t="str">
        <f t="shared" si="285"/>
        <v>Match</v>
      </c>
    </row>
    <row r="808" spans="1:50">
      <c r="A808" t="s">
        <v>3705</v>
      </c>
      <c r="B808">
        <f t="shared" si="286"/>
        <v>1</v>
      </c>
      <c r="C808" t="str">
        <f t="shared" si="274"/>
        <v/>
      </c>
      <c r="D808" s="3" t="s">
        <v>3706</v>
      </c>
      <c r="E808" s="7">
        <v>45605</v>
      </c>
      <c r="F808" s="3" t="s">
        <v>3707</v>
      </c>
      <c r="G808" s="7">
        <v>45611</v>
      </c>
      <c r="H808" s="7" t="str">
        <f t="shared" si="265"/>
        <v>Valid</v>
      </c>
      <c r="I808" s="9">
        <f t="shared" si="266"/>
        <v>6</v>
      </c>
      <c r="J808" s="9" t="str">
        <f t="shared" si="267"/>
        <v>Valid</v>
      </c>
      <c r="K808" t="s">
        <v>3708</v>
      </c>
      <c r="L808" t="s">
        <v>52</v>
      </c>
      <c r="M808" t="s">
        <v>52</v>
      </c>
      <c r="N808" t="s">
        <v>114</v>
      </c>
      <c r="O808" s="3" t="str">
        <f t="shared" si="268"/>
        <v>Home Office</v>
      </c>
      <c r="P808" t="s">
        <v>26</v>
      </c>
      <c r="Q808" s="3" t="str">
        <f t="shared" si="269"/>
        <v>North</v>
      </c>
      <c r="R808" t="s">
        <v>27</v>
      </c>
      <c r="S808" t="s">
        <v>28</v>
      </c>
      <c r="T808" t="s">
        <v>85</v>
      </c>
      <c r="U808" s="3" t="str">
        <f t="shared" si="270"/>
        <v>Technology</v>
      </c>
      <c r="V808" t="s">
        <v>93</v>
      </c>
      <c r="W808" t="s">
        <v>3709</v>
      </c>
      <c r="X808" t="s">
        <v>66</v>
      </c>
      <c r="Y808" s="3" t="str">
        <f t="shared" si="271"/>
        <v>Standard Class</v>
      </c>
      <c r="Z808">
        <v>1</v>
      </c>
      <c r="AA808">
        <v>3665.97</v>
      </c>
      <c r="AB808">
        <v>0.2</v>
      </c>
      <c r="AC808">
        <f t="shared" si="272"/>
        <v>0.2</v>
      </c>
      <c r="AD808" t="str">
        <f t="shared" si="275"/>
        <v>Valid</v>
      </c>
      <c r="AE808">
        <v>2932.78</v>
      </c>
      <c r="AF808">
        <v>1900.35</v>
      </c>
      <c r="AG808">
        <v>1032.43</v>
      </c>
      <c r="AH808" t="s">
        <v>199</v>
      </c>
      <c r="AI808" t="str">
        <f t="shared" si="276"/>
        <v>Exclude</v>
      </c>
      <c r="AJ808" t="str">
        <f t="shared" si="277"/>
        <v/>
      </c>
      <c r="AK808" t="s">
        <v>77</v>
      </c>
      <c r="AL808" t="str">
        <f t="shared" si="273"/>
        <v>Cancelled</v>
      </c>
      <c r="AM808" t="str">
        <f t="shared" si="278"/>
        <v>Exclude</v>
      </c>
      <c r="AN808">
        <f t="shared" si="279"/>
        <v>2932.7759999999998</v>
      </c>
      <c r="AO808">
        <f t="shared" si="280"/>
        <v>1032.4259999999999</v>
      </c>
      <c r="AP808">
        <f>IF(AN808=0,0,AO808/AN808)</f>
        <v>0.35203029484692999</v>
      </c>
      <c r="AQ808" t="str">
        <f t="shared" si="281"/>
        <v>November</v>
      </c>
      <c r="AR808">
        <f t="shared" si="282"/>
        <v>2024</v>
      </c>
      <c r="AS808" t="str">
        <f t="shared" si="283"/>
        <v>Clean</v>
      </c>
      <c r="AT808" t="str">
        <f>IF(OR(AC808&lt;0,AC808&gt;0.5),"Invalid Discount","Valid")</f>
        <v>Valid</v>
      </c>
      <c r="AU808" t="str">
        <f>IF(G808&lt;E808,"Invalid Shipping Record","Valid")</f>
        <v>Valid</v>
      </c>
      <c r="AV808" t="str">
        <f>IF(OR(AL808="Cancelled",AH808="Failed"),"Exclude","Include")</f>
        <v>Exclude</v>
      </c>
      <c r="AW808" t="str">
        <f t="shared" si="284"/>
        <v>Match</v>
      </c>
      <c r="AX808" t="str">
        <f t="shared" si="285"/>
        <v>Match</v>
      </c>
    </row>
    <row r="809" spans="1:50">
      <c r="A809" t="s">
        <v>3710</v>
      </c>
      <c r="B809">
        <f t="shared" si="286"/>
        <v>1</v>
      </c>
      <c r="C809" t="str">
        <f t="shared" si="274"/>
        <v/>
      </c>
      <c r="D809" s="3" t="s">
        <v>1275</v>
      </c>
      <c r="E809" s="7">
        <v>45695</v>
      </c>
      <c r="F809" s="3" t="s">
        <v>2269</v>
      </c>
      <c r="G809" s="7">
        <v>45696</v>
      </c>
      <c r="H809" s="7" t="str">
        <f t="shared" si="265"/>
        <v>Valid</v>
      </c>
      <c r="I809" s="9">
        <f t="shared" si="266"/>
        <v>1</v>
      </c>
      <c r="J809" s="9" t="str">
        <f t="shared" si="267"/>
        <v>Valid</v>
      </c>
      <c r="K809" t="s">
        <v>3711</v>
      </c>
      <c r="L809" t="s">
        <v>24</v>
      </c>
      <c r="M809" t="s">
        <v>24</v>
      </c>
      <c r="N809" t="s">
        <v>40</v>
      </c>
      <c r="O809" s="3" t="str">
        <f t="shared" si="268"/>
        <v>Small Business</v>
      </c>
      <c r="P809" t="s">
        <v>61</v>
      </c>
      <c r="Q809" s="3" t="str">
        <f t="shared" si="269"/>
        <v>South</v>
      </c>
      <c r="R809" t="s">
        <v>62</v>
      </c>
      <c r="S809" t="s">
        <v>63</v>
      </c>
      <c r="T809" t="s">
        <v>29</v>
      </c>
      <c r="U809" s="3" t="str">
        <f t="shared" si="270"/>
        <v>Office Supplies</v>
      </c>
      <c r="V809" t="s">
        <v>108</v>
      </c>
      <c r="W809" t="s">
        <v>3712</v>
      </c>
      <c r="X809" t="s">
        <v>3713</v>
      </c>
      <c r="Y809" s="3" t="str">
        <f t="shared" si="271"/>
        <v>Standard Class</v>
      </c>
      <c r="Z809">
        <v>2</v>
      </c>
      <c r="AA809">
        <v>2432.98</v>
      </c>
      <c r="AB809">
        <v>0.1</v>
      </c>
      <c r="AC809">
        <f t="shared" si="272"/>
        <v>0.1</v>
      </c>
      <c r="AD809" t="str">
        <f t="shared" si="275"/>
        <v>Valid</v>
      </c>
      <c r="AE809">
        <v>4379.3599999999997</v>
      </c>
      <c r="AF809">
        <v>3723.93</v>
      </c>
      <c r="AG809">
        <v>655.43</v>
      </c>
      <c r="AH809" t="s">
        <v>33</v>
      </c>
      <c r="AI809" t="str">
        <f t="shared" si="276"/>
        <v>Include</v>
      </c>
      <c r="AJ809" t="str">
        <f t="shared" si="277"/>
        <v/>
      </c>
      <c r="AK809" t="s">
        <v>34</v>
      </c>
      <c r="AL809" t="str">
        <f t="shared" si="273"/>
        <v>Completed</v>
      </c>
      <c r="AM809" t="str">
        <f t="shared" si="278"/>
        <v>Include</v>
      </c>
      <c r="AN809">
        <f t="shared" si="279"/>
        <v>4379.3640000000005</v>
      </c>
      <c r="AO809">
        <f t="shared" si="280"/>
        <v>655.43400000000065</v>
      </c>
      <c r="AP809">
        <f>IF(AN809=0,0,AO809/AN809)</f>
        <v>0.14966419781502532</v>
      </c>
      <c r="AQ809" t="str">
        <f t="shared" si="281"/>
        <v>February</v>
      </c>
      <c r="AR809">
        <f t="shared" si="282"/>
        <v>2025</v>
      </c>
      <c r="AS809" t="str">
        <f t="shared" si="283"/>
        <v>Clean</v>
      </c>
      <c r="AT809" t="str">
        <f>IF(OR(AC809&lt;0,AC809&gt;0.5),"Invalid Discount","Valid")</f>
        <v>Valid</v>
      </c>
      <c r="AU809" t="str">
        <f>IF(G809&lt;E809,"Invalid Shipping Record","Valid")</f>
        <v>Valid</v>
      </c>
      <c r="AV809" t="str">
        <f>IF(OR(AL809="Cancelled",AH809="Failed"),"Exclude","Include")</f>
        <v>Include</v>
      </c>
      <c r="AW809" t="str">
        <f t="shared" si="284"/>
        <v>Match</v>
      </c>
      <c r="AX809" t="str">
        <f t="shared" si="285"/>
        <v>Match</v>
      </c>
    </row>
    <row r="810" spans="1:50">
      <c r="A810" t="s">
        <v>3714</v>
      </c>
      <c r="B810">
        <f t="shared" si="286"/>
        <v>1</v>
      </c>
      <c r="C810" t="str">
        <f t="shared" si="274"/>
        <v/>
      </c>
      <c r="D810" s="3" t="s">
        <v>3715</v>
      </c>
      <c r="E810" s="7">
        <v>45900</v>
      </c>
      <c r="F810" s="3" t="s">
        <v>2033</v>
      </c>
      <c r="G810" s="7">
        <v>45897</v>
      </c>
      <c r="H810" s="7" t="str">
        <f t="shared" si="265"/>
        <v>Invalid Shipping Record</v>
      </c>
      <c r="I810" s="9">
        <f t="shared" si="266"/>
        <v>-3</v>
      </c>
      <c r="J810" s="9" t="str">
        <f t="shared" si="267"/>
        <v>Invalid Shipping Record</v>
      </c>
      <c r="K810" t="s">
        <v>3716</v>
      </c>
      <c r="L810" t="s">
        <v>161</v>
      </c>
      <c r="M810" t="s">
        <v>161</v>
      </c>
      <c r="N810" t="s">
        <v>40</v>
      </c>
      <c r="O810" s="3" t="str">
        <f t="shared" si="268"/>
        <v>Small Business</v>
      </c>
      <c r="P810" t="s">
        <v>61</v>
      </c>
      <c r="Q810" s="3" t="str">
        <f t="shared" si="269"/>
        <v>South</v>
      </c>
      <c r="R810" t="s">
        <v>338</v>
      </c>
      <c r="S810" t="s">
        <v>339</v>
      </c>
      <c r="T810" t="s">
        <v>44</v>
      </c>
      <c r="U810" s="3" t="str">
        <f t="shared" si="270"/>
        <v>Furniture</v>
      </c>
      <c r="V810" t="s">
        <v>64</v>
      </c>
      <c r="W810" t="s">
        <v>3717</v>
      </c>
      <c r="X810" t="s">
        <v>55</v>
      </c>
      <c r="Y810" s="3" t="str">
        <f t="shared" si="271"/>
        <v>First Class</v>
      </c>
      <c r="Z810">
        <v>7</v>
      </c>
      <c r="AA810">
        <v>977.28</v>
      </c>
      <c r="AB810">
        <v>0.2</v>
      </c>
      <c r="AC810">
        <f t="shared" si="272"/>
        <v>0.2</v>
      </c>
      <c r="AD810" t="str">
        <f t="shared" si="275"/>
        <v>Valid</v>
      </c>
      <c r="AE810">
        <v>5472.77</v>
      </c>
      <c r="AF810">
        <v>4477.33</v>
      </c>
      <c r="AG810">
        <v>995.44</v>
      </c>
      <c r="AH810" t="s">
        <v>33</v>
      </c>
      <c r="AI810" t="str">
        <f t="shared" si="276"/>
        <v>Include</v>
      </c>
      <c r="AJ810" t="str">
        <f t="shared" si="277"/>
        <v/>
      </c>
      <c r="AK810" t="s">
        <v>34</v>
      </c>
      <c r="AL810" t="str">
        <f t="shared" si="273"/>
        <v>Completed</v>
      </c>
      <c r="AM810" t="str">
        <f t="shared" si="278"/>
        <v>Include</v>
      </c>
      <c r="AN810">
        <f t="shared" si="279"/>
        <v>5472.768</v>
      </c>
      <c r="AO810">
        <f t="shared" si="280"/>
        <v>995.4380000000001</v>
      </c>
      <c r="AP810">
        <f>IF(AN810=0,0,AO810/AN810)</f>
        <v>0.18188931085695575</v>
      </c>
      <c r="AQ810" t="str">
        <f t="shared" si="281"/>
        <v>August</v>
      </c>
      <c r="AR810">
        <f t="shared" si="282"/>
        <v>2025</v>
      </c>
      <c r="AS810" t="str">
        <f t="shared" si="283"/>
        <v>Invalid</v>
      </c>
      <c r="AT810" t="str">
        <f>IF(OR(AC810&lt;0,AC810&gt;0.5),"Invalid Discount","Valid")</f>
        <v>Valid</v>
      </c>
      <c r="AU810" t="str">
        <f>IF(G810&lt;E810,"Invalid Shipping Record","Valid")</f>
        <v>Invalid Shipping Record</v>
      </c>
      <c r="AV810" t="str">
        <f>IF(OR(AL810="Cancelled",AH810="Failed"),"Exclude","Include")</f>
        <v>Include</v>
      </c>
      <c r="AW810" t="str">
        <f t="shared" si="284"/>
        <v>Match</v>
      </c>
      <c r="AX810" t="str">
        <f t="shared" si="285"/>
        <v>Match</v>
      </c>
    </row>
    <row r="811" spans="1:50">
      <c r="A811" t="s">
        <v>3718</v>
      </c>
      <c r="B811">
        <f t="shared" si="286"/>
        <v>1</v>
      </c>
      <c r="C811" t="str">
        <f t="shared" si="274"/>
        <v/>
      </c>
      <c r="D811" s="3" t="s">
        <v>1515</v>
      </c>
      <c r="E811" s="7">
        <v>45833</v>
      </c>
      <c r="F811" s="3" t="s">
        <v>1515</v>
      </c>
      <c r="G811" s="7">
        <v>45833</v>
      </c>
      <c r="H811" s="7" t="str">
        <f t="shared" si="265"/>
        <v>Valid</v>
      </c>
      <c r="I811" s="9">
        <f t="shared" si="266"/>
        <v>0</v>
      </c>
      <c r="J811" s="9" t="str">
        <f t="shared" si="267"/>
        <v>Valid</v>
      </c>
      <c r="K811" t="s">
        <v>3719</v>
      </c>
      <c r="L811" t="s">
        <v>60</v>
      </c>
      <c r="M811" t="s">
        <v>60</v>
      </c>
      <c r="N811" t="s">
        <v>40</v>
      </c>
      <c r="O811" s="3" t="str">
        <f t="shared" si="268"/>
        <v>Small Business</v>
      </c>
      <c r="Q811" s="3" t="str">
        <f t="shared" si="269"/>
        <v>Unknown</v>
      </c>
      <c r="R811" t="s">
        <v>153</v>
      </c>
      <c r="S811" t="s">
        <v>154</v>
      </c>
      <c r="T811" t="s">
        <v>29</v>
      </c>
      <c r="U811" s="3" t="str">
        <f t="shared" si="270"/>
        <v>Office Supplies</v>
      </c>
      <c r="V811" t="s">
        <v>197</v>
      </c>
      <c r="W811" t="s">
        <v>3720</v>
      </c>
      <c r="X811" t="s">
        <v>32</v>
      </c>
      <c r="Y811" s="3" t="str">
        <f t="shared" si="271"/>
        <v>Second Class</v>
      </c>
      <c r="Z811">
        <v>6</v>
      </c>
      <c r="AA811">
        <v>1366.13</v>
      </c>
      <c r="AB811">
        <v>0.1</v>
      </c>
      <c r="AC811">
        <f t="shared" si="272"/>
        <v>0.1</v>
      </c>
      <c r="AD811" t="str">
        <f t="shared" si="275"/>
        <v>Valid</v>
      </c>
      <c r="AE811">
        <v>7377.1</v>
      </c>
      <c r="AF811">
        <v>5085.21</v>
      </c>
      <c r="AG811">
        <v>2291.89</v>
      </c>
      <c r="AH811" t="s">
        <v>33</v>
      </c>
      <c r="AI811" t="str">
        <f t="shared" si="276"/>
        <v>Include</v>
      </c>
      <c r="AJ811" t="str">
        <f t="shared" si="277"/>
        <v/>
      </c>
      <c r="AK811" t="s">
        <v>34</v>
      </c>
      <c r="AL811" t="str">
        <f t="shared" si="273"/>
        <v>Completed</v>
      </c>
      <c r="AM811" t="str">
        <f t="shared" si="278"/>
        <v>Include</v>
      </c>
      <c r="AN811">
        <f t="shared" si="279"/>
        <v>7377.1020000000008</v>
      </c>
      <c r="AO811">
        <f t="shared" si="280"/>
        <v>2291.8920000000007</v>
      </c>
      <c r="AP811">
        <f>IF(AN811=0,0,AO811/AN811)</f>
        <v>0.31067646888981615</v>
      </c>
      <c r="AQ811" t="str">
        <f t="shared" si="281"/>
        <v>June</v>
      </c>
      <c r="AR811">
        <f t="shared" si="282"/>
        <v>2025</v>
      </c>
      <c r="AS811" t="str">
        <f t="shared" si="283"/>
        <v>Warning</v>
      </c>
      <c r="AT811" t="str">
        <f>IF(OR(AC811&lt;0,AC811&gt;0.5),"Invalid Discount","Valid")</f>
        <v>Valid</v>
      </c>
      <c r="AU811" t="str">
        <f>IF(G811&lt;E811,"Invalid Shipping Record","Valid")</f>
        <v>Valid</v>
      </c>
      <c r="AV811" t="str">
        <f>IF(OR(AL811="Cancelled",AH811="Failed"),"Exclude","Include")</f>
        <v>Include</v>
      </c>
      <c r="AW811" t="str">
        <f t="shared" si="284"/>
        <v>Match</v>
      </c>
      <c r="AX811" t="str">
        <f t="shared" si="285"/>
        <v>Match</v>
      </c>
    </row>
    <row r="812" spans="1:50">
      <c r="A812" t="s">
        <v>3721</v>
      </c>
      <c r="B812">
        <f t="shared" si="286"/>
        <v>1</v>
      </c>
      <c r="C812" t="str">
        <f t="shared" si="274"/>
        <v/>
      </c>
      <c r="D812" s="3" t="s">
        <v>3722</v>
      </c>
      <c r="E812" s="7">
        <v>45385</v>
      </c>
      <c r="F812" s="3" t="s">
        <v>3723</v>
      </c>
      <c r="G812" s="7">
        <v>45390</v>
      </c>
      <c r="H812" s="7" t="str">
        <f t="shared" si="265"/>
        <v>Valid</v>
      </c>
      <c r="I812" s="9">
        <f t="shared" si="266"/>
        <v>5</v>
      </c>
      <c r="J812" s="9" t="str">
        <f t="shared" si="267"/>
        <v>Valid</v>
      </c>
      <c r="K812" t="s">
        <v>2533</v>
      </c>
      <c r="L812" t="s">
        <v>365</v>
      </c>
      <c r="M812" t="s">
        <v>365</v>
      </c>
      <c r="N812" t="s">
        <v>114</v>
      </c>
      <c r="O812" s="3" t="str">
        <f t="shared" si="268"/>
        <v>Home Office</v>
      </c>
      <c r="P812" t="s">
        <v>72</v>
      </c>
      <c r="Q812" s="3" t="str">
        <f t="shared" si="269"/>
        <v>West</v>
      </c>
      <c r="R812" t="s">
        <v>234</v>
      </c>
      <c r="S812" t="s">
        <v>235</v>
      </c>
      <c r="T812" t="s">
        <v>85</v>
      </c>
      <c r="U812" s="3" t="str">
        <f t="shared" si="270"/>
        <v>Technology</v>
      </c>
      <c r="V812" t="s">
        <v>93</v>
      </c>
      <c r="W812" t="s">
        <v>3724</v>
      </c>
      <c r="X812" t="s">
        <v>55</v>
      </c>
      <c r="Y812" s="3" t="str">
        <f t="shared" si="271"/>
        <v>First Class</v>
      </c>
      <c r="Z812">
        <v>1</v>
      </c>
      <c r="AA812">
        <v>3151.85</v>
      </c>
      <c r="AB812">
        <v>0.25</v>
      </c>
      <c r="AC812">
        <f t="shared" si="272"/>
        <v>0.25</v>
      </c>
      <c r="AD812" t="str">
        <f t="shared" si="275"/>
        <v>Valid</v>
      </c>
      <c r="AE812">
        <v>2363.89</v>
      </c>
      <c r="AF812">
        <v>1471.51</v>
      </c>
      <c r="AG812">
        <v>892.38</v>
      </c>
      <c r="AH812" t="s">
        <v>33</v>
      </c>
      <c r="AI812" t="str">
        <f t="shared" si="276"/>
        <v>Include</v>
      </c>
      <c r="AJ812" t="str">
        <f t="shared" si="277"/>
        <v/>
      </c>
      <c r="AK812" t="s">
        <v>34</v>
      </c>
      <c r="AL812" t="str">
        <f t="shared" si="273"/>
        <v>Completed</v>
      </c>
      <c r="AM812" t="str">
        <f t="shared" si="278"/>
        <v>Include</v>
      </c>
      <c r="AN812">
        <f t="shared" si="279"/>
        <v>2363.8874999999998</v>
      </c>
      <c r="AO812">
        <f t="shared" si="280"/>
        <v>892.37749999999983</v>
      </c>
      <c r="AP812">
        <f>IF(AN812=0,0,AO812/AN812)</f>
        <v>0.37750421710000998</v>
      </c>
      <c r="AQ812" t="str">
        <f t="shared" si="281"/>
        <v>April</v>
      </c>
      <c r="AR812">
        <f t="shared" si="282"/>
        <v>2024</v>
      </c>
      <c r="AS812" t="str">
        <f t="shared" si="283"/>
        <v>Clean</v>
      </c>
      <c r="AT812" t="str">
        <f>IF(OR(AC812&lt;0,AC812&gt;0.5),"Invalid Discount","Valid")</f>
        <v>Valid</v>
      </c>
      <c r="AU812" t="str">
        <f>IF(G812&lt;E812,"Invalid Shipping Record","Valid")</f>
        <v>Valid</v>
      </c>
      <c r="AV812" t="str">
        <f>IF(OR(AL812="Cancelled",AH812="Failed"),"Exclude","Include")</f>
        <v>Include</v>
      </c>
      <c r="AW812" t="str">
        <f t="shared" si="284"/>
        <v>Match</v>
      </c>
      <c r="AX812" t="str">
        <f t="shared" si="285"/>
        <v>Match</v>
      </c>
    </row>
    <row r="813" spans="1:50">
      <c r="A813" t="s">
        <v>3725</v>
      </c>
      <c r="B813">
        <f t="shared" si="286"/>
        <v>1</v>
      </c>
      <c r="C813" t="str">
        <f t="shared" si="274"/>
        <v/>
      </c>
      <c r="D813" s="3" t="s">
        <v>3726</v>
      </c>
      <c r="E813" s="7">
        <v>45638</v>
      </c>
      <c r="F813" s="3" t="s">
        <v>3727</v>
      </c>
      <c r="G813" s="7">
        <v>45645</v>
      </c>
      <c r="H813" s="7" t="str">
        <f t="shared" si="265"/>
        <v>Valid</v>
      </c>
      <c r="I813" s="9">
        <f t="shared" si="266"/>
        <v>7</v>
      </c>
      <c r="J813" s="9" t="str">
        <f t="shared" si="267"/>
        <v>Valid</v>
      </c>
      <c r="K813" t="s">
        <v>3728</v>
      </c>
      <c r="L813" t="s">
        <v>179</v>
      </c>
      <c r="M813" t="s">
        <v>179</v>
      </c>
      <c r="N813" t="s">
        <v>114</v>
      </c>
      <c r="O813" s="3" t="str">
        <f t="shared" si="268"/>
        <v>Home Office</v>
      </c>
      <c r="P813" t="s">
        <v>26</v>
      </c>
      <c r="Q813" s="3" t="str">
        <f t="shared" si="269"/>
        <v>North</v>
      </c>
      <c r="R813" t="s">
        <v>322</v>
      </c>
      <c r="S813" t="s">
        <v>323</v>
      </c>
      <c r="T813" t="s">
        <v>85</v>
      </c>
      <c r="U813" s="3" t="str">
        <f t="shared" si="270"/>
        <v>Technology</v>
      </c>
      <c r="V813" t="s">
        <v>86</v>
      </c>
      <c r="W813" t="s">
        <v>3729</v>
      </c>
      <c r="X813" t="s">
        <v>55</v>
      </c>
      <c r="Y813" s="3" t="str">
        <f t="shared" si="271"/>
        <v>First Class</v>
      </c>
      <c r="Z813">
        <v>2</v>
      </c>
      <c r="AA813">
        <v>1610.75</v>
      </c>
      <c r="AB813">
        <v>0.2</v>
      </c>
      <c r="AC813">
        <f t="shared" si="272"/>
        <v>0.2</v>
      </c>
      <c r="AD813" t="str">
        <f t="shared" si="275"/>
        <v>Valid</v>
      </c>
      <c r="AE813">
        <v>2577.1999999999998</v>
      </c>
      <c r="AF813">
        <v>1475.87</v>
      </c>
      <c r="AG813">
        <v>1101.33</v>
      </c>
      <c r="AH813" t="s">
        <v>33</v>
      </c>
      <c r="AI813" t="str">
        <f t="shared" si="276"/>
        <v>Include</v>
      </c>
      <c r="AJ813" t="str">
        <f t="shared" si="277"/>
        <v/>
      </c>
      <c r="AK813" t="s">
        <v>34</v>
      </c>
      <c r="AL813" t="str">
        <f t="shared" si="273"/>
        <v>Completed</v>
      </c>
      <c r="AM813" t="str">
        <f t="shared" si="278"/>
        <v>Include</v>
      </c>
      <c r="AN813">
        <f t="shared" si="279"/>
        <v>2577.2000000000003</v>
      </c>
      <c r="AO813">
        <f t="shared" si="280"/>
        <v>1101.3300000000004</v>
      </c>
      <c r="AP813">
        <f>IF(AN813=0,0,AO813/AN813)</f>
        <v>0.42733586838429316</v>
      </c>
      <c r="AQ813" t="str">
        <f t="shared" si="281"/>
        <v>December</v>
      </c>
      <c r="AR813">
        <f t="shared" si="282"/>
        <v>2024</v>
      </c>
      <c r="AS813" t="str">
        <f t="shared" si="283"/>
        <v>Clean</v>
      </c>
      <c r="AT813" t="str">
        <f>IF(OR(AC813&lt;0,AC813&gt;0.5),"Invalid Discount","Valid")</f>
        <v>Valid</v>
      </c>
      <c r="AU813" t="str">
        <f>IF(G813&lt;E813,"Invalid Shipping Record","Valid")</f>
        <v>Valid</v>
      </c>
      <c r="AV813" t="str">
        <f>IF(OR(AL813="Cancelled",AH813="Failed"),"Exclude","Include")</f>
        <v>Include</v>
      </c>
      <c r="AW813" t="str">
        <f t="shared" si="284"/>
        <v>Match</v>
      </c>
      <c r="AX813" t="str">
        <f t="shared" si="285"/>
        <v>Match</v>
      </c>
    </row>
    <row r="814" spans="1:50">
      <c r="A814" t="s">
        <v>3730</v>
      </c>
      <c r="B814">
        <f t="shared" si="286"/>
        <v>1</v>
      </c>
      <c r="C814" t="str">
        <f t="shared" si="274"/>
        <v/>
      </c>
      <c r="D814" s="3" t="s">
        <v>809</v>
      </c>
      <c r="E814" s="7">
        <v>45458</v>
      </c>
      <c r="F814" s="3" t="s">
        <v>3731</v>
      </c>
      <c r="G814" s="7">
        <v>45463</v>
      </c>
      <c r="H814" s="7" t="str">
        <f t="shared" si="265"/>
        <v>Valid</v>
      </c>
      <c r="I814" s="9">
        <f t="shared" si="266"/>
        <v>5</v>
      </c>
      <c r="J814" s="9" t="str">
        <f t="shared" si="267"/>
        <v>Valid</v>
      </c>
      <c r="K814" t="s">
        <v>3732</v>
      </c>
      <c r="L814" t="s">
        <v>167</v>
      </c>
      <c r="M814" t="s">
        <v>167</v>
      </c>
      <c r="N814" t="s">
        <v>40</v>
      </c>
      <c r="O814" s="3" t="str">
        <f t="shared" si="268"/>
        <v>Small Business</v>
      </c>
      <c r="P814" t="s">
        <v>41</v>
      </c>
      <c r="Q814" s="3" t="str">
        <f t="shared" si="269"/>
        <v>East</v>
      </c>
      <c r="R814" t="s">
        <v>310</v>
      </c>
      <c r="S814" t="s">
        <v>311</v>
      </c>
      <c r="T814" t="s">
        <v>44</v>
      </c>
      <c r="U814" s="3" t="str">
        <f t="shared" si="270"/>
        <v>Furniture</v>
      </c>
      <c r="V814" t="s">
        <v>45</v>
      </c>
      <c r="W814" t="s">
        <v>3733</v>
      </c>
      <c r="X814" t="s">
        <v>55</v>
      </c>
      <c r="Y814" s="3" t="str">
        <f t="shared" si="271"/>
        <v>First Class</v>
      </c>
      <c r="Z814">
        <v>8</v>
      </c>
      <c r="AA814">
        <v>2228.4699999999998</v>
      </c>
      <c r="AB814">
        <v>0</v>
      </c>
      <c r="AC814">
        <f t="shared" si="272"/>
        <v>0</v>
      </c>
      <c r="AD814" t="str">
        <f t="shared" si="275"/>
        <v>Valid</v>
      </c>
      <c r="AE814">
        <v>17827.759999999998</v>
      </c>
      <c r="AF814">
        <v>14122.13</v>
      </c>
      <c r="AG814">
        <v>3705.63</v>
      </c>
      <c r="AH814" t="s">
        <v>33</v>
      </c>
      <c r="AI814" t="str">
        <f t="shared" si="276"/>
        <v>Include</v>
      </c>
      <c r="AJ814" t="str">
        <f t="shared" si="277"/>
        <v/>
      </c>
      <c r="AK814" t="s">
        <v>34</v>
      </c>
      <c r="AL814" t="str">
        <f t="shared" si="273"/>
        <v>Completed</v>
      </c>
      <c r="AM814" t="str">
        <f t="shared" si="278"/>
        <v>Include</v>
      </c>
      <c r="AN814">
        <f t="shared" si="279"/>
        <v>17827.759999999998</v>
      </c>
      <c r="AO814">
        <f t="shared" si="280"/>
        <v>3705.6299999999992</v>
      </c>
      <c r="AP814">
        <f>IF(AN814=0,0,AO814/AN814)</f>
        <v>0.20785729671029896</v>
      </c>
      <c r="AQ814" t="str">
        <f t="shared" si="281"/>
        <v>June</v>
      </c>
      <c r="AR814">
        <f t="shared" si="282"/>
        <v>2024</v>
      </c>
      <c r="AS814" t="str">
        <f t="shared" si="283"/>
        <v>Clean</v>
      </c>
      <c r="AT814" t="str">
        <f>IF(OR(AC814&lt;0,AC814&gt;0.5),"Invalid Discount","Valid")</f>
        <v>Valid</v>
      </c>
      <c r="AU814" t="str">
        <f>IF(G814&lt;E814,"Invalid Shipping Record","Valid")</f>
        <v>Valid</v>
      </c>
      <c r="AV814" t="str">
        <f>IF(OR(AL814="Cancelled",AH814="Failed"),"Exclude","Include")</f>
        <v>Include</v>
      </c>
      <c r="AW814" t="str">
        <f t="shared" si="284"/>
        <v>Match</v>
      </c>
      <c r="AX814" t="str">
        <f t="shared" si="285"/>
        <v>Match</v>
      </c>
    </row>
    <row r="815" spans="1:50">
      <c r="A815" t="s">
        <v>3734</v>
      </c>
      <c r="B815">
        <f t="shared" si="286"/>
        <v>1</v>
      </c>
      <c r="C815" t="str">
        <f t="shared" si="274"/>
        <v/>
      </c>
      <c r="D815" s="3" t="s">
        <v>3735</v>
      </c>
      <c r="E815" s="7">
        <v>45753</v>
      </c>
      <c r="F815" s="3" t="s">
        <v>3736</v>
      </c>
      <c r="G815" s="7">
        <v>45757</v>
      </c>
      <c r="H815" s="7" t="str">
        <f t="shared" si="265"/>
        <v>Valid</v>
      </c>
      <c r="I815" s="9">
        <f t="shared" si="266"/>
        <v>4</v>
      </c>
      <c r="J815" s="9" t="str">
        <f t="shared" si="267"/>
        <v>Valid</v>
      </c>
      <c r="K815" t="s">
        <v>3737</v>
      </c>
      <c r="L815" t="s">
        <v>179</v>
      </c>
      <c r="M815" t="s">
        <v>179</v>
      </c>
      <c r="N815" t="s">
        <v>25</v>
      </c>
      <c r="O815" s="3" t="str">
        <f t="shared" si="268"/>
        <v>Consumer</v>
      </c>
      <c r="P815" t="s">
        <v>41</v>
      </c>
      <c r="Q815" s="3" t="str">
        <f t="shared" si="269"/>
        <v>East</v>
      </c>
      <c r="R815" t="s">
        <v>42</v>
      </c>
      <c r="S815" t="s">
        <v>43</v>
      </c>
      <c r="T815" t="s">
        <v>44</v>
      </c>
      <c r="U815" s="3" t="str">
        <f t="shared" si="270"/>
        <v>Furniture</v>
      </c>
      <c r="V815" t="s">
        <v>203</v>
      </c>
      <c r="W815" t="s">
        <v>1716</v>
      </c>
      <c r="X815" t="s">
        <v>66</v>
      </c>
      <c r="Y815" s="3" t="str">
        <f t="shared" si="271"/>
        <v>Standard Class</v>
      </c>
      <c r="Z815">
        <v>2</v>
      </c>
      <c r="AA815">
        <v>1337.67</v>
      </c>
      <c r="AB815">
        <v>0</v>
      </c>
      <c r="AC815">
        <f t="shared" si="272"/>
        <v>0</v>
      </c>
      <c r="AD815" t="str">
        <f t="shared" si="275"/>
        <v>Valid</v>
      </c>
      <c r="AE815">
        <v>2675.34</v>
      </c>
      <c r="AF815">
        <v>1595.87</v>
      </c>
      <c r="AG815">
        <v>1079.47</v>
      </c>
      <c r="AH815" t="s">
        <v>33</v>
      </c>
      <c r="AI815" t="str">
        <f t="shared" si="276"/>
        <v>Include</v>
      </c>
      <c r="AJ815" t="str">
        <f t="shared" si="277"/>
        <v/>
      </c>
      <c r="AK815" t="s">
        <v>34</v>
      </c>
      <c r="AL815" t="str">
        <f t="shared" si="273"/>
        <v>Completed</v>
      </c>
      <c r="AM815" t="str">
        <f t="shared" si="278"/>
        <v>Include</v>
      </c>
      <c r="AN815">
        <f t="shared" si="279"/>
        <v>2675.34</v>
      </c>
      <c r="AO815">
        <f t="shared" si="280"/>
        <v>1079.4700000000003</v>
      </c>
      <c r="AP815">
        <f>IF(AN815=0,0,AO815/AN815)</f>
        <v>0.40348890234512258</v>
      </c>
      <c r="AQ815" t="str">
        <f t="shared" si="281"/>
        <v>April</v>
      </c>
      <c r="AR815">
        <f t="shared" si="282"/>
        <v>2025</v>
      </c>
      <c r="AS815" t="str">
        <f t="shared" si="283"/>
        <v>Clean</v>
      </c>
      <c r="AT815" t="str">
        <f>IF(OR(AC815&lt;0,AC815&gt;0.5),"Invalid Discount","Valid")</f>
        <v>Valid</v>
      </c>
      <c r="AU815" t="str">
        <f>IF(G815&lt;E815,"Invalid Shipping Record","Valid")</f>
        <v>Valid</v>
      </c>
      <c r="AV815" t="str">
        <f>IF(OR(AL815="Cancelled",AH815="Failed"),"Exclude","Include")</f>
        <v>Include</v>
      </c>
      <c r="AW815" t="str">
        <f t="shared" si="284"/>
        <v>Match</v>
      </c>
      <c r="AX815" t="str">
        <f t="shared" si="285"/>
        <v>Match</v>
      </c>
    </row>
    <row r="816" spans="1:50">
      <c r="A816" t="s">
        <v>3738</v>
      </c>
      <c r="B816">
        <f t="shared" si="286"/>
        <v>1</v>
      </c>
      <c r="C816" t="str">
        <f t="shared" si="274"/>
        <v/>
      </c>
      <c r="D816" s="3" t="s">
        <v>1370</v>
      </c>
      <c r="E816" s="7">
        <v>45875</v>
      </c>
      <c r="F816" s="3" t="s">
        <v>582</v>
      </c>
      <c r="G816" s="7">
        <v>45880</v>
      </c>
      <c r="H816" s="7" t="str">
        <f t="shared" si="265"/>
        <v>Valid</v>
      </c>
      <c r="I816" s="9">
        <f t="shared" si="266"/>
        <v>5</v>
      </c>
      <c r="J816" s="9" t="str">
        <f t="shared" si="267"/>
        <v>Valid</v>
      </c>
      <c r="K816" t="s">
        <v>3739</v>
      </c>
      <c r="L816" t="s">
        <v>60</v>
      </c>
      <c r="M816" t="s">
        <v>60</v>
      </c>
      <c r="N816" t="s">
        <v>25</v>
      </c>
      <c r="O816" s="3" t="str">
        <f t="shared" si="268"/>
        <v>Consumer</v>
      </c>
      <c r="P816" t="s">
        <v>72</v>
      </c>
      <c r="Q816" s="3" t="str">
        <f t="shared" si="269"/>
        <v>West</v>
      </c>
      <c r="R816" t="s">
        <v>83</v>
      </c>
      <c r="S816" t="s">
        <v>84</v>
      </c>
      <c r="T816" t="s">
        <v>29</v>
      </c>
      <c r="U816" s="3" t="str">
        <f t="shared" si="270"/>
        <v>Office Supplies</v>
      </c>
      <c r="V816" t="s">
        <v>108</v>
      </c>
      <c r="W816" t="s">
        <v>3740</v>
      </c>
      <c r="X816" t="s">
        <v>55</v>
      </c>
      <c r="Y816" s="3" t="str">
        <f t="shared" si="271"/>
        <v>First Class</v>
      </c>
      <c r="Z816">
        <v>2</v>
      </c>
      <c r="AA816">
        <v>2375.94</v>
      </c>
      <c r="AB816">
        <v>0.25</v>
      </c>
      <c r="AC816">
        <f t="shared" si="272"/>
        <v>0.25</v>
      </c>
      <c r="AD816" t="str">
        <f t="shared" si="275"/>
        <v>Valid</v>
      </c>
      <c r="AE816">
        <v>3563.91</v>
      </c>
      <c r="AF816">
        <v>2639.7</v>
      </c>
      <c r="AG816">
        <v>924.21</v>
      </c>
      <c r="AH816" t="s">
        <v>33</v>
      </c>
      <c r="AI816" t="str">
        <f t="shared" si="276"/>
        <v>Include</v>
      </c>
      <c r="AJ816" t="str">
        <f t="shared" si="277"/>
        <v/>
      </c>
      <c r="AK816" t="s">
        <v>34</v>
      </c>
      <c r="AL816" t="str">
        <f t="shared" si="273"/>
        <v>Completed</v>
      </c>
      <c r="AM816" t="str">
        <f t="shared" si="278"/>
        <v>Include</v>
      </c>
      <c r="AN816">
        <f t="shared" si="279"/>
        <v>3563.91</v>
      </c>
      <c r="AO816">
        <f t="shared" si="280"/>
        <v>924.21</v>
      </c>
      <c r="AP816">
        <f>IF(AN816=0,0,AO816/AN816)</f>
        <v>0.25932473042248544</v>
      </c>
      <c r="AQ816" t="str">
        <f t="shared" si="281"/>
        <v>August</v>
      </c>
      <c r="AR816">
        <f t="shared" si="282"/>
        <v>2025</v>
      </c>
      <c r="AS816" t="str">
        <f t="shared" si="283"/>
        <v>Clean</v>
      </c>
      <c r="AT816" t="str">
        <f>IF(OR(AC816&lt;0,AC816&gt;0.5),"Invalid Discount","Valid")</f>
        <v>Valid</v>
      </c>
      <c r="AU816" t="str">
        <f>IF(G816&lt;E816,"Invalid Shipping Record","Valid")</f>
        <v>Valid</v>
      </c>
      <c r="AV816" t="str">
        <f>IF(OR(AL816="Cancelled",AH816="Failed"),"Exclude","Include")</f>
        <v>Include</v>
      </c>
      <c r="AW816" t="str">
        <f t="shared" si="284"/>
        <v>Match</v>
      </c>
      <c r="AX816" t="str">
        <f t="shared" si="285"/>
        <v>Match</v>
      </c>
    </row>
    <row r="817" spans="1:50">
      <c r="A817" t="s">
        <v>3741</v>
      </c>
      <c r="B817">
        <f t="shared" si="286"/>
        <v>1</v>
      </c>
      <c r="C817" t="str">
        <f t="shared" si="274"/>
        <v/>
      </c>
      <c r="D817" s="3" t="s">
        <v>2441</v>
      </c>
      <c r="E817" s="7">
        <v>45383</v>
      </c>
      <c r="F817" s="3" t="s">
        <v>3742</v>
      </c>
      <c r="G817" s="7">
        <v>45390</v>
      </c>
      <c r="H817" s="7" t="str">
        <f t="shared" si="265"/>
        <v>Valid</v>
      </c>
      <c r="I817" s="9">
        <f t="shared" si="266"/>
        <v>7</v>
      </c>
      <c r="J817" s="9" t="str">
        <f t="shared" si="267"/>
        <v>Valid</v>
      </c>
      <c r="K817" t="s">
        <v>3743</v>
      </c>
      <c r="L817" t="s">
        <v>209</v>
      </c>
      <c r="M817" t="s">
        <v>209</v>
      </c>
      <c r="N817" t="s">
        <v>25</v>
      </c>
      <c r="O817" s="3" t="str">
        <f t="shared" si="268"/>
        <v>Consumer</v>
      </c>
      <c r="P817" t="s">
        <v>41</v>
      </c>
      <c r="Q817" s="3" t="str">
        <f t="shared" si="269"/>
        <v>East</v>
      </c>
      <c r="R817" t="s">
        <v>42</v>
      </c>
      <c r="S817" t="s">
        <v>43</v>
      </c>
      <c r="T817" t="s">
        <v>85</v>
      </c>
      <c r="U817" s="3" t="str">
        <f t="shared" si="270"/>
        <v>Technology</v>
      </c>
      <c r="V817" t="s">
        <v>381</v>
      </c>
      <c r="W817" t="s">
        <v>3744</v>
      </c>
      <c r="X817" t="s">
        <v>66</v>
      </c>
      <c r="Y817" s="3" t="str">
        <f t="shared" si="271"/>
        <v>Standard Class</v>
      </c>
      <c r="Z817">
        <v>7</v>
      </c>
      <c r="AA817">
        <v>715.81</v>
      </c>
      <c r="AB817">
        <v>0.15</v>
      </c>
      <c r="AC817">
        <f t="shared" si="272"/>
        <v>0.15</v>
      </c>
      <c r="AD817" t="str">
        <f t="shared" si="275"/>
        <v>Valid</v>
      </c>
      <c r="AE817">
        <v>4259.07</v>
      </c>
      <c r="AF817">
        <v>3130.32</v>
      </c>
      <c r="AG817">
        <v>1128.75</v>
      </c>
      <c r="AH817" t="s">
        <v>136</v>
      </c>
      <c r="AI817" t="str">
        <f t="shared" si="276"/>
        <v>Exclude</v>
      </c>
      <c r="AJ817" t="str">
        <f t="shared" si="277"/>
        <v/>
      </c>
      <c r="AK817" t="s">
        <v>77</v>
      </c>
      <c r="AL817" t="str">
        <f t="shared" si="273"/>
        <v>Cancelled</v>
      </c>
      <c r="AM817" t="str">
        <f t="shared" si="278"/>
        <v>Exclude</v>
      </c>
      <c r="AN817">
        <f t="shared" si="279"/>
        <v>4259.0694999999996</v>
      </c>
      <c r="AO817">
        <f t="shared" si="280"/>
        <v>1128.7494999999994</v>
      </c>
      <c r="AP817">
        <f>IF(AN817=0,0,AO817/AN817)</f>
        <v>0.26502255950507486</v>
      </c>
      <c r="AQ817" t="str">
        <f t="shared" si="281"/>
        <v>April</v>
      </c>
      <c r="AR817">
        <f t="shared" si="282"/>
        <v>2024</v>
      </c>
      <c r="AS817" t="str">
        <f t="shared" si="283"/>
        <v>Clean</v>
      </c>
      <c r="AT817" t="str">
        <f>IF(OR(AC817&lt;0,AC817&gt;0.5),"Invalid Discount","Valid")</f>
        <v>Valid</v>
      </c>
      <c r="AU817" t="str">
        <f>IF(G817&lt;E817,"Invalid Shipping Record","Valid")</f>
        <v>Valid</v>
      </c>
      <c r="AV817" t="str">
        <f>IF(OR(AL817="Cancelled",AH817="Failed"),"Exclude","Include")</f>
        <v>Exclude</v>
      </c>
      <c r="AW817" t="str">
        <f t="shared" si="284"/>
        <v>Match</v>
      </c>
      <c r="AX817" t="str">
        <f t="shared" si="285"/>
        <v>Match</v>
      </c>
    </row>
    <row r="818" spans="1:50">
      <c r="A818" t="s">
        <v>3745</v>
      </c>
      <c r="B818">
        <f t="shared" si="286"/>
        <v>1</v>
      </c>
      <c r="C818" t="str">
        <f t="shared" si="274"/>
        <v/>
      </c>
      <c r="D818" s="3" t="s">
        <v>3746</v>
      </c>
      <c r="E818" s="7">
        <v>45623</v>
      </c>
      <c r="F818" s="3" t="s">
        <v>3747</v>
      </c>
      <c r="G818" s="7">
        <v>45626</v>
      </c>
      <c r="H818" s="7" t="str">
        <f t="shared" si="265"/>
        <v>Valid</v>
      </c>
      <c r="I818" s="9">
        <f t="shared" si="266"/>
        <v>3</v>
      </c>
      <c r="J818" s="9" t="str">
        <f t="shared" si="267"/>
        <v>Valid</v>
      </c>
      <c r="K818" t="s">
        <v>3748</v>
      </c>
      <c r="L818" t="s">
        <v>147</v>
      </c>
      <c r="M818" t="s">
        <v>147</v>
      </c>
      <c r="N818" t="s">
        <v>40</v>
      </c>
      <c r="O818" s="3" t="str">
        <f t="shared" si="268"/>
        <v>Small Business</v>
      </c>
      <c r="P818" t="s">
        <v>41</v>
      </c>
      <c r="Q818" s="3" t="str">
        <f t="shared" si="269"/>
        <v>East</v>
      </c>
      <c r="R818" t="s">
        <v>310</v>
      </c>
      <c r="S818" t="s">
        <v>311</v>
      </c>
      <c r="T818" t="s">
        <v>44</v>
      </c>
      <c r="U818" s="3" t="str">
        <f t="shared" si="270"/>
        <v>Furniture</v>
      </c>
      <c r="V818" t="s">
        <v>64</v>
      </c>
      <c r="W818" t="s">
        <v>3749</v>
      </c>
      <c r="X818" t="s">
        <v>55</v>
      </c>
      <c r="Y818" s="3" t="str">
        <f t="shared" si="271"/>
        <v>First Class</v>
      </c>
      <c r="Z818">
        <v>1</v>
      </c>
      <c r="AA818">
        <v>874.3</v>
      </c>
      <c r="AB818">
        <v>0.1</v>
      </c>
      <c r="AC818">
        <f t="shared" si="272"/>
        <v>0.1</v>
      </c>
      <c r="AD818" t="str">
        <f t="shared" si="275"/>
        <v>Valid</v>
      </c>
      <c r="AE818">
        <v>786.87</v>
      </c>
      <c r="AF818">
        <v>498.5</v>
      </c>
      <c r="AG818">
        <v>288.37</v>
      </c>
      <c r="AH818" t="s">
        <v>33</v>
      </c>
      <c r="AI818" t="str">
        <f t="shared" si="276"/>
        <v>Include</v>
      </c>
      <c r="AJ818" t="str">
        <f t="shared" si="277"/>
        <v/>
      </c>
      <c r="AK818" t="s">
        <v>34</v>
      </c>
      <c r="AL818" t="str">
        <f t="shared" si="273"/>
        <v>Completed</v>
      </c>
      <c r="AM818" t="str">
        <f t="shared" si="278"/>
        <v>Include</v>
      </c>
      <c r="AN818">
        <f t="shared" si="279"/>
        <v>786.87</v>
      </c>
      <c r="AO818">
        <f t="shared" si="280"/>
        <v>288.37</v>
      </c>
      <c r="AP818">
        <f>IF(AN818=0,0,AO818/AN818)</f>
        <v>0.36647730883119195</v>
      </c>
      <c r="AQ818" t="str">
        <f t="shared" si="281"/>
        <v>November</v>
      </c>
      <c r="AR818">
        <f t="shared" si="282"/>
        <v>2024</v>
      </c>
      <c r="AS818" t="str">
        <f t="shared" si="283"/>
        <v>Clean</v>
      </c>
      <c r="AT818" t="str">
        <f>IF(OR(AC818&lt;0,AC818&gt;0.5),"Invalid Discount","Valid")</f>
        <v>Valid</v>
      </c>
      <c r="AU818" t="str">
        <f>IF(G818&lt;E818,"Invalid Shipping Record","Valid")</f>
        <v>Valid</v>
      </c>
      <c r="AV818" t="str">
        <f>IF(OR(AL818="Cancelled",AH818="Failed"),"Exclude","Include")</f>
        <v>Include</v>
      </c>
      <c r="AW818" t="str">
        <f t="shared" si="284"/>
        <v>Match</v>
      </c>
      <c r="AX818" t="str">
        <f t="shared" si="285"/>
        <v>Match</v>
      </c>
    </row>
    <row r="819" spans="1:50">
      <c r="A819" t="s">
        <v>3750</v>
      </c>
      <c r="B819">
        <f t="shared" si="286"/>
        <v>1</v>
      </c>
      <c r="C819" t="str">
        <f t="shared" si="274"/>
        <v/>
      </c>
      <c r="D819" s="3" t="s">
        <v>3751</v>
      </c>
      <c r="E819" s="7">
        <v>45752</v>
      </c>
      <c r="F819" s="3" t="s">
        <v>3752</v>
      </c>
      <c r="G819" s="7">
        <v>45752</v>
      </c>
      <c r="H819" s="7" t="str">
        <f t="shared" si="265"/>
        <v>Valid</v>
      </c>
      <c r="I819" s="9">
        <f t="shared" si="266"/>
        <v>0</v>
      </c>
      <c r="J819" s="9" t="str">
        <f t="shared" si="267"/>
        <v>Valid</v>
      </c>
      <c r="K819" t="s">
        <v>3753</v>
      </c>
      <c r="L819" t="s">
        <v>167</v>
      </c>
      <c r="M819" t="s">
        <v>167</v>
      </c>
      <c r="N819" t="s">
        <v>25</v>
      </c>
      <c r="O819" s="3" t="str">
        <f t="shared" si="268"/>
        <v>Consumer</v>
      </c>
      <c r="P819" t="s">
        <v>41</v>
      </c>
      <c r="Q819" s="3" t="str">
        <f t="shared" si="269"/>
        <v>East</v>
      </c>
      <c r="R819" t="s">
        <v>185</v>
      </c>
      <c r="S819" t="s">
        <v>186</v>
      </c>
      <c r="T819" t="s">
        <v>29</v>
      </c>
      <c r="U819" s="3" t="str">
        <f t="shared" si="270"/>
        <v>Office Supplies</v>
      </c>
      <c r="V819" t="s">
        <v>197</v>
      </c>
      <c r="W819" t="s">
        <v>3754</v>
      </c>
      <c r="X819" t="s">
        <v>66</v>
      </c>
      <c r="Y819" s="3" t="str">
        <f t="shared" si="271"/>
        <v>Standard Class</v>
      </c>
      <c r="Z819">
        <v>6</v>
      </c>
      <c r="AA819">
        <v>1829.69</v>
      </c>
      <c r="AB819">
        <v>0.25</v>
      </c>
      <c r="AC819">
        <f t="shared" si="272"/>
        <v>0.25</v>
      </c>
      <c r="AD819" t="str">
        <f t="shared" si="275"/>
        <v>Valid</v>
      </c>
      <c r="AE819">
        <v>8233.6</v>
      </c>
      <c r="AF819">
        <v>4713.79</v>
      </c>
      <c r="AG819">
        <v>3519.81</v>
      </c>
      <c r="AH819" t="s">
        <v>33</v>
      </c>
      <c r="AI819" t="str">
        <f t="shared" si="276"/>
        <v>Include</v>
      </c>
      <c r="AJ819" t="str">
        <f t="shared" si="277"/>
        <v/>
      </c>
      <c r="AK819" t="s">
        <v>34</v>
      </c>
      <c r="AL819" t="str">
        <f t="shared" si="273"/>
        <v>Completed</v>
      </c>
      <c r="AM819" t="str">
        <f t="shared" si="278"/>
        <v>Include</v>
      </c>
      <c r="AN819">
        <f t="shared" si="279"/>
        <v>8233.6049999999996</v>
      </c>
      <c r="AO819">
        <f t="shared" si="280"/>
        <v>3519.8149999999996</v>
      </c>
      <c r="AP819">
        <f>IF(AN819=0,0,AO819/AN819)</f>
        <v>0.42749378917254349</v>
      </c>
      <c r="AQ819" t="str">
        <f t="shared" si="281"/>
        <v>April</v>
      </c>
      <c r="AR819">
        <f t="shared" si="282"/>
        <v>2025</v>
      </c>
      <c r="AS819" t="str">
        <f t="shared" si="283"/>
        <v>Clean</v>
      </c>
      <c r="AT819" t="str">
        <f>IF(OR(AC819&lt;0,AC819&gt;0.5),"Invalid Discount","Valid")</f>
        <v>Valid</v>
      </c>
      <c r="AU819" t="str">
        <f>IF(G819&lt;E819,"Invalid Shipping Record","Valid")</f>
        <v>Valid</v>
      </c>
      <c r="AV819" t="str">
        <f>IF(OR(AL819="Cancelled",AH819="Failed"),"Exclude","Include")</f>
        <v>Include</v>
      </c>
      <c r="AW819" t="str">
        <f t="shared" si="284"/>
        <v>Mismatch</v>
      </c>
      <c r="AX819" t="str">
        <f t="shared" si="285"/>
        <v>Mismatch</v>
      </c>
    </row>
    <row r="820" spans="1:50">
      <c r="A820" t="s">
        <v>3755</v>
      </c>
      <c r="B820">
        <f t="shared" si="286"/>
        <v>1</v>
      </c>
      <c r="C820" t="str">
        <f t="shared" si="274"/>
        <v/>
      </c>
      <c r="D820" s="3" t="s">
        <v>3756</v>
      </c>
      <c r="E820" s="7">
        <v>45564</v>
      </c>
      <c r="F820" s="3" t="s">
        <v>3237</v>
      </c>
      <c r="G820" s="7">
        <v>45570</v>
      </c>
      <c r="H820" s="7" t="str">
        <f t="shared" si="265"/>
        <v>Valid</v>
      </c>
      <c r="I820" s="9">
        <f t="shared" si="266"/>
        <v>6</v>
      </c>
      <c r="J820" s="9" t="str">
        <f t="shared" si="267"/>
        <v>Valid</v>
      </c>
      <c r="K820" t="s">
        <v>3757</v>
      </c>
      <c r="L820" t="s">
        <v>141</v>
      </c>
      <c r="M820" t="s">
        <v>141</v>
      </c>
      <c r="N820" t="s">
        <v>40</v>
      </c>
      <c r="O820" s="3" t="str">
        <f t="shared" si="268"/>
        <v>Small Business</v>
      </c>
      <c r="P820" t="s">
        <v>72</v>
      </c>
      <c r="Q820" s="3" t="str">
        <f t="shared" si="269"/>
        <v>West</v>
      </c>
      <c r="R820" t="s">
        <v>73</v>
      </c>
      <c r="S820" t="s">
        <v>74</v>
      </c>
      <c r="T820" t="s">
        <v>29</v>
      </c>
      <c r="U820" s="3" t="str">
        <f t="shared" si="270"/>
        <v>Office Supplies</v>
      </c>
      <c r="V820" t="s">
        <v>108</v>
      </c>
      <c r="W820" t="s">
        <v>3758</v>
      </c>
      <c r="X820" t="s">
        <v>55</v>
      </c>
      <c r="Y820" s="3" t="str">
        <f t="shared" si="271"/>
        <v>First Class</v>
      </c>
      <c r="Z820">
        <v>8</v>
      </c>
      <c r="AA820">
        <v>1981.04</v>
      </c>
      <c r="AB820">
        <v>-0.14000000000000001</v>
      </c>
      <c r="AC820">
        <f t="shared" si="272"/>
        <v>-0.14000000000000001</v>
      </c>
      <c r="AD820" t="str">
        <f t="shared" si="275"/>
        <v>Invalid Discount</v>
      </c>
      <c r="AE820">
        <v>12678.66</v>
      </c>
      <c r="AF820">
        <v>10088.65</v>
      </c>
      <c r="AG820">
        <v>2590.0100000000002</v>
      </c>
      <c r="AH820" t="s">
        <v>33</v>
      </c>
      <c r="AI820" t="str">
        <f t="shared" si="276"/>
        <v>Include</v>
      </c>
      <c r="AJ820" t="str">
        <f t="shared" si="277"/>
        <v/>
      </c>
      <c r="AK820" t="s">
        <v>34</v>
      </c>
      <c r="AL820" t="str">
        <f t="shared" si="273"/>
        <v>Completed</v>
      </c>
      <c r="AM820" t="str">
        <f t="shared" si="278"/>
        <v>Include</v>
      </c>
      <c r="AN820">
        <f t="shared" si="279"/>
        <v>18067.084800000001</v>
      </c>
      <c r="AO820">
        <f t="shared" si="280"/>
        <v>7978.4348000000009</v>
      </c>
      <c r="AP820">
        <f>IF(AN820=0,0,AO820/AN820)</f>
        <v>0.44160056192352631</v>
      </c>
      <c r="AQ820" t="str">
        <f t="shared" si="281"/>
        <v>September</v>
      </c>
      <c r="AR820">
        <f t="shared" si="282"/>
        <v>2024</v>
      </c>
      <c r="AS820" t="str">
        <f t="shared" si="283"/>
        <v>Invalid</v>
      </c>
      <c r="AT820" t="str">
        <f>IF(OR(AC820&lt;0,AC820&gt;0.5),"Invalid Discount","Valid")</f>
        <v>Invalid Discount</v>
      </c>
      <c r="AU820" t="str">
        <f>IF(G820&lt;E820,"Invalid Shipping Record","Valid")</f>
        <v>Valid</v>
      </c>
      <c r="AV820" t="str">
        <f>IF(OR(AL820="Cancelled",AH820="Failed"),"Exclude","Include")</f>
        <v>Include</v>
      </c>
      <c r="AW820" t="str">
        <f t="shared" si="284"/>
        <v>Mismatch</v>
      </c>
      <c r="AX820" t="str">
        <f t="shared" si="285"/>
        <v>Mismatch</v>
      </c>
    </row>
    <row r="821" spans="1:50">
      <c r="A821" t="s">
        <v>3759</v>
      </c>
      <c r="B821">
        <f t="shared" si="286"/>
        <v>1</v>
      </c>
      <c r="C821" t="str">
        <f t="shared" si="274"/>
        <v/>
      </c>
      <c r="D821" s="3" t="s">
        <v>1593</v>
      </c>
      <c r="E821" s="7">
        <v>45504</v>
      </c>
      <c r="F821" s="3" t="s">
        <v>3760</v>
      </c>
      <c r="G821" s="7">
        <v>45504</v>
      </c>
      <c r="H821" s="7" t="str">
        <f t="shared" si="265"/>
        <v>Valid</v>
      </c>
      <c r="I821" s="9">
        <f t="shared" si="266"/>
        <v>0</v>
      </c>
      <c r="J821" s="9" t="str">
        <f t="shared" si="267"/>
        <v>Valid</v>
      </c>
      <c r="K821" t="s">
        <v>3761</v>
      </c>
      <c r="L821" t="s">
        <v>24</v>
      </c>
      <c r="M821" t="s">
        <v>24</v>
      </c>
      <c r="N821" t="s">
        <v>114</v>
      </c>
      <c r="O821" s="3" t="str">
        <f t="shared" si="268"/>
        <v>Home Office</v>
      </c>
      <c r="P821" t="s">
        <v>61</v>
      </c>
      <c r="Q821" s="3" t="str">
        <f t="shared" si="269"/>
        <v>South</v>
      </c>
      <c r="R821" t="s">
        <v>241</v>
      </c>
      <c r="S821" t="s">
        <v>242</v>
      </c>
      <c r="T821" t="s">
        <v>85</v>
      </c>
      <c r="U821" s="3" t="str">
        <f t="shared" si="270"/>
        <v>Technology</v>
      </c>
      <c r="V821" t="s">
        <v>3762</v>
      </c>
      <c r="W821" t="s">
        <v>3763</v>
      </c>
      <c r="X821" t="s">
        <v>66</v>
      </c>
      <c r="Y821" s="3" t="str">
        <f t="shared" si="271"/>
        <v>Standard Class</v>
      </c>
      <c r="Z821">
        <v>8</v>
      </c>
      <c r="AA821">
        <v>4246.01</v>
      </c>
      <c r="AB821">
        <v>0</v>
      </c>
      <c r="AC821">
        <f t="shared" si="272"/>
        <v>0</v>
      </c>
      <c r="AD821" t="str">
        <f t="shared" si="275"/>
        <v>Valid</v>
      </c>
      <c r="AE821">
        <v>33968.080000000002</v>
      </c>
      <c r="AF821">
        <v>26902.44</v>
      </c>
      <c r="AG821">
        <v>7065.64</v>
      </c>
      <c r="AH821" t="s">
        <v>199</v>
      </c>
      <c r="AI821" t="str">
        <f t="shared" si="276"/>
        <v>Exclude</v>
      </c>
      <c r="AJ821" t="str">
        <f t="shared" si="277"/>
        <v/>
      </c>
      <c r="AK821" t="s">
        <v>77</v>
      </c>
      <c r="AL821" t="str">
        <f t="shared" si="273"/>
        <v>Cancelled</v>
      </c>
      <c r="AM821" t="str">
        <f t="shared" si="278"/>
        <v>Exclude</v>
      </c>
      <c r="AN821">
        <f t="shared" si="279"/>
        <v>33968.080000000002</v>
      </c>
      <c r="AO821">
        <f t="shared" si="280"/>
        <v>7065.6400000000031</v>
      </c>
      <c r="AP821">
        <f>IF(AN821=0,0,AO821/AN821)</f>
        <v>0.20800822419165294</v>
      </c>
      <c r="AQ821" t="str">
        <f t="shared" si="281"/>
        <v>July</v>
      </c>
      <c r="AR821">
        <f t="shared" si="282"/>
        <v>2024</v>
      </c>
      <c r="AS821" t="str">
        <f t="shared" si="283"/>
        <v>Clean</v>
      </c>
      <c r="AT821" t="str">
        <f>IF(OR(AC821&lt;0,AC821&gt;0.5),"Invalid Discount","Valid")</f>
        <v>Valid</v>
      </c>
      <c r="AU821" t="str">
        <f>IF(G821&lt;E821,"Invalid Shipping Record","Valid")</f>
        <v>Valid</v>
      </c>
      <c r="AV821" t="str">
        <f>IF(OR(AL821="Cancelled",AH821="Failed"),"Exclude","Include")</f>
        <v>Exclude</v>
      </c>
      <c r="AW821" t="str">
        <f t="shared" si="284"/>
        <v>Match</v>
      </c>
      <c r="AX821" t="str">
        <f t="shared" si="285"/>
        <v>Match</v>
      </c>
    </row>
    <row r="822" spans="1:50">
      <c r="A822" t="s">
        <v>3764</v>
      </c>
      <c r="B822">
        <f t="shared" si="286"/>
        <v>1</v>
      </c>
      <c r="C822" t="str">
        <f t="shared" si="274"/>
        <v/>
      </c>
      <c r="D822" s="3" t="s">
        <v>3765</v>
      </c>
      <c r="E822" s="7">
        <v>45694</v>
      </c>
      <c r="F822" s="3" t="s">
        <v>3766</v>
      </c>
      <c r="G822" s="7">
        <v>45698</v>
      </c>
      <c r="H822" s="7" t="str">
        <f t="shared" si="265"/>
        <v>Valid</v>
      </c>
      <c r="I822" s="9">
        <f t="shared" si="266"/>
        <v>4</v>
      </c>
      <c r="J822" s="9" t="str">
        <f t="shared" si="267"/>
        <v>Valid</v>
      </c>
      <c r="K822" t="s">
        <v>3767</v>
      </c>
      <c r="L822" t="s">
        <v>71</v>
      </c>
      <c r="M822" t="s">
        <v>71</v>
      </c>
      <c r="N822" t="s">
        <v>114</v>
      </c>
      <c r="O822" s="3" t="str">
        <f t="shared" si="268"/>
        <v>Home Office</v>
      </c>
      <c r="P822" t="s">
        <v>26</v>
      </c>
      <c r="Q822" s="3" t="str">
        <f t="shared" si="269"/>
        <v>North</v>
      </c>
      <c r="R822" t="s">
        <v>173</v>
      </c>
      <c r="S822" t="s">
        <v>174</v>
      </c>
      <c r="T822" t="s">
        <v>44</v>
      </c>
      <c r="U822" s="3" t="str">
        <f t="shared" si="270"/>
        <v>Furniture</v>
      </c>
      <c r="V822" t="s">
        <v>203</v>
      </c>
      <c r="W822" t="s">
        <v>3768</v>
      </c>
      <c r="X822" t="s">
        <v>66</v>
      </c>
      <c r="Y822" s="3" t="str">
        <f t="shared" si="271"/>
        <v>Standard Class</v>
      </c>
      <c r="Z822">
        <v>2</v>
      </c>
      <c r="AA822">
        <v>319.57</v>
      </c>
      <c r="AB822">
        <v>0.2</v>
      </c>
      <c r="AC822">
        <f t="shared" si="272"/>
        <v>0.2</v>
      </c>
      <c r="AD822" t="str">
        <f t="shared" si="275"/>
        <v>Valid</v>
      </c>
      <c r="AE822">
        <v>511.31</v>
      </c>
      <c r="AF822">
        <v>436.43</v>
      </c>
      <c r="AG822">
        <v>74.88</v>
      </c>
      <c r="AH822" t="s">
        <v>33</v>
      </c>
      <c r="AI822" t="str">
        <f t="shared" si="276"/>
        <v>Include</v>
      </c>
      <c r="AJ822" t="str">
        <f t="shared" si="277"/>
        <v/>
      </c>
      <c r="AK822" t="s">
        <v>34</v>
      </c>
      <c r="AL822" t="str">
        <f t="shared" si="273"/>
        <v>Completed</v>
      </c>
      <c r="AM822" t="str">
        <f t="shared" si="278"/>
        <v>Include</v>
      </c>
      <c r="AN822">
        <f t="shared" si="279"/>
        <v>511.31200000000001</v>
      </c>
      <c r="AO822">
        <f t="shared" si="280"/>
        <v>74.882000000000005</v>
      </c>
      <c r="AP822">
        <f>IF(AN822=0,0,AO822/AN822)</f>
        <v>0.14645069937728825</v>
      </c>
      <c r="AQ822" t="str">
        <f t="shared" si="281"/>
        <v>February</v>
      </c>
      <c r="AR822">
        <f t="shared" si="282"/>
        <v>2025</v>
      </c>
      <c r="AS822" t="str">
        <f t="shared" si="283"/>
        <v>Clean</v>
      </c>
      <c r="AT822" t="str">
        <f>IF(OR(AC822&lt;0,AC822&gt;0.5),"Invalid Discount","Valid")</f>
        <v>Valid</v>
      </c>
      <c r="AU822" t="str">
        <f>IF(G822&lt;E822,"Invalid Shipping Record","Valid")</f>
        <v>Valid</v>
      </c>
      <c r="AV822" t="str">
        <f>IF(OR(AL822="Cancelled",AH822="Failed"),"Exclude","Include")</f>
        <v>Include</v>
      </c>
      <c r="AW822" t="str">
        <f t="shared" si="284"/>
        <v>Match</v>
      </c>
      <c r="AX822" t="str">
        <f t="shared" si="285"/>
        <v>Match</v>
      </c>
    </row>
    <row r="823" spans="1:50">
      <c r="A823" t="s">
        <v>3769</v>
      </c>
      <c r="B823">
        <f t="shared" si="286"/>
        <v>1</v>
      </c>
      <c r="C823" t="str">
        <f t="shared" si="274"/>
        <v/>
      </c>
      <c r="D823" s="3" t="s">
        <v>3770</v>
      </c>
      <c r="E823" s="7">
        <v>45476</v>
      </c>
      <c r="F823" s="3" t="s">
        <v>3771</v>
      </c>
      <c r="G823" s="7">
        <v>45479</v>
      </c>
      <c r="H823" s="7" t="str">
        <f t="shared" si="265"/>
        <v>Valid</v>
      </c>
      <c r="I823" s="9">
        <f t="shared" si="266"/>
        <v>3</v>
      </c>
      <c r="J823" s="9" t="str">
        <f t="shared" si="267"/>
        <v>Valid</v>
      </c>
      <c r="K823" t="s">
        <v>3772</v>
      </c>
      <c r="L823" t="s">
        <v>161</v>
      </c>
      <c r="M823" t="s">
        <v>161</v>
      </c>
      <c r="N823" t="s">
        <v>107</v>
      </c>
      <c r="O823" s="3" t="str">
        <f t="shared" si="268"/>
        <v>Corporate</v>
      </c>
      <c r="P823" t="s">
        <v>61</v>
      </c>
      <c r="Q823" s="3" t="str">
        <f t="shared" si="269"/>
        <v>South</v>
      </c>
      <c r="R823" t="s">
        <v>228</v>
      </c>
      <c r="S823" t="s">
        <v>229</v>
      </c>
      <c r="T823" t="s">
        <v>85</v>
      </c>
      <c r="U823" s="3" t="str">
        <f t="shared" si="270"/>
        <v>Technology</v>
      </c>
      <c r="V823" t="s">
        <v>86</v>
      </c>
      <c r="W823" t="s">
        <v>3773</v>
      </c>
      <c r="X823" t="s">
        <v>55</v>
      </c>
      <c r="Y823" s="3" t="str">
        <f t="shared" si="271"/>
        <v>First Class</v>
      </c>
      <c r="Z823">
        <v>7</v>
      </c>
      <c r="AA823">
        <v>1942.49</v>
      </c>
      <c r="AB823">
        <v>0.2</v>
      </c>
      <c r="AC823">
        <f t="shared" si="272"/>
        <v>0.2</v>
      </c>
      <c r="AD823" t="str">
        <f t="shared" si="275"/>
        <v>Valid</v>
      </c>
      <c r="AE823">
        <v>10877.94</v>
      </c>
      <c r="AF823">
        <v>9110.14</v>
      </c>
      <c r="AG823">
        <v>1767.8</v>
      </c>
      <c r="AH823" t="s">
        <v>33</v>
      </c>
      <c r="AI823" t="str">
        <f t="shared" si="276"/>
        <v>Include</v>
      </c>
      <c r="AJ823" t="str">
        <f t="shared" si="277"/>
        <v/>
      </c>
      <c r="AK823" t="s">
        <v>34</v>
      </c>
      <c r="AL823" t="str">
        <f t="shared" si="273"/>
        <v>Completed</v>
      </c>
      <c r="AM823" t="str">
        <f t="shared" si="278"/>
        <v>Include</v>
      </c>
      <c r="AN823">
        <f t="shared" si="279"/>
        <v>10877.944000000001</v>
      </c>
      <c r="AO823">
        <f t="shared" si="280"/>
        <v>1767.8040000000019</v>
      </c>
      <c r="AP823">
        <f>IF(AN823=0,0,AO823/AN823)</f>
        <v>0.16251269541376584</v>
      </c>
      <c r="AQ823" t="str">
        <f t="shared" si="281"/>
        <v>July</v>
      </c>
      <c r="AR823">
        <f t="shared" si="282"/>
        <v>2024</v>
      </c>
      <c r="AS823" t="str">
        <f t="shared" si="283"/>
        <v>Clean</v>
      </c>
      <c r="AT823" t="str">
        <f>IF(OR(AC823&lt;0,AC823&gt;0.5),"Invalid Discount","Valid")</f>
        <v>Valid</v>
      </c>
      <c r="AU823" t="str">
        <f>IF(G823&lt;E823,"Invalid Shipping Record","Valid")</f>
        <v>Valid</v>
      </c>
      <c r="AV823" t="str">
        <f>IF(OR(AL823="Cancelled",AH823="Failed"),"Exclude","Include")</f>
        <v>Include</v>
      </c>
      <c r="AW823" t="str">
        <f t="shared" si="284"/>
        <v>Match</v>
      </c>
      <c r="AX823" t="str">
        <f t="shared" si="285"/>
        <v>Match</v>
      </c>
    </row>
    <row r="824" spans="1:50">
      <c r="A824" t="s">
        <v>3774</v>
      </c>
      <c r="B824">
        <f t="shared" si="286"/>
        <v>1</v>
      </c>
      <c r="C824" t="str">
        <f t="shared" si="274"/>
        <v/>
      </c>
      <c r="D824" s="3" t="s">
        <v>3775</v>
      </c>
      <c r="E824" s="7">
        <v>45577</v>
      </c>
      <c r="F824" s="3" t="s">
        <v>3776</v>
      </c>
      <c r="G824" s="7">
        <v>45573</v>
      </c>
      <c r="H824" s="7" t="str">
        <f t="shared" si="265"/>
        <v>Invalid Shipping Record</v>
      </c>
      <c r="I824" s="9">
        <f t="shared" si="266"/>
        <v>-4</v>
      </c>
      <c r="J824" s="9" t="str">
        <f t="shared" si="267"/>
        <v>Invalid Shipping Record</v>
      </c>
      <c r="K824" t="s">
        <v>3777</v>
      </c>
      <c r="L824" t="s">
        <v>39</v>
      </c>
      <c r="M824" t="s">
        <v>39</v>
      </c>
      <c r="N824" t="s">
        <v>107</v>
      </c>
      <c r="O824" s="3" t="str">
        <f t="shared" si="268"/>
        <v>Corporate</v>
      </c>
      <c r="P824" t="s">
        <v>41</v>
      </c>
      <c r="Q824" s="3" t="str">
        <f t="shared" si="269"/>
        <v>East</v>
      </c>
      <c r="R824" t="s">
        <v>215</v>
      </c>
      <c r="S824" t="s">
        <v>216</v>
      </c>
      <c r="T824" t="s">
        <v>44</v>
      </c>
      <c r="U824" s="3" t="str">
        <f t="shared" si="270"/>
        <v>Furniture</v>
      </c>
      <c r="V824" t="s">
        <v>64</v>
      </c>
      <c r="W824" t="s">
        <v>3778</v>
      </c>
      <c r="X824" t="s">
        <v>32</v>
      </c>
      <c r="Y824" s="3" t="str">
        <f t="shared" si="271"/>
        <v>Second Class</v>
      </c>
      <c r="Z824">
        <v>4</v>
      </c>
      <c r="AA824">
        <v>3202.04</v>
      </c>
      <c r="AB824">
        <v>0.2</v>
      </c>
      <c r="AC824">
        <f t="shared" si="272"/>
        <v>0.2</v>
      </c>
      <c r="AD824" t="str">
        <f t="shared" si="275"/>
        <v>Valid</v>
      </c>
      <c r="AE824">
        <v>10246.530000000001</v>
      </c>
      <c r="AF824">
        <v>8634.42</v>
      </c>
      <c r="AG824">
        <v>1612.11</v>
      </c>
      <c r="AH824" t="s">
        <v>136</v>
      </c>
      <c r="AI824" t="str">
        <f t="shared" si="276"/>
        <v>Include</v>
      </c>
      <c r="AJ824" t="str">
        <f t="shared" si="277"/>
        <v/>
      </c>
      <c r="AK824" t="s">
        <v>124</v>
      </c>
      <c r="AL824" t="str">
        <f t="shared" si="273"/>
        <v>Returned</v>
      </c>
      <c r="AM824" t="str">
        <f t="shared" si="278"/>
        <v>Include</v>
      </c>
      <c r="AN824">
        <f t="shared" si="279"/>
        <v>10246.528</v>
      </c>
      <c r="AO824">
        <f t="shared" si="280"/>
        <v>1612.1080000000002</v>
      </c>
      <c r="AP824">
        <f>IF(AN824=0,0,AO824/AN824)</f>
        <v>0.15733212264681268</v>
      </c>
      <c r="AQ824" t="str">
        <f t="shared" si="281"/>
        <v>October</v>
      </c>
      <c r="AR824">
        <f t="shared" si="282"/>
        <v>2024</v>
      </c>
      <c r="AS824" t="str">
        <f t="shared" si="283"/>
        <v>Invalid</v>
      </c>
      <c r="AT824" t="str">
        <f>IF(OR(AC824&lt;0,AC824&gt;0.5),"Invalid Discount","Valid")</f>
        <v>Valid</v>
      </c>
      <c r="AU824" t="str">
        <f>IF(G824&lt;E824,"Invalid Shipping Record","Valid")</f>
        <v>Invalid Shipping Record</v>
      </c>
      <c r="AV824" t="str">
        <f>IF(OR(AL824="Cancelled",AH824="Failed"),"Exclude","Include")</f>
        <v>Include</v>
      </c>
      <c r="AW824" t="str">
        <f t="shared" si="284"/>
        <v>Match</v>
      </c>
      <c r="AX824" t="str">
        <f t="shared" si="285"/>
        <v>Match</v>
      </c>
    </row>
    <row r="825" spans="1:50">
      <c r="A825" t="s">
        <v>3779</v>
      </c>
      <c r="B825">
        <f t="shared" si="286"/>
        <v>1</v>
      </c>
      <c r="C825" t="str">
        <f t="shared" si="274"/>
        <v/>
      </c>
      <c r="D825" s="3" t="s">
        <v>3780</v>
      </c>
      <c r="E825" s="7">
        <v>45663</v>
      </c>
      <c r="F825" s="3" t="s">
        <v>2177</v>
      </c>
      <c r="G825" s="7">
        <v>45669</v>
      </c>
      <c r="H825" s="7" t="str">
        <f t="shared" si="265"/>
        <v>Valid</v>
      </c>
      <c r="I825" s="9">
        <f t="shared" si="266"/>
        <v>6</v>
      </c>
      <c r="J825" s="9" t="str">
        <f t="shared" si="267"/>
        <v>Valid</v>
      </c>
      <c r="K825" t="s">
        <v>3781</v>
      </c>
      <c r="L825" t="s">
        <v>39</v>
      </c>
      <c r="M825" t="s">
        <v>39</v>
      </c>
      <c r="N825" t="s">
        <v>114</v>
      </c>
      <c r="O825" s="3" t="str">
        <f t="shared" si="268"/>
        <v>Home Office</v>
      </c>
      <c r="P825" t="s">
        <v>72</v>
      </c>
      <c r="Q825" s="3" t="str">
        <f t="shared" si="269"/>
        <v>West</v>
      </c>
      <c r="R825" t="s">
        <v>248</v>
      </c>
      <c r="S825" t="s">
        <v>249</v>
      </c>
      <c r="T825" t="s">
        <v>29</v>
      </c>
      <c r="U825" s="3" t="str">
        <f t="shared" si="270"/>
        <v>Office Supplies</v>
      </c>
      <c r="V825" t="s">
        <v>30</v>
      </c>
      <c r="W825" t="s">
        <v>3782</v>
      </c>
      <c r="X825" t="s">
        <v>47</v>
      </c>
      <c r="Y825" s="3" t="str">
        <f t="shared" si="271"/>
        <v>Same Day</v>
      </c>
      <c r="Z825">
        <v>3</v>
      </c>
      <c r="AA825">
        <v>668.33</v>
      </c>
      <c r="AB825">
        <v>0.15</v>
      </c>
      <c r="AC825">
        <f t="shared" si="272"/>
        <v>0.15</v>
      </c>
      <c r="AD825" t="str">
        <f t="shared" si="275"/>
        <v>Valid</v>
      </c>
      <c r="AE825">
        <v>1704.24</v>
      </c>
      <c r="AF825">
        <v>957.55</v>
      </c>
      <c r="AG825">
        <v>746.69</v>
      </c>
      <c r="AH825" t="s">
        <v>33</v>
      </c>
      <c r="AI825" t="str">
        <f t="shared" si="276"/>
        <v>Include</v>
      </c>
      <c r="AJ825" t="str">
        <f t="shared" si="277"/>
        <v/>
      </c>
      <c r="AK825" t="s">
        <v>34</v>
      </c>
      <c r="AL825" t="str">
        <f t="shared" si="273"/>
        <v>Completed</v>
      </c>
      <c r="AM825" t="str">
        <f t="shared" si="278"/>
        <v>Include</v>
      </c>
      <c r="AN825">
        <f t="shared" si="279"/>
        <v>1704.2415000000001</v>
      </c>
      <c r="AO825">
        <f t="shared" si="280"/>
        <v>746.69150000000013</v>
      </c>
      <c r="AP825">
        <f>IF(AN825=0,0,AO825/AN825)</f>
        <v>0.43813714194848563</v>
      </c>
      <c r="AQ825" t="str">
        <f t="shared" si="281"/>
        <v>January</v>
      </c>
      <c r="AR825">
        <f t="shared" si="282"/>
        <v>2025</v>
      </c>
      <c r="AS825" t="str">
        <f t="shared" si="283"/>
        <v>Clean</v>
      </c>
      <c r="AT825" t="str">
        <f>IF(OR(AC825&lt;0,AC825&gt;0.5),"Invalid Discount","Valid")</f>
        <v>Valid</v>
      </c>
      <c r="AU825" t="str">
        <f>IF(G825&lt;E825,"Invalid Shipping Record","Valid")</f>
        <v>Valid</v>
      </c>
      <c r="AV825" t="str">
        <f>IF(OR(AL825="Cancelled",AH825="Failed"),"Exclude","Include")</f>
        <v>Include</v>
      </c>
      <c r="AW825" t="str">
        <f t="shared" si="284"/>
        <v>Match</v>
      </c>
      <c r="AX825" t="str">
        <f t="shared" si="285"/>
        <v>Match</v>
      </c>
    </row>
    <row r="826" spans="1:50">
      <c r="A826" t="s">
        <v>3783</v>
      </c>
      <c r="B826">
        <f t="shared" si="286"/>
        <v>1</v>
      </c>
      <c r="C826" t="str">
        <f t="shared" si="274"/>
        <v/>
      </c>
      <c r="D826" s="3" t="s">
        <v>3784</v>
      </c>
      <c r="E826" s="7">
        <v>45737</v>
      </c>
      <c r="F826" s="3" t="s">
        <v>2114</v>
      </c>
      <c r="G826" s="7">
        <v>45738</v>
      </c>
      <c r="H826" s="7" t="str">
        <f t="shared" si="265"/>
        <v>Valid</v>
      </c>
      <c r="I826" s="9">
        <f t="shared" si="266"/>
        <v>1</v>
      </c>
      <c r="J826" s="9" t="str">
        <f t="shared" si="267"/>
        <v>Valid</v>
      </c>
      <c r="K826" t="s">
        <v>3785</v>
      </c>
      <c r="L826" t="s">
        <v>141</v>
      </c>
      <c r="M826" t="s">
        <v>141</v>
      </c>
      <c r="N826" t="s">
        <v>25</v>
      </c>
      <c r="O826" s="3" t="str">
        <f t="shared" si="268"/>
        <v>Consumer</v>
      </c>
      <c r="P826" t="s">
        <v>72</v>
      </c>
      <c r="Q826" s="3" t="str">
        <f t="shared" si="269"/>
        <v>West</v>
      </c>
      <c r="R826" t="s">
        <v>248</v>
      </c>
      <c r="S826" t="s">
        <v>249</v>
      </c>
      <c r="T826" t="s">
        <v>29</v>
      </c>
      <c r="U826" s="3" t="str">
        <f t="shared" si="270"/>
        <v>Office Supplies</v>
      </c>
      <c r="V826" t="s">
        <v>30</v>
      </c>
      <c r="W826" t="s">
        <v>3786</v>
      </c>
      <c r="X826" t="s">
        <v>55</v>
      </c>
      <c r="Y826" s="3" t="str">
        <f t="shared" si="271"/>
        <v>First Class</v>
      </c>
      <c r="Z826">
        <v>8</v>
      </c>
      <c r="AA826">
        <v>4436.74</v>
      </c>
      <c r="AB826">
        <v>0.05</v>
      </c>
      <c r="AC826">
        <f t="shared" si="272"/>
        <v>0.05</v>
      </c>
      <c r="AD826" t="str">
        <f t="shared" si="275"/>
        <v>Valid</v>
      </c>
      <c r="AE826">
        <v>33719.22</v>
      </c>
      <c r="AF826">
        <v>28924.43</v>
      </c>
      <c r="AG826">
        <v>4794.79</v>
      </c>
      <c r="AH826" t="s">
        <v>33</v>
      </c>
      <c r="AI826" t="str">
        <f t="shared" si="276"/>
        <v>Include</v>
      </c>
      <c r="AJ826" t="str">
        <f t="shared" si="277"/>
        <v/>
      </c>
      <c r="AK826" t="s">
        <v>34</v>
      </c>
      <c r="AL826" t="str">
        <f t="shared" si="273"/>
        <v>Completed</v>
      </c>
      <c r="AM826" t="str">
        <f t="shared" si="278"/>
        <v>Include</v>
      </c>
      <c r="AN826">
        <f t="shared" si="279"/>
        <v>33719.223999999995</v>
      </c>
      <c r="AO826">
        <f t="shared" si="280"/>
        <v>4794.7939999999944</v>
      </c>
      <c r="AP826">
        <f>IF(AN826=0,0,AO826/AN826)</f>
        <v>0.14219763776295669</v>
      </c>
      <c r="AQ826" t="str">
        <f t="shared" si="281"/>
        <v>March</v>
      </c>
      <c r="AR826">
        <f t="shared" si="282"/>
        <v>2025</v>
      </c>
      <c r="AS826" t="str">
        <f t="shared" si="283"/>
        <v>Clean</v>
      </c>
      <c r="AT826" t="str">
        <f>IF(OR(AC826&lt;0,AC826&gt;0.5),"Invalid Discount","Valid")</f>
        <v>Valid</v>
      </c>
      <c r="AU826" t="str">
        <f>IF(G826&lt;E826,"Invalid Shipping Record","Valid")</f>
        <v>Valid</v>
      </c>
      <c r="AV826" t="str">
        <f>IF(OR(AL826="Cancelled",AH826="Failed"),"Exclude","Include")</f>
        <v>Include</v>
      </c>
      <c r="AW826" t="str">
        <f t="shared" si="284"/>
        <v>Match</v>
      </c>
      <c r="AX826" t="str">
        <f t="shared" si="285"/>
        <v>Match</v>
      </c>
    </row>
    <row r="827" spans="1:50">
      <c r="A827" t="s">
        <v>3787</v>
      </c>
      <c r="B827">
        <f t="shared" si="286"/>
        <v>1</v>
      </c>
      <c r="C827" t="str">
        <f t="shared" si="274"/>
        <v/>
      </c>
      <c r="D827" s="3" t="s">
        <v>3788</v>
      </c>
      <c r="E827" s="7">
        <v>45763</v>
      </c>
      <c r="F827" s="3" t="s">
        <v>3789</v>
      </c>
      <c r="G827" s="7">
        <v>45764</v>
      </c>
      <c r="H827" s="7" t="str">
        <f t="shared" si="265"/>
        <v>Valid</v>
      </c>
      <c r="I827" s="9">
        <f t="shared" si="266"/>
        <v>1</v>
      </c>
      <c r="J827" s="9" t="str">
        <f t="shared" si="267"/>
        <v>Valid</v>
      </c>
      <c r="K827" t="s">
        <v>3790</v>
      </c>
      <c r="L827" t="s">
        <v>82</v>
      </c>
      <c r="M827" t="s">
        <v>82</v>
      </c>
      <c r="N827" t="s">
        <v>40</v>
      </c>
      <c r="O827" s="3" t="str">
        <f t="shared" si="268"/>
        <v>Small Business</v>
      </c>
      <c r="P827" t="s">
        <v>26</v>
      </c>
      <c r="Q827" s="3" t="str">
        <f t="shared" si="269"/>
        <v>North</v>
      </c>
      <c r="R827" t="s">
        <v>173</v>
      </c>
      <c r="S827" t="s">
        <v>174</v>
      </c>
      <c r="T827" t="s">
        <v>85</v>
      </c>
      <c r="U827" s="3" t="str">
        <f t="shared" si="270"/>
        <v>Technology</v>
      </c>
      <c r="V827" t="s">
        <v>381</v>
      </c>
      <c r="W827" t="s">
        <v>3791</v>
      </c>
      <c r="X827" t="s">
        <v>55</v>
      </c>
      <c r="Y827" s="3" t="str">
        <f t="shared" si="271"/>
        <v>First Class</v>
      </c>
      <c r="Z827">
        <v>1</v>
      </c>
      <c r="AA827">
        <v>2720.17</v>
      </c>
      <c r="AB827">
        <v>0</v>
      </c>
      <c r="AC827">
        <f t="shared" si="272"/>
        <v>0</v>
      </c>
      <c r="AD827" t="str">
        <f t="shared" si="275"/>
        <v>Valid</v>
      </c>
      <c r="AE827">
        <v>2720.17</v>
      </c>
      <c r="AF827">
        <v>1834.23</v>
      </c>
      <c r="AG827">
        <v>885.94</v>
      </c>
      <c r="AH827" t="s">
        <v>33</v>
      </c>
      <c r="AI827" t="str">
        <f t="shared" si="276"/>
        <v>Include</v>
      </c>
      <c r="AJ827" t="str">
        <f t="shared" si="277"/>
        <v/>
      </c>
      <c r="AK827" t="s">
        <v>34</v>
      </c>
      <c r="AL827" t="str">
        <f t="shared" si="273"/>
        <v>Completed</v>
      </c>
      <c r="AM827" t="str">
        <f t="shared" si="278"/>
        <v>Include</v>
      </c>
      <c r="AN827">
        <f t="shared" si="279"/>
        <v>2720.17</v>
      </c>
      <c r="AO827">
        <f t="shared" si="280"/>
        <v>885.94</v>
      </c>
      <c r="AP827">
        <f>IF(AN827=0,0,AO827/AN827)</f>
        <v>0.3256928794891496</v>
      </c>
      <c r="AQ827" t="str">
        <f t="shared" si="281"/>
        <v>April</v>
      </c>
      <c r="AR827">
        <f t="shared" si="282"/>
        <v>2025</v>
      </c>
      <c r="AS827" t="str">
        <f t="shared" si="283"/>
        <v>Clean</v>
      </c>
      <c r="AT827" t="str">
        <f>IF(OR(AC827&lt;0,AC827&gt;0.5),"Invalid Discount","Valid")</f>
        <v>Valid</v>
      </c>
      <c r="AU827" t="str">
        <f>IF(G827&lt;E827,"Invalid Shipping Record","Valid")</f>
        <v>Valid</v>
      </c>
      <c r="AV827" t="str">
        <f>IF(OR(AL827="Cancelled",AH827="Failed"),"Exclude","Include")</f>
        <v>Include</v>
      </c>
      <c r="AW827" t="str">
        <f t="shared" si="284"/>
        <v>Match</v>
      </c>
      <c r="AX827" t="str">
        <f t="shared" si="285"/>
        <v>Match</v>
      </c>
    </row>
    <row r="828" spans="1:50">
      <c r="A828" t="s">
        <v>3792</v>
      </c>
      <c r="B828">
        <f t="shared" si="286"/>
        <v>1</v>
      </c>
      <c r="C828" t="str">
        <f t="shared" si="274"/>
        <v/>
      </c>
      <c r="D828" s="3" t="s">
        <v>3102</v>
      </c>
      <c r="E828" s="7">
        <v>45879</v>
      </c>
      <c r="F828" s="3" t="s">
        <v>3793</v>
      </c>
      <c r="G828" s="7">
        <v>45883</v>
      </c>
      <c r="H828" s="7" t="str">
        <f t="shared" si="265"/>
        <v>Valid</v>
      </c>
      <c r="I828" s="9">
        <f t="shared" si="266"/>
        <v>4</v>
      </c>
      <c r="J828" s="9" t="str">
        <f t="shared" si="267"/>
        <v>Valid</v>
      </c>
      <c r="K828" t="s">
        <v>3794</v>
      </c>
      <c r="L828" t="s">
        <v>106</v>
      </c>
      <c r="M828" t="s">
        <v>106</v>
      </c>
      <c r="N828" t="s">
        <v>25</v>
      </c>
      <c r="O828" s="3" t="str">
        <f t="shared" si="268"/>
        <v>Consumer</v>
      </c>
      <c r="P828" t="s">
        <v>72</v>
      </c>
      <c r="Q828" s="3" t="str">
        <f t="shared" si="269"/>
        <v>West</v>
      </c>
      <c r="R828" t="s">
        <v>27</v>
      </c>
      <c r="S828" t="s">
        <v>134</v>
      </c>
      <c r="T828" t="s">
        <v>85</v>
      </c>
      <c r="U828" s="3" t="str">
        <f t="shared" si="270"/>
        <v>Technology</v>
      </c>
      <c r="V828" t="s">
        <v>86</v>
      </c>
      <c r="W828" t="s">
        <v>3795</v>
      </c>
      <c r="X828" t="s">
        <v>66</v>
      </c>
      <c r="Y828" s="3" t="str">
        <f t="shared" si="271"/>
        <v>Standard Class</v>
      </c>
      <c r="Z828">
        <v>5</v>
      </c>
      <c r="AA828">
        <v>2190.14</v>
      </c>
      <c r="AB828">
        <v>0.25</v>
      </c>
      <c r="AC828">
        <f t="shared" si="272"/>
        <v>0.25</v>
      </c>
      <c r="AD828" t="str">
        <f t="shared" si="275"/>
        <v>Valid</v>
      </c>
      <c r="AE828">
        <v>8213.02</v>
      </c>
      <c r="AF828">
        <v>5569.3</v>
      </c>
      <c r="AG828">
        <v>2643.72</v>
      </c>
      <c r="AH828" t="s">
        <v>33</v>
      </c>
      <c r="AI828" t="str">
        <f t="shared" si="276"/>
        <v>Include</v>
      </c>
      <c r="AJ828" t="str">
        <f t="shared" si="277"/>
        <v/>
      </c>
      <c r="AK828" t="s">
        <v>34</v>
      </c>
      <c r="AL828" t="str">
        <f t="shared" si="273"/>
        <v>Completed</v>
      </c>
      <c r="AM828" t="str">
        <f t="shared" si="278"/>
        <v>Include</v>
      </c>
      <c r="AN828">
        <f t="shared" si="279"/>
        <v>8213.0249999999996</v>
      </c>
      <c r="AO828">
        <f t="shared" si="280"/>
        <v>2643.7249999999995</v>
      </c>
      <c r="AP828">
        <f>IF(AN828=0,0,AO828/AN828)</f>
        <v>0.32189418636860345</v>
      </c>
      <c r="AQ828" t="str">
        <f t="shared" si="281"/>
        <v>August</v>
      </c>
      <c r="AR828">
        <f t="shared" si="282"/>
        <v>2025</v>
      </c>
      <c r="AS828" t="str">
        <f t="shared" si="283"/>
        <v>Clean</v>
      </c>
      <c r="AT828" t="str">
        <f>IF(OR(AC828&lt;0,AC828&gt;0.5),"Invalid Discount","Valid")</f>
        <v>Valid</v>
      </c>
      <c r="AU828" t="str">
        <f>IF(G828&lt;E828,"Invalid Shipping Record","Valid")</f>
        <v>Valid</v>
      </c>
      <c r="AV828" t="str">
        <f>IF(OR(AL828="Cancelled",AH828="Failed"),"Exclude","Include")</f>
        <v>Include</v>
      </c>
      <c r="AW828" t="str">
        <f t="shared" si="284"/>
        <v>Mismatch</v>
      </c>
      <c r="AX828" t="str">
        <f t="shared" si="285"/>
        <v>Mismatch</v>
      </c>
    </row>
    <row r="829" spans="1:50">
      <c r="A829" t="s">
        <v>3796</v>
      </c>
      <c r="B829">
        <f t="shared" si="286"/>
        <v>1</v>
      </c>
      <c r="C829" t="str">
        <f t="shared" si="274"/>
        <v/>
      </c>
      <c r="D829" s="3" t="s">
        <v>3797</v>
      </c>
      <c r="E829" s="7">
        <v>45620</v>
      </c>
      <c r="F829" s="3" t="s">
        <v>1749</v>
      </c>
      <c r="G829" s="7">
        <v>45627</v>
      </c>
      <c r="H829" s="7" t="str">
        <f t="shared" si="265"/>
        <v>Valid</v>
      </c>
      <c r="I829" s="9">
        <f t="shared" si="266"/>
        <v>7</v>
      </c>
      <c r="J829" s="9" t="str">
        <f t="shared" si="267"/>
        <v>Valid</v>
      </c>
      <c r="K829" t="s">
        <v>3798</v>
      </c>
      <c r="L829" t="s">
        <v>141</v>
      </c>
      <c r="M829" t="s">
        <v>141</v>
      </c>
      <c r="N829" t="s">
        <v>114</v>
      </c>
      <c r="O829" s="3" t="str">
        <f t="shared" si="268"/>
        <v>Home Office</v>
      </c>
      <c r="P829" t="s">
        <v>61</v>
      </c>
      <c r="Q829" s="3" t="str">
        <f t="shared" si="269"/>
        <v>South</v>
      </c>
      <c r="R829" t="s">
        <v>338</v>
      </c>
      <c r="S829" t="s">
        <v>339</v>
      </c>
      <c r="T829" t="s">
        <v>29</v>
      </c>
      <c r="U829" s="3" t="str">
        <f t="shared" si="270"/>
        <v>Office Supplies</v>
      </c>
      <c r="V829" t="s">
        <v>30</v>
      </c>
      <c r="W829" t="s">
        <v>3799</v>
      </c>
      <c r="X829" t="s">
        <v>47</v>
      </c>
      <c r="Y829" s="3" t="str">
        <f t="shared" si="271"/>
        <v>Same Day</v>
      </c>
      <c r="Z829">
        <v>1</v>
      </c>
      <c r="AA829">
        <v>844.89</v>
      </c>
      <c r="AB829">
        <v>0.25</v>
      </c>
      <c r="AC829">
        <f t="shared" si="272"/>
        <v>0.25</v>
      </c>
      <c r="AD829" t="str">
        <f t="shared" si="275"/>
        <v>Valid</v>
      </c>
      <c r="AE829">
        <v>633.66999999999996</v>
      </c>
      <c r="AF829">
        <v>520.47</v>
      </c>
      <c r="AG829">
        <v>113.2</v>
      </c>
      <c r="AH829" t="s">
        <v>33</v>
      </c>
      <c r="AI829" t="str">
        <f t="shared" si="276"/>
        <v>Exclude</v>
      </c>
      <c r="AJ829" t="str">
        <f t="shared" si="277"/>
        <v/>
      </c>
      <c r="AK829" t="s">
        <v>77</v>
      </c>
      <c r="AL829" t="str">
        <f t="shared" si="273"/>
        <v>Cancelled</v>
      </c>
      <c r="AM829" t="str">
        <f t="shared" si="278"/>
        <v>Exclude</v>
      </c>
      <c r="AN829">
        <f t="shared" si="279"/>
        <v>633.66750000000002</v>
      </c>
      <c r="AO829">
        <f t="shared" si="280"/>
        <v>113.19749999999999</v>
      </c>
      <c r="AP829">
        <f>IF(AN829=0,0,AO829/AN829)</f>
        <v>0.17863863934950111</v>
      </c>
      <c r="AQ829" t="str">
        <f t="shared" si="281"/>
        <v>November</v>
      </c>
      <c r="AR829">
        <f t="shared" si="282"/>
        <v>2024</v>
      </c>
      <c r="AS829" t="str">
        <f t="shared" si="283"/>
        <v>Clean</v>
      </c>
      <c r="AT829" t="str">
        <f>IF(OR(AC829&lt;0,AC829&gt;0.5),"Invalid Discount","Valid")</f>
        <v>Valid</v>
      </c>
      <c r="AU829" t="str">
        <f>IF(G829&lt;E829,"Invalid Shipping Record","Valid")</f>
        <v>Valid</v>
      </c>
      <c r="AV829" t="str">
        <f>IF(OR(AL829="Cancelled",AH829="Failed"),"Exclude","Include")</f>
        <v>Exclude</v>
      </c>
      <c r="AW829" t="str">
        <f t="shared" si="284"/>
        <v>Match</v>
      </c>
      <c r="AX829" t="str">
        <f t="shared" si="285"/>
        <v>Match</v>
      </c>
    </row>
    <row r="830" spans="1:50">
      <c r="A830" t="s">
        <v>3800</v>
      </c>
      <c r="B830">
        <f t="shared" si="286"/>
        <v>1</v>
      </c>
      <c r="C830" t="str">
        <f t="shared" si="274"/>
        <v/>
      </c>
      <c r="D830" s="3" t="s">
        <v>3801</v>
      </c>
      <c r="E830" s="7">
        <v>45940</v>
      </c>
      <c r="F830" s="3" t="s">
        <v>3802</v>
      </c>
      <c r="G830" s="7">
        <v>45941</v>
      </c>
      <c r="H830" s="7" t="str">
        <f t="shared" si="265"/>
        <v>Valid</v>
      </c>
      <c r="I830" s="9">
        <f t="shared" si="266"/>
        <v>1</v>
      </c>
      <c r="J830" s="9" t="str">
        <f t="shared" si="267"/>
        <v>Valid</v>
      </c>
      <c r="K830" t="s">
        <v>3803</v>
      </c>
      <c r="L830" t="s">
        <v>24</v>
      </c>
      <c r="M830" t="s">
        <v>24</v>
      </c>
      <c r="N830" t="s">
        <v>107</v>
      </c>
      <c r="O830" s="3" t="str">
        <f t="shared" si="268"/>
        <v>Corporate</v>
      </c>
      <c r="P830" t="s">
        <v>41</v>
      </c>
      <c r="Q830" s="3" t="str">
        <f t="shared" si="269"/>
        <v>East</v>
      </c>
      <c r="R830" t="s">
        <v>42</v>
      </c>
      <c r="S830" t="s">
        <v>43</v>
      </c>
      <c r="T830" t="s">
        <v>44</v>
      </c>
      <c r="U830" s="3" t="str">
        <f t="shared" si="270"/>
        <v>Furniture</v>
      </c>
      <c r="V830" t="s">
        <v>75</v>
      </c>
      <c r="W830" t="s">
        <v>3804</v>
      </c>
      <c r="X830" t="s">
        <v>32</v>
      </c>
      <c r="Y830" s="3" t="str">
        <f t="shared" si="271"/>
        <v>Second Class</v>
      </c>
      <c r="Z830">
        <v>7</v>
      </c>
      <c r="AA830">
        <v>3791.96</v>
      </c>
      <c r="AB830">
        <v>0.05</v>
      </c>
      <c r="AC830">
        <f t="shared" si="272"/>
        <v>0.05</v>
      </c>
      <c r="AD830" t="str">
        <f t="shared" si="275"/>
        <v>Valid</v>
      </c>
      <c r="AE830">
        <v>25216.53</v>
      </c>
      <c r="AF830">
        <v>14216.94</v>
      </c>
      <c r="AG830">
        <v>10999.59</v>
      </c>
      <c r="AH830" t="s">
        <v>199</v>
      </c>
      <c r="AI830" t="str">
        <f t="shared" si="276"/>
        <v>Exclude</v>
      </c>
      <c r="AJ830" t="str">
        <f t="shared" si="277"/>
        <v/>
      </c>
      <c r="AK830" t="s">
        <v>77</v>
      </c>
      <c r="AL830" t="str">
        <f t="shared" si="273"/>
        <v>Cancelled</v>
      </c>
      <c r="AM830" t="str">
        <f t="shared" si="278"/>
        <v>Exclude</v>
      </c>
      <c r="AN830">
        <f t="shared" si="279"/>
        <v>25216.534</v>
      </c>
      <c r="AO830">
        <f t="shared" si="280"/>
        <v>10999.593999999999</v>
      </c>
      <c r="AP830">
        <f>IF(AN830=0,0,AO830/AN830)</f>
        <v>0.4362056260388521</v>
      </c>
      <c r="AQ830" t="str">
        <f t="shared" si="281"/>
        <v>October</v>
      </c>
      <c r="AR830">
        <f t="shared" si="282"/>
        <v>2025</v>
      </c>
      <c r="AS830" t="str">
        <f t="shared" si="283"/>
        <v>Clean</v>
      </c>
      <c r="AT830" t="str">
        <f>IF(OR(AC830&lt;0,AC830&gt;0.5),"Invalid Discount","Valid")</f>
        <v>Valid</v>
      </c>
      <c r="AU830" t="str">
        <f>IF(G830&lt;E830,"Invalid Shipping Record","Valid")</f>
        <v>Valid</v>
      </c>
      <c r="AV830" t="str">
        <f>IF(OR(AL830="Cancelled",AH830="Failed"),"Exclude","Include")</f>
        <v>Exclude</v>
      </c>
      <c r="AW830" t="str">
        <f t="shared" si="284"/>
        <v>Match</v>
      </c>
      <c r="AX830" t="str">
        <f t="shared" si="285"/>
        <v>Match</v>
      </c>
    </row>
    <row r="831" spans="1:50">
      <c r="A831" t="s">
        <v>3805</v>
      </c>
      <c r="B831">
        <f t="shared" si="286"/>
        <v>1</v>
      </c>
      <c r="C831" t="str">
        <f t="shared" si="274"/>
        <v/>
      </c>
      <c r="D831" s="3" t="s">
        <v>3806</v>
      </c>
      <c r="E831" s="7">
        <v>45348</v>
      </c>
      <c r="F831" s="3" t="s">
        <v>1473</v>
      </c>
      <c r="G831" s="7">
        <v>45350</v>
      </c>
      <c r="H831" s="7" t="str">
        <f t="shared" si="265"/>
        <v>Valid</v>
      </c>
      <c r="I831" s="9">
        <f t="shared" si="266"/>
        <v>2</v>
      </c>
      <c r="J831" s="9" t="str">
        <f t="shared" si="267"/>
        <v>Valid</v>
      </c>
      <c r="K831" t="s">
        <v>3807</v>
      </c>
      <c r="L831" t="s">
        <v>106</v>
      </c>
      <c r="M831" t="s">
        <v>106</v>
      </c>
      <c r="N831" t="s">
        <v>40</v>
      </c>
      <c r="O831" s="3" t="str">
        <f t="shared" si="268"/>
        <v>Small Business</v>
      </c>
      <c r="P831" t="s">
        <v>72</v>
      </c>
      <c r="Q831" s="3" t="str">
        <f t="shared" si="269"/>
        <v>West</v>
      </c>
      <c r="R831" t="s">
        <v>248</v>
      </c>
      <c r="S831" t="s">
        <v>249</v>
      </c>
      <c r="T831" t="s">
        <v>44</v>
      </c>
      <c r="U831" s="3" t="str">
        <f t="shared" si="270"/>
        <v>Furniture</v>
      </c>
      <c r="V831" t="s">
        <v>64</v>
      </c>
      <c r="W831" t="s">
        <v>3808</v>
      </c>
      <c r="X831" t="s">
        <v>32</v>
      </c>
      <c r="Y831" s="3" t="str">
        <f t="shared" si="271"/>
        <v>Second Class</v>
      </c>
      <c r="Z831">
        <v>7</v>
      </c>
      <c r="AA831">
        <v>1035.1400000000001</v>
      </c>
      <c r="AB831">
        <v>0.1</v>
      </c>
      <c r="AC831">
        <f t="shared" si="272"/>
        <v>0.1</v>
      </c>
      <c r="AD831" t="str">
        <f t="shared" si="275"/>
        <v>Valid</v>
      </c>
      <c r="AE831">
        <v>6521.38</v>
      </c>
      <c r="AF831">
        <v>4511.1000000000004</v>
      </c>
      <c r="AG831">
        <v>2010.28</v>
      </c>
      <c r="AH831" t="s">
        <v>33</v>
      </c>
      <c r="AI831" t="str">
        <f t="shared" si="276"/>
        <v>Include</v>
      </c>
      <c r="AJ831" t="str">
        <f t="shared" si="277"/>
        <v/>
      </c>
      <c r="AK831" t="s">
        <v>34</v>
      </c>
      <c r="AL831" t="str">
        <f t="shared" si="273"/>
        <v>Completed</v>
      </c>
      <c r="AM831" t="str">
        <f t="shared" si="278"/>
        <v>Include</v>
      </c>
      <c r="AN831">
        <f t="shared" si="279"/>
        <v>6521.3820000000005</v>
      </c>
      <c r="AO831">
        <f t="shared" si="280"/>
        <v>2010.2820000000002</v>
      </c>
      <c r="AP831">
        <f>IF(AN831=0,0,AO831/AN831)</f>
        <v>0.30826012032418892</v>
      </c>
      <c r="AQ831" t="str">
        <f t="shared" si="281"/>
        <v>February</v>
      </c>
      <c r="AR831">
        <f t="shared" si="282"/>
        <v>2024</v>
      </c>
      <c r="AS831" t="str">
        <f t="shared" si="283"/>
        <v>Clean</v>
      </c>
      <c r="AT831" t="str">
        <f>IF(OR(AC831&lt;0,AC831&gt;0.5),"Invalid Discount","Valid")</f>
        <v>Valid</v>
      </c>
      <c r="AU831" t="str">
        <f>IF(G831&lt;E831,"Invalid Shipping Record","Valid")</f>
        <v>Valid</v>
      </c>
      <c r="AV831" t="str">
        <f>IF(OR(AL831="Cancelled",AH831="Failed"),"Exclude","Include")</f>
        <v>Include</v>
      </c>
      <c r="AW831" t="str">
        <f t="shared" si="284"/>
        <v>Match</v>
      </c>
      <c r="AX831" t="str">
        <f t="shared" si="285"/>
        <v>Match</v>
      </c>
    </row>
    <row r="832" spans="1:50">
      <c r="A832" t="s">
        <v>3809</v>
      </c>
      <c r="B832">
        <f t="shared" si="286"/>
        <v>1</v>
      </c>
      <c r="C832" t="str">
        <f t="shared" si="274"/>
        <v/>
      </c>
      <c r="D832" s="3" t="s">
        <v>2907</v>
      </c>
      <c r="E832" s="7">
        <v>45853</v>
      </c>
      <c r="F832" s="3" t="s">
        <v>719</v>
      </c>
      <c r="G832" s="7">
        <v>45856</v>
      </c>
      <c r="H832" s="7" t="str">
        <f t="shared" si="265"/>
        <v>Valid</v>
      </c>
      <c r="I832" s="9">
        <f t="shared" si="266"/>
        <v>3</v>
      </c>
      <c r="J832" s="9" t="str">
        <f t="shared" si="267"/>
        <v>Valid</v>
      </c>
      <c r="K832" t="s">
        <v>3810</v>
      </c>
      <c r="L832" t="s">
        <v>106</v>
      </c>
      <c r="M832" t="s">
        <v>106</v>
      </c>
      <c r="N832" t="s">
        <v>40</v>
      </c>
      <c r="O832" s="3" t="str">
        <f t="shared" si="268"/>
        <v>Small Business</v>
      </c>
      <c r="Q832" s="3" t="str">
        <f t="shared" si="269"/>
        <v>Unknown</v>
      </c>
      <c r="R832" t="s">
        <v>338</v>
      </c>
      <c r="S832" t="s">
        <v>339</v>
      </c>
      <c r="T832" t="s">
        <v>85</v>
      </c>
      <c r="U832" s="3" t="str">
        <f t="shared" si="270"/>
        <v>Technology</v>
      </c>
      <c r="V832" t="s">
        <v>381</v>
      </c>
      <c r="W832" t="s">
        <v>3811</v>
      </c>
      <c r="X832" t="s">
        <v>55</v>
      </c>
      <c r="Y832" s="3" t="str">
        <f t="shared" si="271"/>
        <v>First Class</v>
      </c>
      <c r="Z832">
        <v>6</v>
      </c>
      <c r="AA832">
        <v>2382.88</v>
      </c>
      <c r="AB832">
        <v>0.1</v>
      </c>
      <c r="AC832">
        <f t="shared" si="272"/>
        <v>0.1</v>
      </c>
      <c r="AD832" t="str">
        <f t="shared" si="275"/>
        <v>Valid</v>
      </c>
      <c r="AE832">
        <v>12867.55</v>
      </c>
      <c r="AF832">
        <v>10068.94</v>
      </c>
      <c r="AG832">
        <v>2798.61</v>
      </c>
      <c r="AH832" t="s">
        <v>33</v>
      </c>
      <c r="AI832" t="str">
        <f t="shared" si="276"/>
        <v>Include</v>
      </c>
      <c r="AJ832" t="str">
        <f t="shared" si="277"/>
        <v/>
      </c>
      <c r="AK832" t="s">
        <v>34</v>
      </c>
      <c r="AL832" t="str">
        <f t="shared" si="273"/>
        <v>Completed</v>
      </c>
      <c r="AM832" t="str">
        <f t="shared" si="278"/>
        <v>Include</v>
      </c>
      <c r="AN832">
        <f t="shared" si="279"/>
        <v>12867.552000000001</v>
      </c>
      <c r="AO832">
        <f t="shared" si="280"/>
        <v>2798.612000000001</v>
      </c>
      <c r="AP832">
        <f>IF(AN832=0,0,AO832/AN832)</f>
        <v>0.21749373929089236</v>
      </c>
      <c r="AQ832" t="str">
        <f t="shared" si="281"/>
        <v>July</v>
      </c>
      <c r="AR832">
        <f t="shared" si="282"/>
        <v>2025</v>
      </c>
      <c r="AS832" t="str">
        <f t="shared" si="283"/>
        <v>Warning</v>
      </c>
      <c r="AT832" t="str">
        <f>IF(OR(AC832&lt;0,AC832&gt;0.5),"Invalid Discount","Valid")</f>
        <v>Valid</v>
      </c>
      <c r="AU832" t="str">
        <f>IF(G832&lt;E832,"Invalid Shipping Record","Valid")</f>
        <v>Valid</v>
      </c>
      <c r="AV832" t="str">
        <f>IF(OR(AL832="Cancelled",AH832="Failed"),"Exclude","Include")</f>
        <v>Include</v>
      </c>
      <c r="AW832" t="str">
        <f t="shared" si="284"/>
        <v>Match</v>
      </c>
      <c r="AX832" t="str">
        <f t="shared" si="285"/>
        <v>Match</v>
      </c>
    </row>
    <row r="833" spans="1:50">
      <c r="A833" t="s">
        <v>3812</v>
      </c>
      <c r="B833">
        <f t="shared" si="286"/>
        <v>1</v>
      </c>
      <c r="C833" t="str">
        <f t="shared" si="274"/>
        <v/>
      </c>
      <c r="D833" s="3" t="s">
        <v>468</v>
      </c>
      <c r="E833" s="7">
        <v>45750</v>
      </c>
      <c r="F833" s="3" t="s">
        <v>3254</v>
      </c>
      <c r="G833" s="7">
        <v>45750</v>
      </c>
      <c r="H833" s="7" t="str">
        <f t="shared" si="265"/>
        <v>Valid</v>
      </c>
      <c r="I833" s="9">
        <f t="shared" si="266"/>
        <v>0</v>
      </c>
      <c r="J833" s="9" t="str">
        <f t="shared" si="267"/>
        <v>Valid</v>
      </c>
      <c r="K833" t="s">
        <v>3813</v>
      </c>
      <c r="L833" t="s">
        <v>209</v>
      </c>
      <c r="M833" t="s">
        <v>209</v>
      </c>
      <c r="N833" t="s">
        <v>114</v>
      </c>
      <c r="O833" s="3" t="str">
        <f t="shared" si="268"/>
        <v>Home Office</v>
      </c>
      <c r="Q833" s="3" t="str">
        <f t="shared" si="269"/>
        <v>Unknown</v>
      </c>
      <c r="R833" t="s">
        <v>322</v>
      </c>
      <c r="S833" t="s">
        <v>323</v>
      </c>
      <c r="T833" t="s">
        <v>44</v>
      </c>
      <c r="U833" s="3" t="str">
        <f t="shared" si="270"/>
        <v>Furniture</v>
      </c>
      <c r="V833" t="s">
        <v>75</v>
      </c>
      <c r="W833" t="s">
        <v>3814</v>
      </c>
      <c r="X833" t="s">
        <v>55</v>
      </c>
      <c r="Y833" s="3" t="str">
        <f t="shared" si="271"/>
        <v>First Class</v>
      </c>
      <c r="Z833">
        <v>9</v>
      </c>
      <c r="AA833">
        <v>3462.7</v>
      </c>
      <c r="AB833">
        <v>0.15</v>
      </c>
      <c r="AC833">
        <f t="shared" si="272"/>
        <v>0.15</v>
      </c>
      <c r="AD833" t="str">
        <f t="shared" si="275"/>
        <v>Valid</v>
      </c>
      <c r="AE833">
        <v>26489.65</v>
      </c>
      <c r="AF833">
        <v>15818.46</v>
      </c>
      <c r="AG833">
        <v>10671.19</v>
      </c>
      <c r="AH833" t="s">
        <v>199</v>
      </c>
      <c r="AI833" t="str">
        <f t="shared" si="276"/>
        <v>Exclude</v>
      </c>
      <c r="AJ833" t="str">
        <f t="shared" si="277"/>
        <v/>
      </c>
      <c r="AK833" t="s">
        <v>124</v>
      </c>
      <c r="AL833" t="str">
        <f t="shared" si="273"/>
        <v>Returned</v>
      </c>
      <c r="AM833" t="str">
        <f t="shared" si="278"/>
        <v>Include</v>
      </c>
      <c r="AN833">
        <f t="shared" si="279"/>
        <v>26489.654999999999</v>
      </c>
      <c r="AO833">
        <f t="shared" si="280"/>
        <v>10671.195</v>
      </c>
      <c r="AP833">
        <f>IF(AN833=0,0,AO833/AN833)</f>
        <v>0.40284386489744772</v>
      </c>
      <c r="AQ833" t="str">
        <f t="shared" si="281"/>
        <v>April</v>
      </c>
      <c r="AR833">
        <f t="shared" si="282"/>
        <v>2025</v>
      </c>
      <c r="AS833" t="str">
        <f t="shared" si="283"/>
        <v>Warning</v>
      </c>
      <c r="AT833" t="str">
        <f>IF(OR(AC833&lt;0,AC833&gt;0.5),"Invalid Discount","Valid")</f>
        <v>Valid</v>
      </c>
      <c r="AU833" t="str">
        <f>IF(G833&lt;E833,"Invalid Shipping Record","Valid")</f>
        <v>Valid</v>
      </c>
      <c r="AV833" t="str">
        <f>IF(OR(AL833="Cancelled",AH833="Failed"),"Exclude","Include")</f>
        <v>Exclude</v>
      </c>
      <c r="AW833" t="str">
        <f t="shared" si="284"/>
        <v>Mismatch</v>
      </c>
      <c r="AX833" t="str">
        <f t="shared" si="285"/>
        <v>Mismatch</v>
      </c>
    </row>
    <row r="834" spans="1:50">
      <c r="A834" t="s">
        <v>3815</v>
      </c>
      <c r="B834">
        <f t="shared" si="286"/>
        <v>1</v>
      </c>
      <c r="C834" t="str">
        <f t="shared" si="274"/>
        <v/>
      </c>
      <c r="D834" s="3" t="s">
        <v>3816</v>
      </c>
      <c r="E834" s="7">
        <v>45803</v>
      </c>
      <c r="F834" s="3" t="s">
        <v>3817</v>
      </c>
      <c r="G834" s="7">
        <v>45805</v>
      </c>
      <c r="H834" s="7" t="str">
        <f t="shared" ref="H834:H897" si="287">IF(G834&lt;E834,"Invalid Shipping Record","Valid")</f>
        <v>Valid</v>
      </c>
      <c r="I834" s="9">
        <f t="shared" ref="I834:I897" si="288">G834-E834</f>
        <v>2</v>
      </c>
      <c r="J834" s="9" t="str">
        <f t="shared" ref="J834:J897" si="289">IF(OR(E834="",G834=""),"Missing Date",IF(OR(NOT(ISNUMBER(E834)),NOT(ISNUMBER(G834))),"Invalid Date",IF(G834&lt;E834,"Invalid Shipping Record","Valid")))</f>
        <v>Valid</v>
      </c>
      <c r="K834" t="s">
        <v>3818</v>
      </c>
      <c r="L834" t="s">
        <v>365</v>
      </c>
      <c r="M834" t="s">
        <v>365</v>
      </c>
      <c r="N834" t="s">
        <v>40</v>
      </c>
      <c r="O834" s="3" t="str">
        <f t="shared" ref="O834:O897" si="290">PROPER(TRIM(N834))</f>
        <v>Small Business</v>
      </c>
      <c r="P834" t="s">
        <v>61</v>
      </c>
      <c r="Q834" s="3" t="str">
        <f t="shared" ref="Q834:Q897" si="291">IF(TRIM(P834)="","Unknown",PROPER(TRIM(P834)))</f>
        <v>South</v>
      </c>
      <c r="R834" t="s">
        <v>99</v>
      </c>
      <c r="S834" t="s">
        <v>100</v>
      </c>
      <c r="T834" t="s">
        <v>85</v>
      </c>
      <c r="U834" s="3" t="str">
        <f t="shared" ref="U834:U897" si="292">PROPER(TRIM(T834))</f>
        <v>Technology</v>
      </c>
      <c r="V834" t="s">
        <v>222</v>
      </c>
      <c r="W834" t="s">
        <v>3819</v>
      </c>
      <c r="X834" t="s">
        <v>32</v>
      </c>
      <c r="Y834" s="3" t="str">
        <f t="shared" ref="Y834:Y897" si="293">IF(TRIM(X834)="","Unknown",PROPER(TRIM(X834)))</f>
        <v>Second Class</v>
      </c>
      <c r="Z834">
        <v>9</v>
      </c>
      <c r="AA834">
        <v>4302.0200000000004</v>
      </c>
      <c r="AB834">
        <v>0.05</v>
      </c>
      <c r="AC834">
        <f t="shared" ref="AC834:AC897" si="294">IF(AND(AB834=" ",Z834=" ",AA834=" ",AF834=" "),0,AB834)</f>
        <v>0.05</v>
      </c>
      <c r="AD834" t="str">
        <f t="shared" si="275"/>
        <v>Valid</v>
      </c>
      <c r="AE834">
        <v>36782.269999999997</v>
      </c>
      <c r="AF834">
        <v>25902.81</v>
      </c>
      <c r="AG834">
        <v>10879.46</v>
      </c>
      <c r="AH834" t="s">
        <v>33</v>
      </c>
      <c r="AI834" t="str">
        <f t="shared" si="276"/>
        <v>Include</v>
      </c>
      <c r="AJ834" t="str">
        <f t="shared" si="277"/>
        <v/>
      </c>
      <c r="AK834" t="s">
        <v>34</v>
      </c>
      <c r="AL834" t="str">
        <f t="shared" ref="AL834:AL897" si="295">PROPER(TRIM(AK834))</f>
        <v>Completed</v>
      </c>
      <c r="AM834" t="str">
        <f t="shared" si="278"/>
        <v>Include</v>
      </c>
      <c r="AN834">
        <f t="shared" si="279"/>
        <v>36782.271000000008</v>
      </c>
      <c r="AO834">
        <f t="shared" si="280"/>
        <v>10879.461000000007</v>
      </c>
      <c r="AP834">
        <f>IF(AN834=0,0,AO834/AN834)</f>
        <v>0.29578002402298664</v>
      </c>
      <c r="AQ834" t="str">
        <f t="shared" si="281"/>
        <v>May</v>
      </c>
      <c r="AR834">
        <f t="shared" si="282"/>
        <v>2025</v>
      </c>
      <c r="AS834" t="str">
        <f t="shared" si="283"/>
        <v>Clean</v>
      </c>
      <c r="AT834" t="str">
        <f>IF(OR(AC834&lt;0,AC834&gt;0.5),"Invalid Discount","Valid")</f>
        <v>Valid</v>
      </c>
      <c r="AU834" t="str">
        <f>IF(G834&lt;E834,"Invalid Shipping Record","Valid")</f>
        <v>Valid</v>
      </c>
      <c r="AV834" t="str">
        <f>IF(OR(AL834="Cancelled",AH834="Failed"),"Exclude","Include")</f>
        <v>Include</v>
      </c>
      <c r="AW834" t="str">
        <f t="shared" si="284"/>
        <v>Match</v>
      </c>
      <c r="AX834" t="str">
        <f t="shared" si="285"/>
        <v>Match</v>
      </c>
    </row>
    <row r="835" spans="1:50">
      <c r="A835" t="s">
        <v>3820</v>
      </c>
      <c r="B835">
        <f t="shared" si="286"/>
        <v>1</v>
      </c>
      <c r="C835" t="str">
        <f t="shared" ref="C835:C898" si="296">IF(B835&gt;1,"Review Required","")</f>
        <v/>
      </c>
      <c r="D835" s="3" t="s">
        <v>3821</v>
      </c>
      <c r="E835" s="7">
        <v>45447</v>
      </c>
      <c r="F835" s="3" t="s">
        <v>3822</v>
      </c>
      <c r="G835" s="7">
        <v>45447</v>
      </c>
      <c r="H835" s="7" t="str">
        <f t="shared" si="287"/>
        <v>Valid</v>
      </c>
      <c r="I835" s="9">
        <f t="shared" si="288"/>
        <v>0</v>
      </c>
      <c r="J835" s="9" t="str">
        <f t="shared" si="289"/>
        <v>Valid</v>
      </c>
      <c r="K835" t="s">
        <v>3823</v>
      </c>
      <c r="L835" t="s">
        <v>147</v>
      </c>
      <c r="M835" t="s">
        <v>147</v>
      </c>
      <c r="N835" t="s">
        <v>114</v>
      </c>
      <c r="O835" s="3" t="str">
        <f t="shared" si="290"/>
        <v>Home Office</v>
      </c>
      <c r="P835" t="s">
        <v>41</v>
      </c>
      <c r="Q835" s="3" t="str">
        <f t="shared" si="291"/>
        <v>East</v>
      </c>
      <c r="R835" t="s">
        <v>120</v>
      </c>
      <c r="S835" t="s">
        <v>121</v>
      </c>
      <c r="T835" t="s">
        <v>44</v>
      </c>
      <c r="U835" s="3" t="str">
        <f t="shared" si="292"/>
        <v>Furniture</v>
      </c>
      <c r="V835" t="s">
        <v>203</v>
      </c>
      <c r="W835" t="s">
        <v>3824</v>
      </c>
      <c r="X835" t="s">
        <v>55</v>
      </c>
      <c r="Y835" s="3" t="str">
        <f t="shared" si="293"/>
        <v>First Class</v>
      </c>
      <c r="Z835">
        <v>6</v>
      </c>
      <c r="AA835">
        <v>3949.4</v>
      </c>
      <c r="AB835">
        <v>0</v>
      </c>
      <c r="AC835">
        <f t="shared" si="294"/>
        <v>0</v>
      </c>
      <c r="AD835" t="str">
        <f t="shared" ref="AD835:AD898" si="297">IF(AC835&lt;0,"Invalid Discount","Valid")</f>
        <v>Valid</v>
      </c>
      <c r="AE835">
        <v>23696.400000000001</v>
      </c>
      <c r="AF835">
        <v>18109.77</v>
      </c>
      <c r="AG835">
        <v>5586.63</v>
      </c>
      <c r="AH835" t="s">
        <v>33</v>
      </c>
      <c r="AI835" t="str">
        <f t="shared" ref="AI835:AI898" si="298">IF(OR(AH835="Failed",AL835="Cancelled"),"Exclude","Include")</f>
        <v>Include</v>
      </c>
      <c r="AJ835" t="str">
        <f t="shared" ref="AJ835:AJ898" si="299">IF(AH835="Refunded","Refunded Order","")</f>
        <v/>
      </c>
      <c r="AK835" t="s">
        <v>34</v>
      </c>
      <c r="AL835" t="str">
        <f t="shared" si="295"/>
        <v>Completed</v>
      </c>
      <c r="AM835" t="str">
        <f t="shared" ref="AM835:AM898" si="300">IF(AL835="Cancelled","Exclude","Include")</f>
        <v>Include</v>
      </c>
      <c r="AN835">
        <f t="shared" ref="AN835:AN898" si="301">Z835*AA835*(1-AC835)</f>
        <v>23696.400000000001</v>
      </c>
      <c r="AO835">
        <f t="shared" ref="AO835:AO898" si="302">AN835-AF835</f>
        <v>5586.630000000001</v>
      </c>
      <c r="AP835">
        <f>IF(AN835=0,0,AO835/AN835)</f>
        <v>0.23575859624246723</v>
      </c>
      <c r="AQ835" t="str">
        <f t="shared" ref="AQ835:AQ898" si="303">TEXT(E835,"mmmm")</f>
        <v>June</v>
      </c>
      <c r="AR835">
        <f t="shared" ref="AR835:AR898" si="304">YEAR(E835)</f>
        <v>2024</v>
      </c>
      <c r="AS835" t="str">
        <f t="shared" ref="AS835:AS898" si="305">IF(OR(AC835&lt;0,AC835&gt;1,G835&lt;E835),"Invalid",IF(OR(Q835="Unknown",Y835="Unknown"),"Warning","Clean"))</f>
        <v>Clean</v>
      </c>
      <c r="AT835" t="str">
        <f>IF(OR(AC835&lt;0,AC835&gt;0.5),"Invalid Discount","Valid")</f>
        <v>Valid</v>
      </c>
      <c r="AU835" t="str">
        <f>IF(G835&lt;E835,"Invalid Shipping Record","Valid")</f>
        <v>Valid</v>
      </c>
      <c r="AV835" t="str">
        <f>IF(OR(AL835="Cancelled",AH835="Failed"),"Exclude","Include")</f>
        <v>Include</v>
      </c>
      <c r="AW835" t="str">
        <f t="shared" ref="AW835:AW898" si="306">IF(ROUND(AE835,2)=ROUND(AN835,2),"Match","Mismatch")</f>
        <v>Match</v>
      </c>
      <c r="AX835" t="str">
        <f t="shared" ref="AX835:AX898" si="307">IF(ROUND(AG835,2)=ROUND(AO835,2),"Match","Mismatch")</f>
        <v>Match</v>
      </c>
    </row>
    <row r="836" spans="1:50">
      <c r="A836" t="s">
        <v>3825</v>
      </c>
      <c r="B836">
        <f t="shared" si="286"/>
        <v>1</v>
      </c>
      <c r="C836" t="str">
        <f t="shared" si="296"/>
        <v/>
      </c>
      <c r="D836" s="3" t="s">
        <v>232</v>
      </c>
      <c r="E836" s="7">
        <v>45583</v>
      </c>
      <c r="F836" s="3" t="s">
        <v>3826</v>
      </c>
      <c r="G836" s="7">
        <v>45587</v>
      </c>
      <c r="H836" s="7" t="str">
        <f t="shared" si="287"/>
        <v>Valid</v>
      </c>
      <c r="I836" s="9">
        <f t="shared" si="288"/>
        <v>4</v>
      </c>
      <c r="J836" s="9" t="str">
        <f t="shared" si="289"/>
        <v>Valid</v>
      </c>
      <c r="K836" t="s">
        <v>3827</v>
      </c>
      <c r="L836" t="s">
        <v>161</v>
      </c>
      <c r="M836" t="s">
        <v>161</v>
      </c>
      <c r="N836" t="s">
        <v>114</v>
      </c>
      <c r="O836" s="3" t="str">
        <f t="shared" si="290"/>
        <v>Home Office</v>
      </c>
      <c r="P836" t="s">
        <v>61</v>
      </c>
      <c r="Q836" s="3" t="str">
        <f t="shared" si="291"/>
        <v>South</v>
      </c>
      <c r="R836" t="s">
        <v>62</v>
      </c>
      <c r="S836" t="s">
        <v>63</v>
      </c>
      <c r="T836" t="s">
        <v>29</v>
      </c>
      <c r="U836" s="3" t="str">
        <f t="shared" si="292"/>
        <v>Office Supplies</v>
      </c>
      <c r="V836" t="s">
        <v>53</v>
      </c>
      <c r="W836" t="s">
        <v>3828</v>
      </c>
      <c r="X836" t="s">
        <v>55</v>
      </c>
      <c r="Y836" s="3" t="str">
        <f t="shared" si="293"/>
        <v>First Class</v>
      </c>
      <c r="Z836">
        <v>6</v>
      </c>
      <c r="AA836">
        <v>674.61</v>
      </c>
      <c r="AB836">
        <v>0</v>
      </c>
      <c r="AC836">
        <f t="shared" si="294"/>
        <v>0</v>
      </c>
      <c r="AD836" t="str">
        <f t="shared" si="297"/>
        <v>Valid</v>
      </c>
      <c r="AE836">
        <v>4047.66</v>
      </c>
      <c r="AF836">
        <v>3078.93</v>
      </c>
      <c r="AG836">
        <v>1279.79</v>
      </c>
      <c r="AH836" t="s">
        <v>33</v>
      </c>
      <c r="AI836" t="str">
        <f t="shared" si="298"/>
        <v>Include</v>
      </c>
      <c r="AJ836" t="str">
        <f t="shared" si="299"/>
        <v/>
      </c>
      <c r="AK836" t="s">
        <v>34</v>
      </c>
      <c r="AL836" t="str">
        <f t="shared" si="295"/>
        <v>Completed</v>
      </c>
      <c r="AM836" t="str">
        <f t="shared" si="300"/>
        <v>Include</v>
      </c>
      <c r="AN836">
        <f t="shared" si="301"/>
        <v>4047.66</v>
      </c>
      <c r="AO836">
        <f t="shared" si="302"/>
        <v>968.73</v>
      </c>
      <c r="AP836">
        <f>IF(AN836=0,0,AO836/AN836)</f>
        <v>0.23933087265234729</v>
      </c>
      <c r="AQ836" t="str">
        <f t="shared" si="303"/>
        <v>October</v>
      </c>
      <c r="AR836">
        <f t="shared" si="304"/>
        <v>2024</v>
      </c>
      <c r="AS836" t="str">
        <f t="shared" si="305"/>
        <v>Clean</v>
      </c>
      <c r="AT836" t="str">
        <f>IF(OR(AC836&lt;0,AC836&gt;0.5),"Invalid Discount","Valid")</f>
        <v>Valid</v>
      </c>
      <c r="AU836" t="str">
        <f>IF(G836&lt;E836,"Invalid Shipping Record","Valid")</f>
        <v>Valid</v>
      </c>
      <c r="AV836" t="str">
        <f>IF(OR(AL836="Cancelled",AH836="Failed"),"Exclude","Include")</f>
        <v>Include</v>
      </c>
      <c r="AW836" t="str">
        <f t="shared" si="306"/>
        <v>Match</v>
      </c>
      <c r="AX836" t="str">
        <f t="shared" si="307"/>
        <v>Mismatch</v>
      </c>
    </row>
    <row r="837" spans="1:50">
      <c r="A837" t="s">
        <v>3829</v>
      </c>
      <c r="B837">
        <f t="shared" si="286"/>
        <v>1</v>
      </c>
      <c r="C837" t="str">
        <f t="shared" si="296"/>
        <v/>
      </c>
      <c r="D837" s="3" t="s">
        <v>2749</v>
      </c>
      <c r="E837" s="7">
        <v>45926</v>
      </c>
      <c r="F837" s="3" t="s">
        <v>954</v>
      </c>
      <c r="G837" s="7">
        <v>45934</v>
      </c>
      <c r="H837" s="7" t="str">
        <f t="shared" si="287"/>
        <v>Valid</v>
      </c>
      <c r="I837" s="9">
        <f t="shared" si="288"/>
        <v>8</v>
      </c>
      <c r="J837" s="9" t="str">
        <f t="shared" si="289"/>
        <v>Valid</v>
      </c>
      <c r="K837" t="s">
        <v>3830</v>
      </c>
      <c r="L837" t="s">
        <v>141</v>
      </c>
      <c r="M837" t="s">
        <v>141</v>
      </c>
      <c r="N837" t="s">
        <v>40</v>
      </c>
      <c r="O837" s="3" t="str">
        <f t="shared" si="290"/>
        <v>Small Business</v>
      </c>
      <c r="P837" t="s">
        <v>41</v>
      </c>
      <c r="Q837" s="3" t="str">
        <f t="shared" si="291"/>
        <v>East</v>
      </c>
      <c r="R837" t="s">
        <v>215</v>
      </c>
      <c r="S837" t="s">
        <v>216</v>
      </c>
      <c r="T837" t="s">
        <v>85</v>
      </c>
      <c r="U837" s="3" t="str">
        <f t="shared" si="292"/>
        <v>Technology</v>
      </c>
      <c r="V837" t="s">
        <v>222</v>
      </c>
      <c r="W837" t="s">
        <v>3831</v>
      </c>
      <c r="X837" t="s">
        <v>32</v>
      </c>
      <c r="Y837" s="3" t="str">
        <f t="shared" si="293"/>
        <v>Second Class</v>
      </c>
      <c r="Z837">
        <v>7</v>
      </c>
      <c r="AA837">
        <v>1509.59</v>
      </c>
      <c r="AB837">
        <v>0.05</v>
      </c>
      <c r="AC837">
        <f t="shared" si="294"/>
        <v>0.05</v>
      </c>
      <c r="AD837" t="str">
        <f t="shared" si="297"/>
        <v>Valid</v>
      </c>
      <c r="AE837">
        <v>10038.77</v>
      </c>
      <c r="AF837">
        <v>5673.1</v>
      </c>
      <c r="AG837">
        <v>4365.67</v>
      </c>
      <c r="AH837" t="s">
        <v>33</v>
      </c>
      <c r="AI837" t="str">
        <f t="shared" si="298"/>
        <v>Include</v>
      </c>
      <c r="AJ837" t="str">
        <f t="shared" si="299"/>
        <v/>
      </c>
      <c r="AK837" t="s">
        <v>34</v>
      </c>
      <c r="AL837" t="str">
        <f t="shared" si="295"/>
        <v>Completed</v>
      </c>
      <c r="AM837" t="str">
        <f t="shared" si="300"/>
        <v>Include</v>
      </c>
      <c r="AN837">
        <f t="shared" si="301"/>
        <v>10038.773499999999</v>
      </c>
      <c r="AO837">
        <f t="shared" si="302"/>
        <v>4365.673499999999</v>
      </c>
      <c r="AP837">
        <f>IF(AN837=0,0,AO837/AN837)</f>
        <v>0.43488116352062323</v>
      </c>
      <c r="AQ837" t="str">
        <f t="shared" si="303"/>
        <v>September</v>
      </c>
      <c r="AR837">
        <f t="shared" si="304"/>
        <v>2025</v>
      </c>
      <c r="AS837" t="str">
        <f t="shared" si="305"/>
        <v>Clean</v>
      </c>
      <c r="AT837" t="str">
        <f>IF(OR(AC837&lt;0,AC837&gt;0.5),"Invalid Discount","Valid")</f>
        <v>Valid</v>
      </c>
      <c r="AU837" t="str">
        <f>IF(G837&lt;E837,"Invalid Shipping Record","Valid")</f>
        <v>Valid</v>
      </c>
      <c r="AV837" t="str">
        <f>IF(OR(AL837="Cancelled",AH837="Failed"),"Exclude","Include")</f>
        <v>Include</v>
      </c>
      <c r="AW837" t="str">
        <f t="shared" si="306"/>
        <v>Match</v>
      </c>
      <c r="AX837" t="str">
        <f t="shared" si="307"/>
        <v>Match</v>
      </c>
    </row>
    <row r="838" spans="1:50">
      <c r="A838" t="s">
        <v>3832</v>
      </c>
      <c r="B838">
        <f t="shared" si="286"/>
        <v>1</v>
      </c>
      <c r="C838" t="str">
        <f t="shared" si="296"/>
        <v/>
      </c>
      <c r="D838" s="3" t="s">
        <v>2461</v>
      </c>
      <c r="E838" s="7">
        <v>45641</v>
      </c>
      <c r="F838" s="3" t="s">
        <v>3833</v>
      </c>
      <c r="G838" s="7">
        <v>45644</v>
      </c>
      <c r="H838" s="7" t="str">
        <f t="shared" si="287"/>
        <v>Valid</v>
      </c>
      <c r="I838" s="9">
        <f t="shared" si="288"/>
        <v>3</v>
      </c>
      <c r="J838" s="9" t="str">
        <f t="shared" si="289"/>
        <v>Valid</v>
      </c>
      <c r="K838" t="s">
        <v>3834</v>
      </c>
      <c r="L838" t="s">
        <v>52</v>
      </c>
      <c r="M838" t="s">
        <v>52</v>
      </c>
      <c r="N838" t="s">
        <v>40</v>
      </c>
      <c r="O838" s="3" t="str">
        <f t="shared" si="290"/>
        <v>Small Business</v>
      </c>
      <c r="P838" t="s">
        <v>26</v>
      </c>
      <c r="Q838" s="3" t="str">
        <f t="shared" si="291"/>
        <v>North</v>
      </c>
      <c r="R838" t="s">
        <v>27</v>
      </c>
      <c r="S838" t="s">
        <v>28</v>
      </c>
      <c r="T838" t="s">
        <v>29</v>
      </c>
      <c r="U838" s="3" t="str">
        <f t="shared" si="292"/>
        <v>Office Supplies</v>
      </c>
      <c r="V838" t="s">
        <v>108</v>
      </c>
      <c r="W838" t="s">
        <v>3835</v>
      </c>
      <c r="X838" t="s">
        <v>32</v>
      </c>
      <c r="Y838" s="3" t="str">
        <f t="shared" si="293"/>
        <v>Second Class</v>
      </c>
      <c r="Z838">
        <v>2</v>
      </c>
      <c r="AA838">
        <v>537.11</v>
      </c>
      <c r="AB838">
        <v>0</v>
      </c>
      <c r="AC838">
        <f t="shared" si="294"/>
        <v>0</v>
      </c>
      <c r="AD838" t="str">
        <f t="shared" si="297"/>
        <v>Valid</v>
      </c>
      <c r="AE838">
        <v>1074.22</v>
      </c>
      <c r="AF838">
        <v>850.86</v>
      </c>
      <c r="AG838">
        <v>223.36</v>
      </c>
      <c r="AH838" t="s">
        <v>33</v>
      </c>
      <c r="AI838" t="str">
        <f t="shared" si="298"/>
        <v>Include</v>
      </c>
      <c r="AJ838" t="str">
        <f t="shared" si="299"/>
        <v/>
      </c>
      <c r="AK838" t="s">
        <v>34</v>
      </c>
      <c r="AL838" t="str">
        <f t="shared" si="295"/>
        <v>Completed</v>
      </c>
      <c r="AM838" t="str">
        <f t="shared" si="300"/>
        <v>Include</v>
      </c>
      <c r="AN838">
        <f t="shared" si="301"/>
        <v>1074.22</v>
      </c>
      <c r="AO838">
        <f t="shared" si="302"/>
        <v>223.36</v>
      </c>
      <c r="AP838">
        <f>IF(AN838=0,0,AO838/AN838)</f>
        <v>0.20792761259332354</v>
      </c>
      <c r="AQ838" t="str">
        <f t="shared" si="303"/>
        <v>December</v>
      </c>
      <c r="AR838">
        <f t="shared" si="304"/>
        <v>2024</v>
      </c>
      <c r="AS838" t="str">
        <f t="shared" si="305"/>
        <v>Clean</v>
      </c>
      <c r="AT838" t="str">
        <f>IF(OR(AC838&lt;0,AC838&gt;0.5),"Invalid Discount","Valid")</f>
        <v>Valid</v>
      </c>
      <c r="AU838" t="str">
        <f>IF(G838&lt;E838,"Invalid Shipping Record","Valid")</f>
        <v>Valid</v>
      </c>
      <c r="AV838" t="str">
        <f>IF(OR(AL838="Cancelled",AH838="Failed"),"Exclude","Include")</f>
        <v>Include</v>
      </c>
      <c r="AW838" t="str">
        <f t="shared" si="306"/>
        <v>Match</v>
      </c>
      <c r="AX838" t="str">
        <f t="shared" si="307"/>
        <v>Match</v>
      </c>
    </row>
    <row r="839" spans="1:50">
      <c r="A839" t="s">
        <v>3836</v>
      </c>
      <c r="B839">
        <f t="shared" si="286"/>
        <v>1</v>
      </c>
      <c r="C839" t="str">
        <f t="shared" si="296"/>
        <v/>
      </c>
      <c r="D839" s="3" t="s">
        <v>497</v>
      </c>
      <c r="E839" s="7">
        <v>45927</v>
      </c>
      <c r="F839" s="3" t="s">
        <v>3837</v>
      </c>
      <c r="G839" s="7">
        <v>45928</v>
      </c>
      <c r="H839" s="7" t="str">
        <f t="shared" si="287"/>
        <v>Valid</v>
      </c>
      <c r="I839" s="9">
        <f t="shared" si="288"/>
        <v>1</v>
      </c>
      <c r="J839" s="9" t="str">
        <f t="shared" si="289"/>
        <v>Valid</v>
      </c>
      <c r="K839" t="s">
        <v>3838</v>
      </c>
      <c r="L839" t="s">
        <v>24</v>
      </c>
      <c r="M839" t="s">
        <v>24</v>
      </c>
      <c r="N839" t="s">
        <v>114</v>
      </c>
      <c r="O839" s="3" t="str">
        <f t="shared" si="290"/>
        <v>Home Office</v>
      </c>
      <c r="P839" t="s">
        <v>72</v>
      </c>
      <c r="Q839" s="3" t="str">
        <f t="shared" si="291"/>
        <v>West</v>
      </c>
      <c r="R839" t="s">
        <v>73</v>
      </c>
      <c r="S839" t="s">
        <v>74</v>
      </c>
      <c r="T839" t="s">
        <v>29</v>
      </c>
      <c r="U839" s="3" t="str">
        <f t="shared" si="292"/>
        <v>Office Supplies</v>
      </c>
      <c r="V839" t="s">
        <v>30</v>
      </c>
      <c r="W839" t="s">
        <v>3839</v>
      </c>
      <c r="X839" t="s">
        <v>55</v>
      </c>
      <c r="Y839" s="3" t="str">
        <f t="shared" si="293"/>
        <v>First Class</v>
      </c>
      <c r="Z839">
        <v>3</v>
      </c>
      <c r="AA839">
        <v>4177.63</v>
      </c>
      <c r="AB839">
        <v>0.25</v>
      </c>
      <c r="AC839">
        <f t="shared" si="294"/>
        <v>0.25</v>
      </c>
      <c r="AD839" t="str">
        <f t="shared" si="297"/>
        <v>Valid</v>
      </c>
      <c r="AE839">
        <v>9399.67</v>
      </c>
      <c r="AF839">
        <v>6540.37</v>
      </c>
      <c r="AG839">
        <v>2859.3</v>
      </c>
      <c r="AH839" t="s">
        <v>33</v>
      </c>
      <c r="AI839" t="str">
        <f t="shared" si="298"/>
        <v>Include</v>
      </c>
      <c r="AJ839" t="str">
        <f t="shared" si="299"/>
        <v/>
      </c>
      <c r="AK839" t="s">
        <v>34</v>
      </c>
      <c r="AL839" t="str">
        <f t="shared" si="295"/>
        <v>Completed</v>
      </c>
      <c r="AM839" t="str">
        <f t="shared" si="300"/>
        <v>Include</v>
      </c>
      <c r="AN839">
        <f t="shared" si="301"/>
        <v>9399.6674999999996</v>
      </c>
      <c r="AO839">
        <f t="shared" si="302"/>
        <v>2859.2974999999997</v>
      </c>
      <c r="AP839">
        <f>IF(AN839=0,0,AO839/AN839)</f>
        <v>0.30419134506619516</v>
      </c>
      <c r="AQ839" t="str">
        <f t="shared" si="303"/>
        <v>September</v>
      </c>
      <c r="AR839">
        <f t="shared" si="304"/>
        <v>2025</v>
      </c>
      <c r="AS839" t="str">
        <f t="shared" si="305"/>
        <v>Clean</v>
      </c>
      <c r="AT839" t="str">
        <f>IF(OR(AC839&lt;0,AC839&gt;0.5),"Invalid Discount","Valid")</f>
        <v>Valid</v>
      </c>
      <c r="AU839" t="str">
        <f>IF(G839&lt;E839,"Invalid Shipping Record","Valid")</f>
        <v>Valid</v>
      </c>
      <c r="AV839" t="str">
        <f>IF(OR(AL839="Cancelled",AH839="Failed"),"Exclude","Include")</f>
        <v>Include</v>
      </c>
      <c r="AW839" t="str">
        <f t="shared" si="306"/>
        <v>Match</v>
      </c>
      <c r="AX839" t="str">
        <f t="shared" si="307"/>
        <v>Match</v>
      </c>
    </row>
    <row r="840" spans="1:50">
      <c r="A840" t="s">
        <v>3840</v>
      </c>
      <c r="B840">
        <f t="shared" si="286"/>
        <v>1</v>
      </c>
      <c r="C840" t="str">
        <f t="shared" si="296"/>
        <v/>
      </c>
      <c r="D840" s="3" t="s">
        <v>468</v>
      </c>
      <c r="E840" s="7">
        <v>45750</v>
      </c>
      <c r="F840" s="3" t="s">
        <v>3841</v>
      </c>
      <c r="G840" s="7">
        <v>45754</v>
      </c>
      <c r="H840" s="7" t="str">
        <f t="shared" si="287"/>
        <v>Valid</v>
      </c>
      <c r="I840" s="9">
        <f t="shared" si="288"/>
        <v>4</v>
      </c>
      <c r="J840" s="9" t="str">
        <f t="shared" si="289"/>
        <v>Valid</v>
      </c>
      <c r="K840" t="s">
        <v>3842</v>
      </c>
      <c r="L840" t="s">
        <v>71</v>
      </c>
      <c r="M840" t="s">
        <v>71</v>
      </c>
      <c r="N840" t="s">
        <v>40</v>
      </c>
      <c r="O840" s="3" t="str">
        <f t="shared" si="290"/>
        <v>Small Business</v>
      </c>
      <c r="P840" t="s">
        <v>72</v>
      </c>
      <c r="Q840" s="3" t="str">
        <f t="shared" si="291"/>
        <v>West</v>
      </c>
      <c r="R840" t="s">
        <v>248</v>
      </c>
      <c r="S840" t="s">
        <v>249</v>
      </c>
      <c r="T840" t="s">
        <v>29</v>
      </c>
      <c r="U840" s="3" t="str">
        <f t="shared" si="292"/>
        <v>Office Supplies</v>
      </c>
      <c r="V840" t="s">
        <v>30</v>
      </c>
      <c r="W840" t="s">
        <v>3843</v>
      </c>
      <c r="X840" t="s">
        <v>47</v>
      </c>
      <c r="Y840" s="3" t="str">
        <f t="shared" si="293"/>
        <v>Same Day</v>
      </c>
      <c r="Z840">
        <v>1</v>
      </c>
      <c r="AA840">
        <v>1470.57</v>
      </c>
      <c r="AB840">
        <v>0</v>
      </c>
      <c r="AC840">
        <f t="shared" si="294"/>
        <v>0</v>
      </c>
      <c r="AD840" t="str">
        <f t="shared" si="297"/>
        <v>Valid</v>
      </c>
      <c r="AE840">
        <v>1470.57</v>
      </c>
      <c r="AF840">
        <v>834.02</v>
      </c>
      <c r="AG840">
        <v>636.54999999999995</v>
      </c>
      <c r="AH840" t="s">
        <v>33</v>
      </c>
      <c r="AI840" t="str">
        <f t="shared" si="298"/>
        <v>Include</v>
      </c>
      <c r="AJ840" t="str">
        <f t="shared" si="299"/>
        <v/>
      </c>
      <c r="AK840" t="s">
        <v>124</v>
      </c>
      <c r="AL840" t="str">
        <f t="shared" si="295"/>
        <v>Returned</v>
      </c>
      <c r="AM840" t="str">
        <f t="shared" si="300"/>
        <v>Include</v>
      </c>
      <c r="AN840">
        <f t="shared" si="301"/>
        <v>1470.57</v>
      </c>
      <c r="AO840">
        <f t="shared" si="302"/>
        <v>636.54999999999995</v>
      </c>
      <c r="AP840">
        <f>IF(AN840=0,0,AO840/AN840)</f>
        <v>0.43285936745615644</v>
      </c>
      <c r="AQ840" t="str">
        <f t="shared" si="303"/>
        <v>April</v>
      </c>
      <c r="AR840">
        <f t="shared" si="304"/>
        <v>2025</v>
      </c>
      <c r="AS840" t="str">
        <f t="shared" si="305"/>
        <v>Clean</v>
      </c>
      <c r="AT840" t="str">
        <f>IF(OR(AC840&lt;0,AC840&gt;0.5),"Invalid Discount","Valid")</f>
        <v>Valid</v>
      </c>
      <c r="AU840" t="str">
        <f>IF(G840&lt;E840,"Invalid Shipping Record","Valid")</f>
        <v>Valid</v>
      </c>
      <c r="AV840" t="str">
        <f>IF(OR(AL840="Cancelled",AH840="Failed"),"Exclude","Include")</f>
        <v>Include</v>
      </c>
      <c r="AW840" t="str">
        <f t="shared" si="306"/>
        <v>Match</v>
      </c>
      <c r="AX840" t="str">
        <f t="shared" si="307"/>
        <v>Match</v>
      </c>
    </row>
    <row r="841" spans="1:50">
      <c r="A841" t="s">
        <v>3844</v>
      </c>
      <c r="B841">
        <f t="shared" si="286"/>
        <v>1</v>
      </c>
      <c r="C841" t="str">
        <f t="shared" si="296"/>
        <v/>
      </c>
      <c r="D841" s="3" t="s">
        <v>3845</v>
      </c>
      <c r="E841" s="7">
        <v>45555</v>
      </c>
      <c r="F841" s="3" t="s">
        <v>3846</v>
      </c>
      <c r="G841" s="7">
        <v>45557</v>
      </c>
      <c r="H841" s="7" t="str">
        <f t="shared" si="287"/>
        <v>Valid</v>
      </c>
      <c r="I841" s="9">
        <f t="shared" si="288"/>
        <v>2</v>
      </c>
      <c r="J841" s="9" t="str">
        <f t="shared" si="289"/>
        <v>Valid</v>
      </c>
      <c r="K841" t="s">
        <v>3847</v>
      </c>
      <c r="L841" t="s">
        <v>179</v>
      </c>
      <c r="M841" t="s">
        <v>179</v>
      </c>
      <c r="N841" t="s">
        <v>114</v>
      </c>
      <c r="O841" s="3" t="str">
        <f t="shared" si="290"/>
        <v>Home Office</v>
      </c>
      <c r="P841" t="s">
        <v>41</v>
      </c>
      <c r="Q841" s="3" t="str">
        <f t="shared" si="291"/>
        <v>East</v>
      </c>
      <c r="R841" t="s">
        <v>42</v>
      </c>
      <c r="S841" t="s">
        <v>43</v>
      </c>
      <c r="T841" t="s">
        <v>85</v>
      </c>
      <c r="U841" s="3" t="str">
        <f t="shared" si="292"/>
        <v>Technology</v>
      </c>
      <c r="V841" t="s">
        <v>222</v>
      </c>
      <c r="W841" t="s">
        <v>3848</v>
      </c>
      <c r="X841" t="s">
        <v>66</v>
      </c>
      <c r="Y841" s="3" t="str">
        <f t="shared" si="293"/>
        <v>Standard Class</v>
      </c>
      <c r="Z841">
        <v>8</v>
      </c>
      <c r="AA841">
        <v>531.42999999999995</v>
      </c>
      <c r="AB841">
        <v>0.1</v>
      </c>
      <c r="AC841">
        <f t="shared" si="294"/>
        <v>0.1</v>
      </c>
      <c r="AD841" t="str">
        <f t="shared" si="297"/>
        <v>Valid</v>
      </c>
      <c r="AE841">
        <v>3826.3</v>
      </c>
      <c r="AF841">
        <v>2194.12</v>
      </c>
      <c r="AG841">
        <v>1632.18</v>
      </c>
      <c r="AH841" t="s">
        <v>33</v>
      </c>
      <c r="AI841" t="str">
        <f t="shared" si="298"/>
        <v>Include</v>
      </c>
      <c r="AJ841" t="str">
        <f t="shared" si="299"/>
        <v/>
      </c>
      <c r="AK841" t="s">
        <v>34</v>
      </c>
      <c r="AL841" t="str">
        <f t="shared" si="295"/>
        <v>Completed</v>
      </c>
      <c r="AM841" t="str">
        <f t="shared" si="300"/>
        <v>Include</v>
      </c>
      <c r="AN841">
        <f t="shared" si="301"/>
        <v>3826.2959999999998</v>
      </c>
      <c r="AO841">
        <f t="shared" si="302"/>
        <v>1632.1759999999999</v>
      </c>
      <c r="AP841">
        <f>IF(AN841=0,0,AO841/AN841)</f>
        <v>0.42656814841298218</v>
      </c>
      <c r="AQ841" t="str">
        <f t="shared" si="303"/>
        <v>September</v>
      </c>
      <c r="AR841">
        <f t="shared" si="304"/>
        <v>2024</v>
      </c>
      <c r="AS841" t="str">
        <f t="shared" si="305"/>
        <v>Clean</v>
      </c>
      <c r="AT841" t="str">
        <f>IF(OR(AC841&lt;0,AC841&gt;0.5),"Invalid Discount","Valid")</f>
        <v>Valid</v>
      </c>
      <c r="AU841" t="str">
        <f>IF(G841&lt;E841,"Invalid Shipping Record","Valid")</f>
        <v>Valid</v>
      </c>
      <c r="AV841" t="str">
        <f>IF(OR(AL841="Cancelled",AH841="Failed"),"Exclude","Include")</f>
        <v>Include</v>
      </c>
      <c r="AW841" t="str">
        <f t="shared" si="306"/>
        <v>Match</v>
      </c>
      <c r="AX841" t="str">
        <f t="shared" si="307"/>
        <v>Match</v>
      </c>
    </row>
    <row r="842" spans="1:50">
      <c r="A842" t="s">
        <v>3849</v>
      </c>
      <c r="B842">
        <f t="shared" si="286"/>
        <v>1</v>
      </c>
      <c r="C842" t="str">
        <f t="shared" si="296"/>
        <v/>
      </c>
      <c r="D842" s="3" t="s">
        <v>1897</v>
      </c>
      <c r="E842" s="7">
        <v>45919</v>
      </c>
      <c r="F842" s="3" t="s">
        <v>2196</v>
      </c>
      <c r="G842" s="7">
        <v>45919</v>
      </c>
      <c r="H842" s="7" t="str">
        <f t="shared" si="287"/>
        <v>Valid</v>
      </c>
      <c r="I842" s="9">
        <f t="shared" si="288"/>
        <v>0</v>
      </c>
      <c r="J842" s="9" t="str">
        <f t="shared" si="289"/>
        <v>Valid</v>
      </c>
      <c r="K842" t="s">
        <v>3850</v>
      </c>
      <c r="L842" t="s">
        <v>92</v>
      </c>
      <c r="M842" t="s">
        <v>92</v>
      </c>
      <c r="N842" t="s">
        <v>114</v>
      </c>
      <c r="O842" s="3" t="str">
        <f t="shared" si="290"/>
        <v>Home Office</v>
      </c>
      <c r="P842" t="s">
        <v>26</v>
      </c>
      <c r="Q842" s="3" t="str">
        <f t="shared" si="291"/>
        <v>North</v>
      </c>
      <c r="R842" t="s">
        <v>505</v>
      </c>
      <c r="S842" t="s">
        <v>506</v>
      </c>
      <c r="T842" t="s">
        <v>44</v>
      </c>
      <c r="U842" s="3" t="str">
        <f t="shared" si="292"/>
        <v>Furniture</v>
      </c>
      <c r="V842" t="s">
        <v>75</v>
      </c>
      <c r="W842" t="s">
        <v>3851</v>
      </c>
      <c r="X842" t="s">
        <v>47</v>
      </c>
      <c r="Y842" s="3" t="str">
        <f t="shared" si="293"/>
        <v>Same Day</v>
      </c>
      <c r="Z842">
        <v>4</v>
      </c>
      <c r="AA842">
        <v>1584.11</v>
      </c>
      <c r="AB842">
        <v>0</v>
      </c>
      <c r="AC842">
        <f t="shared" si="294"/>
        <v>0</v>
      </c>
      <c r="AD842" t="str">
        <f t="shared" si="297"/>
        <v>Valid</v>
      </c>
      <c r="AE842">
        <v>6336.44</v>
      </c>
      <c r="AF842">
        <v>4680.68</v>
      </c>
      <c r="AG842">
        <v>1655.76</v>
      </c>
      <c r="AH842" t="s">
        <v>33</v>
      </c>
      <c r="AI842" t="str">
        <f t="shared" si="298"/>
        <v>Include</v>
      </c>
      <c r="AJ842" t="str">
        <f t="shared" si="299"/>
        <v/>
      </c>
      <c r="AK842" t="s">
        <v>34</v>
      </c>
      <c r="AL842" t="str">
        <f t="shared" si="295"/>
        <v>Completed</v>
      </c>
      <c r="AM842" t="str">
        <f t="shared" si="300"/>
        <v>Include</v>
      </c>
      <c r="AN842">
        <f t="shared" si="301"/>
        <v>6336.44</v>
      </c>
      <c r="AO842">
        <f t="shared" si="302"/>
        <v>1655.7599999999993</v>
      </c>
      <c r="AP842">
        <f>IF(AN842=0,0,AO842/AN842)</f>
        <v>0.26130761121386764</v>
      </c>
      <c r="AQ842" t="str">
        <f t="shared" si="303"/>
        <v>September</v>
      </c>
      <c r="AR842">
        <f t="shared" si="304"/>
        <v>2025</v>
      </c>
      <c r="AS842" t="str">
        <f t="shared" si="305"/>
        <v>Clean</v>
      </c>
      <c r="AT842" t="str">
        <f>IF(OR(AC842&lt;0,AC842&gt;0.5),"Invalid Discount","Valid")</f>
        <v>Valid</v>
      </c>
      <c r="AU842" t="str">
        <f>IF(G842&lt;E842,"Invalid Shipping Record","Valid")</f>
        <v>Valid</v>
      </c>
      <c r="AV842" t="str">
        <f>IF(OR(AL842="Cancelled",AH842="Failed"),"Exclude","Include")</f>
        <v>Include</v>
      </c>
      <c r="AW842" t="str">
        <f t="shared" si="306"/>
        <v>Match</v>
      </c>
      <c r="AX842" t="str">
        <f t="shared" si="307"/>
        <v>Match</v>
      </c>
    </row>
    <row r="843" spans="1:50">
      <c r="A843" t="s">
        <v>3852</v>
      </c>
      <c r="B843">
        <f t="shared" si="286"/>
        <v>1</v>
      </c>
      <c r="C843" t="str">
        <f t="shared" si="296"/>
        <v/>
      </c>
      <c r="D843" s="3" t="s">
        <v>3853</v>
      </c>
      <c r="E843" s="7">
        <v>45694</v>
      </c>
      <c r="F843" s="3" t="s">
        <v>3854</v>
      </c>
      <c r="G843" s="7">
        <v>45700</v>
      </c>
      <c r="H843" s="7" t="str">
        <f t="shared" si="287"/>
        <v>Valid</v>
      </c>
      <c r="I843" s="9">
        <f t="shared" si="288"/>
        <v>6</v>
      </c>
      <c r="J843" s="9" t="str">
        <f t="shared" si="289"/>
        <v>Valid</v>
      </c>
      <c r="K843" t="s">
        <v>3855</v>
      </c>
      <c r="L843" t="s">
        <v>71</v>
      </c>
      <c r="M843" t="s">
        <v>71</v>
      </c>
      <c r="N843" t="s">
        <v>40</v>
      </c>
      <c r="O843" s="3" t="str">
        <f t="shared" si="290"/>
        <v>Small Business</v>
      </c>
      <c r="P843" t="s">
        <v>41</v>
      </c>
      <c r="Q843" s="3" t="str">
        <f t="shared" si="291"/>
        <v>East</v>
      </c>
      <c r="R843" t="s">
        <v>185</v>
      </c>
      <c r="S843" t="s">
        <v>186</v>
      </c>
      <c r="T843" t="s">
        <v>29</v>
      </c>
      <c r="U843" s="3" t="str">
        <f t="shared" si="292"/>
        <v>Office Supplies</v>
      </c>
      <c r="V843" t="s">
        <v>53</v>
      </c>
      <c r="W843" t="s">
        <v>3856</v>
      </c>
      <c r="X843" t="s">
        <v>66</v>
      </c>
      <c r="Y843" s="3" t="str">
        <f t="shared" si="293"/>
        <v>Standard Class</v>
      </c>
      <c r="Z843">
        <v>9</v>
      </c>
      <c r="AA843">
        <v>3237.16</v>
      </c>
      <c r="AB843">
        <v>0.25</v>
      </c>
      <c r="AC843">
        <f t="shared" si="294"/>
        <v>0.25</v>
      </c>
      <c r="AD843" t="str">
        <f t="shared" si="297"/>
        <v>Valid</v>
      </c>
      <c r="AE843">
        <v>21850.83</v>
      </c>
      <c r="AF843">
        <v>16600.13</v>
      </c>
      <c r="AG843">
        <v>5250.7</v>
      </c>
      <c r="AH843" t="s">
        <v>33</v>
      </c>
      <c r="AI843" t="str">
        <f t="shared" si="298"/>
        <v>Include</v>
      </c>
      <c r="AJ843" t="str">
        <f t="shared" si="299"/>
        <v/>
      </c>
      <c r="AK843" t="s">
        <v>34</v>
      </c>
      <c r="AL843" t="str">
        <f t="shared" si="295"/>
        <v>Completed</v>
      </c>
      <c r="AM843" t="str">
        <f t="shared" si="300"/>
        <v>Include</v>
      </c>
      <c r="AN843">
        <f t="shared" si="301"/>
        <v>21850.829999999998</v>
      </c>
      <c r="AO843">
        <f t="shared" si="302"/>
        <v>5250.6999999999971</v>
      </c>
      <c r="AP843">
        <f>IF(AN843=0,0,AO843/AN843)</f>
        <v>0.2402975081495759</v>
      </c>
      <c r="AQ843" t="str">
        <f t="shared" si="303"/>
        <v>February</v>
      </c>
      <c r="AR843">
        <f t="shared" si="304"/>
        <v>2025</v>
      </c>
      <c r="AS843" t="str">
        <f t="shared" si="305"/>
        <v>Clean</v>
      </c>
      <c r="AT843" t="str">
        <f>IF(OR(AC843&lt;0,AC843&gt;0.5),"Invalid Discount","Valid")</f>
        <v>Valid</v>
      </c>
      <c r="AU843" t="str">
        <f>IF(G843&lt;E843,"Invalid Shipping Record","Valid")</f>
        <v>Valid</v>
      </c>
      <c r="AV843" t="str">
        <f>IF(OR(AL843="Cancelled",AH843="Failed"),"Exclude","Include")</f>
        <v>Include</v>
      </c>
      <c r="AW843" t="str">
        <f t="shared" si="306"/>
        <v>Match</v>
      </c>
      <c r="AX843" t="str">
        <f t="shared" si="307"/>
        <v>Match</v>
      </c>
    </row>
    <row r="844" spans="1:50">
      <c r="A844" t="s">
        <v>3857</v>
      </c>
      <c r="B844">
        <f t="shared" si="286"/>
        <v>1</v>
      </c>
      <c r="C844" t="str">
        <f t="shared" si="296"/>
        <v/>
      </c>
      <c r="D844" s="3" t="s">
        <v>3858</v>
      </c>
      <c r="E844" s="7">
        <v>45382</v>
      </c>
      <c r="F844" s="3" t="s">
        <v>3859</v>
      </c>
      <c r="G844" s="7">
        <v>45381</v>
      </c>
      <c r="H844" s="7" t="str">
        <f t="shared" si="287"/>
        <v>Invalid Shipping Record</v>
      </c>
      <c r="I844" s="9">
        <f t="shared" si="288"/>
        <v>-1</v>
      </c>
      <c r="J844" s="9" t="str">
        <f t="shared" si="289"/>
        <v>Invalid Shipping Record</v>
      </c>
      <c r="K844" t="s">
        <v>3860</v>
      </c>
      <c r="L844" t="s">
        <v>3861</v>
      </c>
      <c r="M844" t="s">
        <v>3861</v>
      </c>
      <c r="N844" t="s">
        <v>25</v>
      </c>
      <c r="O844" s="3" t="str">
        <f t="shared" si="290"/>
        <v>Consumer</v>
      </c>
      <c r="P844" t="s">
        <v>26</v>
      </c>
      <c r="Q844" s="3" t="str">
        <f t="shared" si="291"/>
        <v>North</v>
      </c>
      <c r="R844" t="s">
        <v>322</v>
      </c>
      <c r="S844" t="s">
        <v>323</v>
      </c>
      <c r="T844" t="s">
        <v>85</v>
      </c>
      <c r="U844" s="3" t="str">
        <f t="shared" si="292"/>
        <v>Technology</v>
      </c>
      <c r="V844" t="s">
        <v>381</v>
      </c>
      <c r="W844" t="s">
        <v>3862</v>
      </c>
      <c r="X844" t="s">
        <v>55</v>
      </c>
      <c r="Y844" s="3" t="str">
        <f t="shared" si="293"/>
        <v>First Class</v>
      </c>
      <c r="Z844">
        <v>4</v>
      </c>
      <c r="AA844">
        <v>2192.08</v>
      </c>
      <c r="AB844">
        <v>0.15</v>
      </c>
      <c r="AC844">
        <f t="shared" si="294"/>
        <v>0.15</v>
      </c>
      <c r="AD844" t="str">
        <f t="shared" si="297"/>
        <v>Valid</v>
      </c>
      <c r="AE844">
        <v>7453.07</v>
      </c>
      <c r="AF844">
        <v>5133.78</v>
      </c>
      <c r="AG844">
        <v>2319.29</v>
      </c>
      <c r="AH844" t="s">
        <v>33</v>
      </c>
      <c r="AI844" t="str">
        <f t="shared" si="298"/>
        <v>Include</v>
      </c>
      <c r="AJ844" t="str">
        <f t="shared" si="299"/>
        <v/>
      </c>
      <c r="AK844" t="s">
        <v>124</v>
      </c>
      <c r="AL844" t="str">
        <f t="shared" si="295"/>
        <v>Returned</v>
      </c>
      <c r="AM844" t="str">
        <f t="shared" si="300"/>
        <v>Include</v>
      </c>
      <c r="AN844">
        <f t="shared" si="301"/>
        <v>7453.0719999999992</v>
      </c>
      <c r="AO844">
        <f t="shared" si="302"/>
        <v>2319.2919999999995</v>
      </c>
      <c r="AP844">
        <f>IF(AN844=0,0,AO844/AN844)</f>
        <v>0.31118604516365866</v>
      </c>
      <c r="AQ844" t="str">
        <f t="shared" si="303"/>
        <v>March</v>
      </c>
      <c r="AR844">
        <f t="shared" si="304"/>
        <v>2024</v>
      </c>
      <c r="AS844" t="str">
        <f t="shared" si="305"/>
        <v>Invalid</v>
      </c>
      <c r="AT844" t="str">
        <f>IF(OR(AC844&lt;0,AC844&gt;0.5),"Invalid Discount","Valid")</f>
        <v>Valid</v>
      </c>
      <c r="AU844" t="str">
        <f>IF(G844&lt;E844,"Invalid Shipping Record","Valid")</f>
        <v>Invalid Shipping Record</v>
      </c>
      <c r="AV844" t="str">
        <f>IF(OR(AL844="Cancelled",AH844="Failed"),"Exclude","Include")</f>
        <v>Include</v>
      </c>
      <c r="AW844" t="str">
        <f t="shared" si="306"/>
        <v>Match</v>
      </c>
      <c r="AX844" t="str">
        <f t="shared" si="307"/>
        <v>Match</v>
      </c>
    </row>
    <row r="845" spans="1:50">
      <c r="A845" t="s">
        <v>3863</v>
      </c>
      <c r="B845">
        <f t="shared" si="286"/>
        <v>1</v>
      </c>
      <c r="C845" t="str">
        <f t="shared" si="296"/>
        <v/>
      </c>
      <c r="D845" s="3" t="s">
        <v>2699</v>
      </c>
      <c r="E845" s="7">
        <v>45856</v>
      </c>
      <c r="F845" s="3" t="s">
        <v>3864</v>
      </c>
      <c r="G845" s="7">
        <v>45863</v>
      </c>
      <c r="H845" s="7" t="str">
        <f t="shared" si="287"/>
        <v>Valid</v>
      </c>
      <c r="I845" s="9">
        <f t="shared" si="288"/>
        <v>7</v>
      </c>
      <c r="J845" s="9" t="str">
        <f t="shared" si="289"/>
        <v>Valid</v>
      </c>
      <c r="K845" t="s">
        <v>3865</v>
      </c>
      <c r="L845" t="s">
        <v>141</v>
      </c>
      <c r="M845" t="s">
        <v>141</v>
      </c>
      <c r="N845" t="s">
        <v>40</v>
      </c>
      <c r="O845" s="3" t="str">
        <f t="shared" si="290"/>
        <v>Small Business</v>
      </c>
      <c r="P845" t="s">
        <v>26</v>
      </c>
      <c r="Q845" s="3" t="str">
        <f t="shared" si="291"/>
        <v>North</v>
      </c>
      <c r="R845" t="s">
        <v>173</v>
      </c>
      <c r="S845" t="s">
        <v>174</v>
      </c>
      <c r="T845" t="s">
        <v>85</v>
      </c>
      <c r="U845" s="3" t="str">
        <f t="shared" si="292"/>
        <v>Technology</v>
      </c>
      <c r="V845" t="s">
        <v>222</v>
      </c>
      <c r="W845" t="s">
        <v>3866</v>
      </c>
      <c r="X845" t="s">
        <v>55</v>
      </c>
      <c r="Y845" s="3" t="str">
        <f t="shared" si="293"/>
        <v>First Class</v>
      </c>
      <c r="Z845">
        <v>9</v>
      </c>
      <c r="AA845">
        <v>3989.52</v>
      </c>
      <c r="AB845">
        <v>-0.02</v>
      </c>
      <c r="AC845">
        <f t="shared" si="294"/>
        <v>-0.02</v>
      </c>
      <c r="AD845" t="str">
        <f t="shared" si="297"/>
        <v>Invalid Discount</v>
      </c>
      <c r="AE845">
        <v>35905.68</v>
      </c>
      <c r="AF845">
        <v>23916.1</v>
      </c>
      <c r="AG845">
        <v>11989.58</v>
      </c>
      <c r="AH845" t="s">
        <v>33</v>
      </c>
      <c r="AI845" t="str">
        <f t="shared" si="298"/>
        <v>Include</v>
      </c>
      <c r="AJ845" t="str">
        <f t="shared" si="299"/>
        <v/>
      </c>
      <c r="AK845" t="s">
        <v>34</v>
      </c>
      <c r="AL845" t="str">
        <f t="shared" si="295"/>
        <v>Completed</v>
      </c>
      <c r="AM845" t="str">
        <f t="shared" si="300"/>
        <v>Include</v>
      </c>
      <c r="AN845">
        <f t="shared" si="301"/>
        <v>36623.793600000005</v>
      </c>
      <c r="AO845">
        <f t="shared" si="302"/>
        <v>12707.693600000006</v>
      </c>
      <c r="AP845">
        <f>IF(AN845=0,0,AO845/AN845)</f>
        <v>0.34697917257812433</v>
      </c>
      <c r="AQ845" t="str">
        <f t="shared" si="303"/>
        <v>July</v>
      </c>
      <c r="AR845">
        <f t="shared" si="304"/>
        <v>2025</v>
      </c>
      <c r="AS845" t="str">
        <f t="shared" si="305"/>
        <v>Invalid</v>
      </c>
      <c r="AT845" t="str">
        <f>IF(OR(AC845&lt;0,AC845&gt;0.5),"Invalid Discount","Valid")</f>
        <v>Invalid Discount</v>
      </c>
      <c r="AU845" t="str">
        <f>IF(G845&lt;E845,"Invalid Shipping Record","Valid")</f>
        <v>Valid</v>
      </c>
      <c r="AV845" t="str">
        <f>IF(OR(AL845="Cancelled",AH845="Failed"),"Exclude","Include")</f>
        <v>Include</v>
      </c>
      <c r="AW845" t="str">
        <f t="shared" si="306"/>
        <v>Mismatch</v>
      </c>
      <c r="AX845" t="str">
        <f t="shared" si="307"/>
        <v>Mismatch</v>
      </c>
    </row>
    <row r="846" spans="1:50">
      <c r="A846" t="s">
        <v>3867</v>
      </c>
      <c r="B846">
        <f t="shared" si="286"/>
        <v>1</v>
      </c>
      <c r="C846" t="str">
        <f t="shared" si="296"/>
        <v/>
      </c>
      <c r="D846" s="3" t="s">
        <v>3868</v>
      </c>
      <c r="E846" s="7">
        <v>45677</v>
      </c>
      <c r="F846" s="3" t="s">
        <v>3869</v>
      </c>
      <c r="G846" s="7">
        <v>45682</v>
      </c>
      <c r="H846" s="7" t="str">
        <f t="shared" si="287"/>
        <v>Valid</v>
      </c>
      <c r="I846" s="9">
        <f t="shared" si="288"/>
        <v>5</v>
      </c>
      <c r="J846" s="9" t="str">
        <f t="shared" si="289"/>
        <v>Valid</v>
      </c>
      <c r="K846" t="s">
        <v>3870</v>
      </c>
      <c r="L846" t="s">
        <v>106</v>
      </c>
      <c r="M846" t="s">
        <v>106</v>
      </c>
      <c r="N846" t="s">
        <v>114</v>
      </c>
      <c r="O846" s="3" t="str">
        <f t="shared" si="290"/>
        <v>Home Office</v>
      </c>
      <c r="P846" t="s">
        <v>72</v>
      </c>
      <c r="Q846" s="3" t="str">
        <f t="shared" si="291"/>
        <v>West</v>
      </c>
      <c r="R846" t="s">
        <v>248</v>
      </c>
      <c r="S846" t="s">
        <v>249</v>
      </c>
      <c r="T846" t="s">
        <v>29</v>
      </c>
      <c r="U846" s="3" t="str">
        <f t="shared" si="292"/>
        <v>Office Supplies</v>
      </c>
      <c r="V846" t="s">
        <v>53</v>
      </c>
      <c r="W846" t="s">
        <v>3871</v>
      </c>
      <c r="X846" t="s">
        <v>55</v>
      </c>
      <c r="Y846" s="3" t="str">
        <f t="shared" si="293"/>
        <v>First Class</v>
      </c>
      <c r="Z846">
        <v>1</v>
      </c>
      <c r="AA846">
        <v>3515.15</v>
      </c>
      <c r="AB846">
        <v>0</v>
      </c>
      <c r="AC846">
        <f t="shared" si="294"/>
        <v>0</v>
      </c>
      <c r="AD846" t="str">
        <f t="shared" si="297"/>
        <v>Valid</v>
      </c>
      <c r="AE846">
        <v>3515.15</v>
      </c>
      <c r="AF846">
        <v>2216.34</v>
      </c>
      <c r="AG846">
        <v>1298.81</v>
      </c>
      <c r="AH846" t="s">
        <v>33</v>
      </c>
      <c r="AI846" t="str">
        <f t="shared" si="298"/>
        <v>Include</v>
      </c>
      <c r="AJ846" t="str">
        <f t="shared" si="299"/>
        <v/>
      </c>
      <c r="AK846" t="s">
        <v>34</v>
      </c>
      <c r="AL846" t="str">
        <f t="shared" si="295"/>
        <v>Completed</v>
      </c>
      <c r="AM846" t="str">
        <f t="shared" si="300"/>
        <v>Include</v>
      </c>
      <c r="AN846">
        <f t="shared" si="301"/>
        <v>3515.15</v>
      </c>
      <c r="AO846">
        <f t="shared" si="302"/>
        <v>1298.81</v>
      </c>
      <c r="AP846">
        <f>IF(AN846=0,0,AO846/AN846)</f>
        <v>0.36948921098672882</v>
      </c>
      <c r="AQ846" t="str">
        <f t="shared" si="303"/>
        <v>January</v>
      </c>
      <c r="AR846">
        <f t="shared" si="304"/>
        <v>2025</v>
      </c>
      <c r="AS846" t="str">
        <f t="shared" si="305"/>
        <v>Clean</v>
      </c>
      <c r="AT846" t="str">
        <f>IF(OR(AC846&lt;0,AC846&gt;0.5),"Invalid Discount","Valid")</f>
        <v>Valid</v>
      </c>
      <c r="AU846" t="str">
        <f>IF(G846&lt;E846,"Invalid Shipping Record","Valid")</f>
        <v>Valid</v>
      </c>
      <c r="AV846" t="str">
        <f>IF(OR(AL846="Cancelled",AH846="Failed"),"Exclude","Include")</f>
        <v>Include</v>
      </c>
      <c r="AW846" t="str">
        <f t="shared" si="306"/>
        <v>Match</v>
      </c>
      <c r="AX846" t="str">
        <f t="shared" si="307"/>
        <v>Match</v>
      </c>
    </row>
    <row r="847" spans="1:50">
      <c r="A847" t="s">
        <v>3872</v>
      </c>
      <c r="B847">
        <f t="shared" si="286"/>
        <v>1</v>
      </c>
      <c r="C847" t="str">
        <f t="shared" si="296"/>
        <v/>
      </c>
      <c r="D847" s="3" t="s">
        <v>2771</v>
      </c>
      <c r="E847" s="7">
        <v>45345</v>
      </c>
      <c r="F847" s="3" t="s">
        <v>3873</v>
      </c>
      <c r="G847" s="7">
        <v>45349</v>
      </c>
      <c r="H847" s="7" t="str">
        <f t="shared" si="287"/>
        <v>Valid</v>
      </c>
      <c r="I847" s="9">
        <f t="shared" si="288"/>
        <v>4</v>
      </c>
      <c r="J847" s="9" t="str">
        <f t="shared" si="289"/>
        <v>Valid</v>
      </c>
      <c r="K847" t="s">
        <v>892</v>
      </c>
      <c r="L847" t="s">
        <v>24</v>
      </c>
      <c r="M847" t="s">
        <v>24</v>
      </c>
      <c r="N847" t="s">
        <v>25</v>
      </c>
      <c r="O847" s="3" t="str">
        <f t="shared" si="290"/>
        <v>Consumer</v>
      </c>
      <c r="P847" t="s">
        <v>41</v>
      </c>
      <c r="Q847" s="3" t="str">
        <f t="shared" si="291"/>
        <v>East</v>
      </c>
      <c r="R847" t="s">
        <v>42</v>
      </c>
      <c r="S847" t="s">
        <v>43</v>
      </c>
      <c r="T847" t="s">
        <v>44</v>
      </c>
      <c r="U847" s="3" t="str">
        <f t="shared" si="292"/>
        <v>Furniture</v>
      </c>
      <c r="V847" t="s">
        <v>45</v>
      </c>
      <c r="W847" t="s">
        <v>3874</v>
      </c>
      <c r="X847" t="s">
        <v>55</v>
      </c>
      <c r="Y847" s="3" t="str">
        <f t="shared" si="293"/>
        <v>First Class</v>
      </c>
      <c r="Z847">
        <v>9</v>
      </c>
      <c r="AA847">
        <v>3616.23</v>
      </c>
      <c r="AB847">
        <v>0.25</v>
      </c>
      <c r="AC847">
        <f t="shared" si="294"/>
        <v>0.25</v>
      </c>
      <c r="AD847" t="str">
        <f t="shared" si="297"/>
        <v>Valid</v>
      </c>
      <c r="AE847">
        <v>24409.55</v>
      </c>
      <c r="AF847">
        <v>17157.580000000002</v>
      </c>
      <c r="AG847">
        <v>7251.97</v>
      </c>
      <c r="AH847" t="s">
        <v>136</v>
      </c>
      <c r="AI847" t="str">
        <f t="shared" si="298"/>
        <v>Include</v>
      </c>
      <c r="AJ847" t="str">
        <f t="shared" si="299"/>
        <v/>
      </c>
      <c r="AK847" t="s">
        <v>124</v>
      </c>
      <c r="AL847" t="str">
        <f t="shared" si="295"/>
        <v>Returned</v>
      </c>
      <c r="AM847" t="str">
        <f t="shared" si="300"/>
        <v>Include</v>
      </c>
      <c r="AN847">
        <f t="shared" si="301"/>
        <v>24409.552499999998</v>
      </c>
      <c r="AO847">
        <f t="shared" si="302"/>
        <v>7251.9724999999962</v>
      </c>
      <c r="AP847">
        <f>IF(AN847=0,0,AO847/AN847)</f>
        <v>0.29709567596538267</v>
      </c>
      <c r="AQ847" t="str">
        <f t="shared" si="303"/>
        <v>February</v>
      </c>
      <c r="AR847">
        <f t="shared" si="304"/>
        <v>2024</v>
      </c>
      <c r="AS847" t="str">
        <f t="shared" si="305"/>
        <v>Clean</v>
      </c>
      <c r="AT847" t="str">
        <f>IF(OR(AC847&lt;0,AC847&gt;0.5),"Invalid Discount","Valid")</f>
        <v>Valid</v>
      </c>
      <c r="AU847" t="str">
        <f>IF(G847&lt;E847,"Invalid Shipping Record","Valid")</f>
        <v>Valid</v>
      </c>
      <c r="AV847" t="str">
        <f>IF(OR(AL847="Cancelled",AH847="Failed"),"Exclude","Include")</f>
        <v>Include</v>
      </c>
      <c r="AW847" t="str">
        <f t="shared" si="306"/>
        <v>Match</v>
      </c>
      <c r="AX847" t="str">
        <f t="shared" si="307"/>
        <v>Match</v>
      </c>
    </row>
    <row r="848" spans="1:50">
      <c r="A848" t="s">
        <v>3875</v>
      </c>
      <c r="B848">
        <f t="shared" si="286"/>
        <v>1</v>
      </c>
      <c r="C848" t="str">
        <f t="shared" si="296"/>
        <v/>
      </c>
      <c r="D848" s="3" t="s">
        <v>3876</v>
      </c>
      <c r="E848" s="7">
        <v>45396</v>
      </c>
      <c r="F848" s="3" t="s">
        <v>3877</v>
      </c>
      <c r="G848" s="7">
        <v>45404</v>
      </c>
      <c r="H848" s="7" t="str">
        <f t="shared" si="287"/>
        <v>Valid</v>
      </c>
      <c r="I848" s="9">
        <f t="shared" si="288"/>
        <v>8</v>
      </c>
      <c r="J848" s="9" t="str">
        <f t="shared" si="289"/>
        <v>Valid</v>
      </c>
      <c r="K848" t="s">
        <v>3878</v>
      </c>
      <c r="L848" t="s">
        <v>141</v>
      </c>
      <c r="M848" t="s">
        <v>141</v>
      </c>
      <c r="N848" t="s">
        <v>40</v>
      </c>
      <c r="O848" s="3" t="str">
        <f t="shared" si="290"/>
        <v>Small Business</v>
      </c>
      <c r="P848" t="s">
        <v>72</v>
      </c>
      <c r="Q848" s="3" t="str">
        <f t="shared" si="291"/>
        <v>West</v>
      </c>
      <c r="R848" t="s">
        <v>234</v>
      </c>
      <c r="S848" t="s">
        <v>235</v>
      </c>
      <c r="T848" t="s">
        <v>44</v>
      </c>
      <c r="U848" s="3" t="str">
        <f t="shared" si="292"/>
        <v>Furniture</v>
      </c>
      <c r="V848" t="s">
        <v>203</v>
      </c>
      <c r="W848" t="s">
        <v>3879</v>
      </c>
      <c r="X848" t="s">
        <v>66</v>
      </c>
      <c r="Y848" s="3" t="str">
        <f t="shared" si="293"/>
        <v>Standard Class</v>
      </c>
      <c r="Z848">
        <v>2</v>
      </c>
      <c r="AA848">
        <v>3977.52</v>
      </c>
      <c r="AB848">
        <v>0</v>
      </c>
      <c r="AC848">
        <f t="shared" si="294"/>
        <v>0</v>
      </c>
      <c r="AD848" t="str">
        <f t="shared" si="297"/>
        <v>Valid</v>
      </c>
      <c r="AE848">
        <v>7955.04</v>
      </c>
      <c r="AF848">
        <v>5580.68</v>
      </c>
      <c r="AG848">
        <v>2374.36</v>
      </c>
      <c r="AH848" t="s">
        <v>136</v>
      </c>
      <c r="AI848" t="str">
        <f t="shared" si="298"/>
        <v>Include</v>
      </c>
      <c r="AJ848" t="str">
        <f t="shared" si="299"/>
        <v/>
      </c>
      <c r="AK848" t="s">
        <v>124</v>
      </c>
      <c r="AL848" t="str">
        <f t="shared" si="295"/>
        <v>Returned</v>
      </c>
      <c r="AM848" t="str">
        <f t="shared" si="300"/>
        <v>Include</v>
      </c>
      <c r="AN848">
        <f t="shared" si="301"/>
        <v>7955.04</v>
      </c>
      <c r="AO848">
        <f t="shared" si="302"/>
        <v>2374.3599999999997</v>
      </c>
      <c r="AP848">
        <f>IF(AN848=0,0,AO848/AN848)</f>
        <v>0.29847241497214339</v>
      </c>
      <c r="AQ848" t="str">
        <f t="shared" si="303"/>
        <v>April</v>
      </c>
      <c r="AR848">
        <f t="shared" si="304"/>
        <v>2024</v>
      </c>
      <c r="AS848" t="str">
        <f t="shared" si="305"/>
        <v>Clean</v>
      </c>
      <c r="AT848" t="str">
        <f>IF(OR(AC848&lt;0,AC848&gt;0.5),"Invalid Discount","Valid")</f>
        <v>Valid</v>
      </c>
      <c r="AU848" t="str">
        <f>IF(G848&lt;E848,"Invalid Shipping Record","Valid")</f>
        <v>Valid</v>
      </c>
      <c r="AV848" t="str">
        <f>IF(OR(AL848="Cancelled",AH848="Failed"),"Exclude","Include")</f>
        <v>Include</v>
      </c>
      <c r="AW848" t="str">
        <f t="shared" si="306"/>
        <v>Match</v>
      </c>
      <c r="AX848" t="str">
        <f t="shared" si="307"/>
        <v>Match</v>
      </c>
    </row>
    <row r="849" spans="1:50">
      <c r="A849" t="s">
        <v>3880</v>
      </c>
      <c r="B849">
        <f t="shared" si="286"/>
        <v>1</v>
      </c>
      <c r="C849" t="str">
        <f t="shared" si="296"/>
        <v/>
      </c>
      <c r="D849" s="3" t="s">
        <v>3881</v>
      </c>
      <c r="E849" s="7">
        <v>45797</v>
      </c>
      <c r="F849" s="3" t="s">
        <v>3882</v>
      </c>
      <c r="G849" s="7">
        <v>45799</v>
      </c>
      <c r="H849" s="7" t="str">
        <f t="shared" si="287"/>
        <v>Valid</v>
      </c>
      <c r="I849" s="9">
        <f t="shared" si="288"/>
        <v>2</v>
      </c>
      <c r="J849" s="9" t="str">
        <f t="shared" si="289"/>
        <v>Valid</v>
      </c>
      <c r="K849" t="s">
        <v>3883</v>
      </c>
      <c r="L849" t="s">
        <v>209</v>
      </c>
      <c r="M849" t="s">
        <v>209</v>
      </c>
      <c r="N849" t="s">
        <v>114</v>
      </c>
      <c r="O849" s="3" t="str">
        <f t="shared" si="290"/>
        <v>Home Office</v>
      </c>
      <c r="P849" t="s">
        <v>41</v>
      </c>
      <c r="Q849" s="3" t="str">
        <f t="shared" si="291"/>
        <v>East</v>
      </c>
      <c r="R849" t="s">
        <v>42</v>
      </c>
      <c r="S849" t="s">
        <v>43</v>
      </c>
      <c r="T849" t="s">
        <v>44</v>
      </c>
      <c r="U849" s="3" t="str">
        <f t="shared" si="292"/>
        <v>Furniture</v>
      </c>
      <c r="V849" t="s">
        <v>45</v>
      </c>
      <c r="W849" t="s">
        <v>3884</v>
      </c>
      <c r="X849" t="s">
        <v>32</v>
      </c>
      <c r="Y849" s="3" t="str">
        <f t="shared" si="293"/>
        <v>Second Class</v>
      </c>
      <c r="Z849">
        <v>2</v>
      </c>
      <c r="AA849">
        <v>210.08</v>
      </c>
      <c r="AB849">
        <v>0.2</v>
      </c>
      <c r="AC849">
        <f t="shared" si="294"/>
        <v>0.2</v>
      </c>
      <c r="AD849" t="str">
        <f t="shared" si="297"/>
        <v>Valid</v>
      </c>
      <c r="AE849">
        <v>336.13</v>
      </c>
      <c r="AF849">
        <v>242.19</v>
      </c>
      <c r="AG849">
        <v>93.94</v>
      </c>
      <c r="AH849" t="s">
        <v>33</v>
      </c>
      <c r="AI849" t="str">
        <f t="shared" si="298"/>
        <v>Include</v>
      </c>
      <c r="AJ849" t="str">
        <f t="shared" si="299"/>
        <v/>
      </c>
      <c r="AK849" t="s">
        <v>34</v>
      </c>
      <c r="AL849" t="str">
        <f t="shared" si="295"/>
        <v>Completed</v>
      </c>
      <c r="AM849" t="str">
        <f t="shared" si="300"/>
        <v>Include</v>
      </c>
      <c r="AN849">
        <f t="shared" si="301"/>
        <v>336.12800000000004</v>
      </c>
      <c r="AO849">
        <f t="shared" si="302"/>
        <v>93.938000000000045</v>
      </c>
      <c r="AP849">
        <f>IF(AN849=0,0,AO849/AN849)</f>
        <v>0.27947091584158423</v>
      </c>
      <c r="AQ849" t="str">
        <f t="shared" si="303"/>
        <v>May</v>
      </c>
      <c r="AR849">
        <f t="shared" si="304"/>
        <v>2025</v>
      </c>
      <c r="AS849" t="str">
        <f t="shared" si="305"/>
        <v>Clean</v>
      </c>
      <c r="AT849" t="str">
        <f>IF(OR(AC849&lt;0,AC849&gt;0.5),"Invalid Discount","Valid")</f>
        <v>Valid</v>
      </c>
      <c r="AU849" t="str">
        <f>IF(G849&lt;E849,"Invalid Shipping Record","Valid")</f>
        <v>Valid</v>
      </c>
      <c r="AV849" t="str">
        <f>IF(OR(AL849="Cancelled",AH849="Failed"),"Exclude","Include")</f>
        <v>Include</v>
      </c>
      <c r="AW849" t="str">
        <f t="shared" si="306"/>
        <v>Match</v>
      </c>
      <c r="AX849" t="str">
        <f t="shared" si="307"/>
        <v>Match</v>
      </c>
    </row>
    <row r="850" spans="1:50">
      <c r="A850" t="s">
        <v>3885</v>
      </c>
      <c r="B850">
        <f t="shared" si="286"/>
        <v>1</v>
      </c>
      <c r="C850" t="str">
        <f t="shared" si="296"/>
        <v/>
      </c>
      <c r="D850" s="3" t="s">
        <v>3144</v>
      </c>
      <c r="E850" s="7">
        <v>45804</v>
      </c>
      <c r="F850" s="3" t="s">
        <v>3886</v>
      </c>
      <c r="G850" s="7">
        <v>45806</v>
      </c>
      <c r="H850" s="7" t="str">
        <f t="shared" si="287"/>
        <v>Valid</v>
      </c>
      <c r="I850" s="9">
        <f t="shared" si="288"/>
        <v>2</v>
      </c>
      <c r="J850" s="9" t="str">
        <f t="shared" si="289"/>
        <v>Valid</v>
      </c>
      <c r="K850" t="s">
        <v>3887</v>
      </c>
      <c r="L850" t="s">
        <v>147</v>
      </c>
      <c r="M850" t="s">
        <v>147</v>
      </c>
      <c r="N850" t="s">
        <v>114</v>
      </c>
      <c r="O850" s="3" t="str">
        <f t="shared" si="290"/>
        <v>Home Office</v>
      </c>
      <c r="P850" t="s">
        <v>61</v>
      </c>
      <c r="Q850" s="3" t="str">
        <f t="shared" si="291"/>
        <v>South</v>
      </c>
      <c r="R850" t="s">
        <v>338</v>
      </c>
      <c r="S850" t="s">
        <v>339</v>
      </c>
      <c r="T850" t="s">
        <v>44</v>
      </c>
      <c r="U850" s="3" t="str">
        <f t="shared" si="292"/>
        <v>Furniture</v>
      </c>
      <c r="V850" t="s">
        <v>64</v>
      </c>
      <c r="W850" t="s">
        <v>3888</v>
      </c>
      <c r="X850" t="s">
        <v>32</v>
      </c>
      <c r="Y850" s="3" t="str">
        <f t="shared" si="293"/>
        <v>Second Class</v>
      </c>
      <c r="Z850">
        <v>1</v>
      </c>
      <c r="AA850">
        <v>1744.35</v>
      </c>
      <c r="AB850">
        <v>0.25</v>
      </c>
      <c r="AC850">
        <f t="shared" si="294"/>
        <v>0.25</v>
      </c>
      <c r="AD850" t="str">
        <f t="shared" si="297"/>
        <v>Valid</v>
      </c>
      <c r="AE850">
        <v>1308.26</v>
      </c>
      <c r="AF850">
        <v>1083.56</v>
      </c>
      <c r="AG850">
        <v>224.7</v>
      </c>
      <c r="AH850" t="s">
        <v>33</v>
      </c>
      <c r="AI850" t="str">
        <f t="shared" si="298"/>
        <v>Include</v>
      </c>
      <c r="AJ850" t="str">
        <f t="shared" si="299"/>
        <v/>
      </c>
      <c r="AK850" t="s">
        <v>34</v>
      </c>
      <c r="AL850" t="str">
        <f t="shared" si="295"/>
        <v>Completed</v>
      </c>
      <c r="AM850" t="str">
        <f t="shared" si="300"/>
        <v>Include</v>
      </c>
      <c r="AN850">
        <f t="shared" si="301"/>
        <v>1308.2624999999998</v>
      </c>
      <c r="AO850">
        <f t="shared" si="302"/>
        <v>224.70249999999987</v>
      </c>
      <c r="AP850">
        <f>IF(AN850=0,0,AO850/AN850)</f>
        <v>0.17175643267310645</v>
      </c>
      <c r="AQ850" t="str">
        <f t="shared" si="303"/>
        <v>May</v>
      </c>
      <c r="AR850">
        <f t="shared" si="304"/>
        <v>2025</v>
      </c>
      <c r="AS850" t="str">
        <f t="shared" si="305"/>
        <v>Clean</v>
      </c>
      <c r="AT850" t="str">
        <f>IF(OR(AC850&lt;0,AC850&gt;0.5),"Invalid Discount","Valid")</f>
        <v>Valid</v>
      </c>
      <c r="AU850" t="str">
        <f>IF(G850&lt;E850,"Invalid Shipping Record","Valid")</f>
        <v>Valid</v>
      </c>
      <c r="AV850" t="str">
        <f>IF(OR(AL850="Cancelled",AH850="Failed"),"Exclude","Include")</f>
        <v>Include</v>
      </c>
      <c r="AW850" t="str">
        <f t="shared" si="306"/>
        <v>Match</v>
      </c>
      <c r="AX850" t="str">
        <f t="shared" si="307"/>
        <v>Match</v>
      </c>
    </row>
    <row r="851" spans="1:50">
      <c r="A851" t="s">
        <v>3889</v>
      </c>
      <c r="B851">
        <f t="shared" si="286"/>
        <v>1</v>
      </c>
      <c r="C851" t="str">
        <f t="shared" si="296"/>
        <v/>
      </c>
      <c r="D851" s="3" t="s">
        <v>3890</v>
      </c>
      <c r="E851" s="7">
        <v>45357</v>
      </c>
      <c r="F851" s="3" t="s">
        <v>1070</v>
      </c>
      <c r="G851" s="7">
        <v>45363</v>
      </c>
      <c r="H851" s="7" t="str">
        <f t="shared" si="287"/>
        <v>Valid</v>
      </c>
      <c r="I851" s="9">
        <f t="shared" si="288"/>
        <v>6</v>
      </c>
      <c r="J851" s="9" t="str">
        <f t="shared" si="289"/>
        <v>Valid</v>
      </c>
      <c r="K851" t="s">
        <v>3891</v>
      </c>
      <c r="L851" t="s">
        <v>52</v>
      </c>
      <c r="M851" t="s">
        <v>52</v>
      </c>
      <c r="N851" t="s">
        <v>114</v>
      </c>
      <c r="O851" s="3" t="str">
        <f t="shared" si="290"/>
        <v>Home Office</v>
      </c>
      <c r="P851" t="s">
        <v>72</v>
      </c>
      <c r="Q851" s="3" t="str">
        <f t="shared" si="291"/>
        <v>West</v>
      </c>
      <c r="R851" t="s">
        <v>234</v>
      </c>
      <c r="S851" t="s">
        <v>235</v>
      </c>
      <c r="T851" t="s">
        <v>44</v>
      </c>
      <c r="U851" s="3" t="str">
        <f t="shared" si="292"/>
        <v>Furniture</v>
      </c>
      <c r="V851" t="s">
        <v>203</v>
      </c>
      <c r="W851" t="s">
        <v>3892</v>
      </c>
      <c r="X851" t="s">
        <v>66</v>
      </c>
      <c r="Y851" s="3" t="str">
        <f t="shared" si="293"/>
        <v>Standard Class</v>
      </c>
      <c r="Z851">
        <v>3</v>
      </c>
      <c r="AA851">
        <v>679.63</v>
      </c>
      <c r="AB851">
        <v>0.2</v>
      </c>
      <c r="AC851">
        <f t="shared" si="294"/>
        <v>0.2</v>
      </c>
      <c r="AD851" t="str">
        <f t="shared" si="297"/>
        <v>Valid</v>
      </c>
      <c r="AE851">
        <v>1631.11</v>
      </c>
      <c r="AF851">
        <v>898.73</v>
      </c>
      <c r="AG851">
        <v>396.58</v>
      </c>
      <c r="AH851" t="s">
        <v>33</v>
      </c>
      <c r="AI851" t="str">
        <f t="shared" si="298"/>
        <v>Include</v>
      </c>
      <c r="AJ851" t="str">
        <f t="shared" si="299"/>
        <v/>
      </c>
      <c r="AK851" t="s">
        <v>34</v>
      </c>
      <c r="AL851" t="str">
        <f t="shared" si="295"/>
        <v>Completed</v>
      </c>
      <c r="AM851" t="str">
        <f t="shared" si="300"/>
        <v>Include</v>
      </c>
      <c r="AN851">
        <f t="shared" si="301"/>
        <v>1631.1120000000001</v>
      </c>
      <c r="AO851">
        <f t="shared" si="302"/>
        <v>732.38200000000006</v>
      </c>
      <c r="AP851">
        <f>IF(AN851=0,0,AO851/AN851)</f>
        <v>0.44900779345624336</v>
      </c>
      <c r="AQ851" t="str">
        <f t="shared" si="303"/>
        <v>March</v>
      </c>
      <c r="AR851">
        <f t="shared" si="304"/>
        <v>2024</v>
      </c>
      <c r="AS851" t="str">
        <f t="shared" si="305"/>
        <v>Clean</v>
      </c>
      <c r="AT851" t="str">
        <f>IF(OR(AC851&lt;0,AC851&gt;0.5),"Invalid Discount","Valid")</f>
        <v>Valid</v>
      </c>
      <c r="AU851" t="str">
        <f>IF(G851&lt;E851,"Invalid Shipping Record","Valid")</f>
        <v>Valid</v>
      </c>
      <c r="AV851" t="str">
        <f>IF(OR(AL851="Cancelled",AH851="Failed"),"Exclude","Include")</f>
        <v>Include</v>
      </c>
      <c r="AW851" t="str">
        <f t="shared" si="306"/>
        <v>Match</v>
      </c>
      <c r="AX851" t="str">
        <f t="shared" si="307"/>
        <v>Mismatch</v>
      </c>
    </row>
    <row r="852" spans="1:50">
      <c r="A852" t="s">
        <v>3893</v>
      </c>
      <c r="B852">
        <f t="shared" si="286"/>
        <v>1</v>
      </c>
      <c r="C852" t="str">
        <f t="shared" si="296"/>
        <v/>
      </c>
      <c r="D852" s="3" t="s">
        <v>2103</v>
      </c>
      <c r="E852" s="7">
        <v>45473</v>
      </c>
      <c r="F852" s="3" t="s">
        <v>3770</v>
      </c>
      <c r="G852" s="7">
        <v>45476</v>
      </c>
      <c r="H852" s="7" t="str">
        <f t="shared" si="287"/>
        <v>Valid</v>
      </c>
      <c r="I852" s="9">
        <f t="shared" si="288"/>
        <v>3</v>
      </c>
      <c r="J852" s="9" t="str">
        <f t="shared" si="289"/>
        <v>Valid</v>
      </c>
      <c r="K852" t="s">
        <v>3894</v>
      </c>
      <c r="L852" t="s">
        <v>141</v>
      </c>
      <c r="M852" t="s">
        <v>141</v>
      </c>
      <c r="N852" t="s">
        <v>114</v>
      </c>
      <c r="O852" s="3" t="str">
        <f t="shared" si="290"/>
        <v>Home Office</v>
      </c>
      <c r="P852" t="s">
        <v>41</v>
      </c>
      <c r="Q852" s="3" t="str">
        <f t="shared" si="291"/>
        <v>East</v>
      </c>
      <c r="R852" t="s">
        <v>120</v>
      </c>
      <c r="S852" t="s">
        <v>121</v>
      </c>
      <c r="T852" t="s">
        <v>29</v>
      </c>
      <c r="U852" s="3" t="str">
        <f t="shared" si="292"/>
        <v>Office Supplies</v>
      </c>
      <c r="V852" t="s">
        <v>30</v>
      </c>
      <c r="W852" t="s">
        <v>3895</v>
      </c>
      <c r="X852" t="s">
        <v>55</v>
      </c>
      <c r="Y852" s="3" t="str">
        <f t="shared" si="293"/>
        <v>First Class</v>
      </c>
      <c r="Z852">
        <v>6</v>
      </c>
      <c r="AA852">
        <v>1211.01</v>
      </c>
      <c r="AB852">
        <v>0</v>
      </c>
      <c r="AC852">
        <f t="shared" si="294"/>
        <v>0</v>
      </c>
      <c r="AD852" t="str">
        <f t="shared" si="297"/>
        <v>Valid</v>
      </c>
      <c r="AE852">
        <v>7266.06</v>
      </c>
      <c r="AF852">
        <v>6216.89</v>
      </c>
      <c r="AG852">
        <v>1049.17</v>
      </c>
      <c r="AH852" t="s">
        <v>33</v>
      </c>
      <c r="AI852" t="str">
        <f t="shared" si="298"/>
        <v>Include</v>
      </c>
      <c r="AJ852" t="str">
        <f t="shared" si="299"/>
        <v/>
      </c>
      <c r="AK852" t="s">
        <v>34</v>
      </c>
      <c r="AL852" t="str">
        <f t="shared" si="295"/>
        <v>Completed</v>
      </c>
      <c r="AM852" t="str">
        <f t="shared" si="300"/>
        <v>Include</v>
      </c>
      <c r="AN852">
        <f t="shared" si="301"/>
        <v>7266.0599999999995</v>
      </c>
      <c r="AO852">
        <f t="shared" si="302"/>
        <v>1049.1699999999992</v>
      </c>
      <c r="AP852">
        <f>IF(AN852=0,0,AO852/AN852)</f>
        <v>0.14439324750965438</v>
      </c>
      <c r="AQ852" t="str">
        <f t="shared" si="303"/>
        <v>June</v>
      </c>
      <c r="AR852">
        <f t="shared" si="304"/>
        <v>2024</v>
      </c>
      <c r="AS852" t="str">
        <f t="shared" si="305"/>
        <v>Clean</v>
      </c>
      <c r="AT852" t="str">
        <f>IF(OR(AC852&lt;0,AC852&gt;0.5),"Invalid Discount","Valid")</f>
        <v>Valid</v>
      </c>
      <c r="AU852" t="str">
        <f>IF(G852&lt;E852,"Invalid Shipping Record","Valid")</f>
        <v>Valid</v>
      </c>
      <c r="AV852" t="str">
        <f>IF(OR(AL852="Cancelled",AH852="Failed"),"Exclude","Include")</f>
        <v>Include</v>
      </c>
      <c r="AW852" t="str">
        <f t="shared" si="306"/>
        <v>Match</v>
      </c>
      <c r="AX852" t="str">
        <f t="shared" si="307"/>
        <v>Match</v>
      </c>
    </row>
    <row r="853" spans="1:50">
      <c r="A853" t="s">
        <v>3896</v>
      </c>
      <c r="B853">
        <f t="shared" si="286"/>
        <v>1</v>
      </c>
      <c r="C853" t="str">
        <f t="shared" si="296"/>
        <v/>
      </c>
      <c r="D853" s="3" t="s">
        <v>805</v>
      </c>
      <c r="E853" s="7">
        <v>45377</v>
      </c>
      <c r="F853" s="3" t="s">
        <v>3153</v>
      </c>
      <c r="G853" s="7">
        <v>45383</v>
      </c>
      <c r="H853" s="7" t="str">
        <f t="shared" si="287"/>
        <v>Valid</v>
      </c>
      <c r="I853" s="9">
        <f t="shared" si="288"/>
        <v>6</v>
      </c>
      <c r="J853" s="9" t="str">
        <f t="shared" si="289"/>
        <v>Valid</v>
      </c>
      <c r="K853" t="s">
        <v>3897</v>
      </c>
      <c r="L853" t="s">
        <v>24</v>
      </c>
      <c r="M853" t="s">
        <v>24</v>
      </c>
      <c r="N853" t="s">
        <v>40</v>
      </c>
      <c r="O853" s="3" t="str">
        <f t="shared" si="290"/>
        <v>Small Business</v>
      </c>
      <c r="P853" t="s">
        <v>72</v>
      </c>
      <c r="Q853" s="3" t="str">
        <f t="shared" si="291"/>
        <v>West</v>
      </c>
      <c r="R853" t="s">
        <v>234</v>
      </c>
      <c r="S853" t="s">
        <v>235</v>
      </c>
      <c r="T853" t="s">
        <v>85</v>
      </c>
      <c r="U853" s="3" t="str">
        <f t="shared" si="292"/>
        <v>Technology</v>
      </c>
      <c r="V853" t="s">
        <v>86</v>
      </c>
      <c r="W853" t="s">
        <v>3898</v>
      </c>
      <c r="X853" t="s">
        <v>55</v>
      </c>
      <c r="Y853" s="3" t="str">
        <f t="shared" si="293"/>
        <v>First Class</v>
      </c>
      <c r="Z853">
        <v>2</v>
      </c>
      <c r="AA853">
        <v>1161.3</v>
      </c>
      <c r="AB853">
        <v>0.2</v>
      </c>
      <c r="AC853">
        <f t="shared" si="294"/>
        <v>0.2</v>
      </c>
      <c r="AD853" t="str">
        <f t="shared" si="297"/>
        <v>Valid</v>
      </c>
      <c r="AE853">
        <v>1858.08</v>
      </c>
      <c r="AF853">
        <v>1590.75</v>
      </c>
      <c r="AG853">
        <v>267.33</v>
      </c>
      <c r="AH853" t="s">
        <v>33</v>
      </c>
      <c r="AI853" t="str">
        <f t="shared" si="298"/>
        <v>Include</v>
      </c>
      <c r="AJ853" t="str">
        <f t="shared" si="299"/>
        <v/>
      </c>
      <c r="AK853" t="s">
        <v>34</v>
      </c>
      <c r="AL853" t="str">
        <f t="shared" si="295"/>
        <v>Completed</v>
      </c>
      <c r="AM853" t="str">
        <f t="shared" si="300"/>
        <v>Include</v>
      </c>
      <c r="AN853">
        <f t="shared" si="301"/>
        <v>1858.08</v>
      </c>
      <c r="AO853">
        <f t="shared" si="302"/>
        <v>267.32999999999993</v>
      </c>
      <c r="AP853">
        <f>IF(AN853=0,0,AO853/AN853)</f>
        <v>0.14387432188065097</v>
      </c>
      <c r="AQ853" t="str">
        <f t="shared" si="303"/>
        <v>March</v>
      </c>
      <c r="AR853">
        <f t="shared" si="304"/>
        <v>2024</v>
      </c>
      <c r="AS853" t="str">
        <f t="shared" si="305"/>
        <v>Clean</v>
      </c>
      <c r="AT853" t="str">
        <f>IF(OR(AC853&lt;0,AC853&gt;0.5),"Invalid Discount","Valid")</f>
        <v>Valid</v>
      </c>
      <c r="AU853" t="str">
        <f>IF(G853&lt;E853,"Invalid Shipping Record","Valid")</f>
        <v>Valid</v>
      </c>
      <c r="AV853" t="str">
        <f>IF(OR(AL853="Cancelled",AH853="Failed"),"Exclude","Include")</f>
        <v>Include</v>
      </c>
      <c r="AW853" t="str">
        <f t="shared" si="306"/>
        <v>Match</v>
      </c>
      <c r="AX853" t="str">
        <f t="shared" si="307"/>
        <v>Match</v>
      </c>
    </row>
    <row r="854" spans="1:50">
      <c r="A854" t="s">
        <v>3899</v>
      </c>
      <c r="B854">
        <f t="shared" si="286"/>
        <v>1</v>
      </c>
      <c r="C854" t="str">
        <f t="shared" si="296"/>
        <v/>
      </c>
      <c r="D854" s="3" t="s">
        <v>3900</v>
      </c>
      <c r="E854" s="7">
        <v>45383</v>
      </c>
      <c r="F854" s="3" t="s">
        <v>3723</v>
      </c>
      <c r="G854" s="7">
        <v>45390</v>
      </c>
      <c r="H854" s="7" t="str">
        <f t="shared" si="287"/>
        <v>Valid</v>
      </c>
      <c r="I854" s="9">
        <f t="shared" si="288"/>
        <v>7</v>
      </c>
      <c r="J854" s="9" t="str">
        <f t="shared" si="289"/>
        <v>Valid</v>
      </c>
      <c r="K854" t="s">
        <v>3901</v>
      </c>
      <c r="L854" t="s">
        <v>71</v>
      </c>
      <c r="M854" t="s">
        <v>71</v>
      </c>
      <c r="N854" t="s">
        <v>25</v>
      </c>
      <c r="O854" s="3" t="str">
        <f t="shared" si="290"/>
        <v>Consumer</v>
      </c>
      <c r="P854" t="s">
        <v>41</v>
      </c>
      <c r="Q854" s="3" t="str">
        <f t="shared" si="291"/>
        <v>East</v>
      </c>
      <c r="R854" t="s">
        <v>215</v>
      </c>
      <c r="S854" t="s">
        <v>216</v>
      </c>
      <c r="T854" t="s">
        <v>44</v>
      </c>
      <c r="U854" s="3" t="str">
        <f t="shared" si="292"/>
        <v>Furniture</v>
      </c>
      <c r="V854" t="s">
        <v>45</v>
      </c>
      <c r="W854" t="s">
        <v>3902</v>
      </c>
      <c r="X854" t="s">
        <v>32</v>
      </c>
      <c r="Y854" s="3" t="str">
        <f t="shared" si="293"/>
        <v>Second Class</v>
      </c>
      <c r="Z854">
        <v>7</v>
      </c>
      <c r="AA854">
        <v>4205.3500000000004</v>
      </c>
      <c r="AB854">
        <v>0.15</v>
      </c>
      <c r="AC854">
        <f t="shared" si="294"/>
        <v>0.15</v>
      </c>
      <c r="AD854" t="str">
        <f t="shared" si="297"/>
        <v>Valid</v>
      </c>
      <c r="AE854">
        <v>25021.83</v>
      </c>
      <c r="AF854">
        <v>15544.44</v>
      </c>
      <c r="AG854">
        <v>9477.39</v>
      </c>
      <c r="AH854" t="s">
        <v>136</v>
      </c>
      <c r="AI854" t="str">
        <f t="shared" si="298"/>
        <v>Exclude</v>
      </c>
      <c r="AJ854" t="str">
        <f t="shared" si="299"/>
        <v/>
      </c>
      <c r="AK854" t="s">
        <v>77</v>
      </c>
      <c r="AL854" t="str">
        <f t="shared" si="295"/>
        <v>Cancelled</v>
      </c>
      <c r="AM854" t="str">
        <f t="shared" si="300"/>
        <v>Exclude</v>
      </c>
      <c r="AN854">
        <f t="shared" si="301"/>
        <v>25021.832500000004</v>
      </c>
      <c r="AO854">
        <f t="shared" si="302"/>
        <v>9477.3925000000036</v>
      </c>
      <c r="AP854">
        <f>IF(AN854=0,0,AO854/AN854)</f>
        <v>0.37876492459135447</v>
      </c>
      <c r="AQ854" t="str">
        <f t="shared" si="303"/>
        <v>April</v>
      </c>
      <c r="AR854">
        <f t="shared" si="304"/>
        <v>2024</v>
      </c>
      <c r="AS854" t="str">
        <f t="shared" si="305"/>
        <v>Clean</v>
      </c>
      <c r="AT854" t="str">
        <f>IF(OR(AC854&lt;0,AC854&gt;0.5),"Invalid Discount","Valid")</f>
        <v>Valid</v>
      </c>
      <c r="AU854" t="str">
        <f>IF(G854&lt;E854,"Invalid Shipping Record","Valid")</f>
        <v>Valid</v>
      </c>
      <c r="AV854" t="str">
        <f>IF(OR(AL854="Cancelled",AH854="Failed"),"Exclude","Include")</f>
        <v>Exclude</v>
      </c>
      <c r="AW854" t="str">
        <f t="shared" si="306"/>
        <v>Match</v>
      </c>
      <c r="AX854" t="str">
        <f t="shared" si="307"/>
        <v>Match</v>
      </c>
    </row>
    <row r="855" spans="1:50">
      <c r="A855" t="s">
        <v>3903</v>
      </c>
      <c r="B855">
        <f t="shared" si="286"/>
        <v>1</v>
      </c>
      <c r="C855" t="str">
        <f t="shared" si="296"/>
        <v/>
      </c>
      <c r="D855" s="3" t="s">
        <v>3904</v>
      </c>
      <c r="E855" s="7">
        <v>45793</v>
      </c>
      <c r="F855" s="3" t="s">
        <v>3882</v>
      </c>
      <c r="G855" s="7">
        <v>45799</v>
      </c>
      <c r="H855" s="7" t="str">
        <f t="shared" si="287"/>
        <v>Valid</v>
      </c>
      <c r="I855" s="9">
        <f t="shared" si="288"/>
        <v>6</v>
      </c>
      <c r="J855" s="9" t="str">
        <f t="shared" si="289"/>
        <v>Valid</v>
      </c>
      <c r="K855" t="s">
        <v>3905</v>
      </c>
      <c r="L855" t="s">
        <v>60</v>
      </c>
      <c r="M855" t="s">
        <v>60</v>
      </c>
      <c r="N855" t="s">
        <v>107</v>
      </c>
      <c r="O855" s="3" t="str">
        <f t="shared" si="290"/>
        <v>Corporate</v>
      </c>
      <c r="P855" t="s">
        <v>61</v>
      </c>
      <c r="Q855" s="3" t="str">
        <f t="shared" si="291"/>
        <v>South</v>
      </c>
      <c r="R855" t="s">
        <v>338</v>
      </c>
      <c r="S855" t="s">
        <v>339</v>
      </c>
      <c r="T855" t="s">
        <v>85</v>
      </c>
      <c r="U855" s="3" t="str">
        <f t="shared" si="292"/>
        <v>Technology</v>
      </c>
      <c r="V855" t="s">
        <v>86</v>
      </c>
      <c r="W855" t="s">
        <v>3906</v>
      </c>
      <c r="X855" t="s">
        <v>47</v>
      </c>
      <c r="Y855" s="3" t="str">
        <f t="shared" si="293"/>
        <v>Same Day</v>
      </c>
      <c r="Z855">
        <v>8</v>
      </c>
      <c r="AA855">
        <v>579.79999999999995</v>
      </c>
      <c r="AB855">
        <v>0.2</v>
      </c>
      <c r="AC855">
        <f t="shared" si="294"/>
        <v>0.2</v>
      </c>
      <c r="AD855" t="str">
        <f t="shared" si="297"/>
        <v>Valid</v>
      </c>
      <c r="AE855">
        <v>3710.72</v>
      </c>
      <c r="AF855">
        <v>3115.29</v>
      </c>
      <c r="AG855">
        <v>595.42999999999995</v>
      </c>
      <c r="AH855" t="s">
        <v>33</v>
      </c>
      <c r="AI855" t="str">
        <f t="shared" si="298"/>
        <v>Include</v>
      </c>
      <c r="AJ855" t="str">
        <f t="shared" si="299"/>
        <v/>
      </c>
      <c r="AK855" t="s">
        <v>34</v>
      </c>
      <c r="AL855" t="str">
        <f t="shared" si="295"/>
        <v>Completed</v>
      </c>
      <c r="AM855" t="str">
        <f t="shared" si="300"/>
        <v>Include</v>
      </c>
      <c r="AN855">
        <f t="shared" si="301"/>
        <v>3710.72</v>
      </c>
      <c r="AO855">
        <f t="shared" si="302"/>
        <v>595.42999999999984</v>
      </c>
      <c r="AP855">
        <f>IF(AN855=0,0,AO855/AN855)</f>
        <v>0.16046212055881334</v>
      </c>
      <c r="AQ855" t="str">
        <f t="shared" si="303"/>
        <v>May</v>
      </c>
      <c r="AR855">
        <f t="shared" si="304"/>
        <v>2025</v>
      </c>
      <c r="AS855" t="str">
        <f t="shared" si="305"/>
        <v>Clean</v>
      </c>
      <c r="AT855" t="str">
        <f>IF(OR(AC855&lt;0,AC855&gt;0.5),"Invalid Discount","Valid")</f>
        <v>Valid</v>
      </c>
      <c r="AU855" t="str">
        <f>IF(G855&lt;E855,"Invalid Shipping Record","Valid")</f>
        <v>Valid</v>
      </c>
      <c r="AV855" t="str">
        <f>IF(OR(AL855="Cancelled",AH855="Failed"),"Exclude","Include")</f>
        <v>Include</v>
      </c>
      <c r="AW855" t="str">
        <f t="shared" si="306"/>
        <v>Match</v>
      </c>
      <c r="AX855" t="str">
        <f t="shared" si="307"/>
        <v>Match</v>
      </c>
    </row>
    <row r="856" spans="1:50">
      <c r="A856" t="s">
        <v>3907</v>
      </c>
      <c r="B856">
        <f t="shared" si="286"/>
        <v>1</v>
      </c>
      <c r="C856" t="str">
        <f t="shared" si="296"/>
        <v/>
      </c>
      <c r="D856" s="3" t="s">
        <v>3908</v>
      </c>
      <c r="E856" s="7">
        <v>45741</v>
      </c>
      <c r="F856" s="3" t="s">
        <v>3909</v>
      </c>
      <c r="G856" s="7">
        <v>45749</v>
      </c>
      <c r="H856" s="7" t="str">
        <f t="shared" si="287"/>
        <v>Valid</v>
      </c>
      <c r="I856" s="9">
        <f t="shared" si="288"/>
        <v>8</v>
      </c>
      <c r="J856" s="9" t="str">
        <f t="shared" si="289"/>
        <v>Valid</v>
      </c>
      <c r="K856" t="s">
        <v>3910</v>
      </c>
      <c r="L856" t="s">
        <v>141</v>
      </c>
      <c r="M856" t="s">
        <v>141</v>
      </c>
      <c r="N856" t="s">
        <v>25</v>
      </c>
      <c r="O856" s="3" t="str">
        <f t="shared" si="290"/>
        <v>Consumer</v>
      </c>
      <c r="P856" t="s">
        <v>61</v>
      </c>
      <c r="Q856" s="3" t="str">
        <f t="shared" si="291"/>
        <v>South</v>
      </c>
      <c r="R856" t="s">
        <v>228</v>
      </c>
      <c r="S856" t="s">
        <v>229</v>
      </c>
      <c r="T856" t="s">
        <v>44</v>
      </c>
      <c r="U856" s="3" t="str">
        <f t="shared" si="292"/>
        <v>Furniture</v>
      </c>
      <c r="V856" t="s">
        <v>203</v>
      </c>
      <c r="W856" t="s">
        <v>3911</v>
      </c>
      <c r="X856" t="s">
        <v>32</v>
      </c>
      <c r="Y856" s="3" t="str">
        <f t="shared" si="293"/>
        <v>Second Class</v>
      </c>
      <c r="Z856">
        <v>4</v>
      </c>
      <c r="AA856">
        <v>2233.64</v>
      </c>
      <c r="AB856">
        <v>0.05</v>
      </c>
      <c r="AC856">
        <f t="shared" si="294"/>
        <v>0.05</v>
      </c>
      <c r="AD856" t="str">
        <f t="shared" si="297"/>
        <v>Valid</v>
      </c>
      <c r="AE856">
        <v>8487.83</v>
      </c>
      <c r="AF856">
        <v>5245.72</v>
      </c>
      <c r="AG856">
        <v>3242.11</v>
      </c>
      <c r="AH856" t="s">
        <v>33</v>
      </c>
      <c r="AI856" t="str">
        <f t="shared" si="298"/>
        <v>Include</v>
      </c>
      <c r="AJ856" t="str">
        <f t="shared" si="299"/>
        <v/>
      </c>
      <c r="AK856" t="s">
        <v>34</v>
      </c>
      <c r="AL856" t="str">
        <f t="shared" si="295"/>
        <v>Completed</v>
      </c>
      <c r="AM856" t="str">
        <f t="shared" si="300"/>
        <v>Include</v>
      </c>
      <c r="AN856">
        <f t="shared" si="301"/>
        <v>8487.8319999999985</v>
      </c>
      <c r="AO856">
        <f t="shared" si="302"/>
        <v>3242.1119999999983</v>
      </c>
      <c r="AP856">
        <f>IF(AN856=0,0,AO856/AN856)</f>
        <v>0.38197174496384928</v>
      </c>
      <c r="AQ856" t="str">
        <f t="shared" si="303"/>
        <v>March</v>
      </c>
      <c r="AR856">
        <f t="shared" si="304"/>
        <v>2025</v>
      </c>
      <c r="AS856" t="str">
        <f t="shared" si="305"/>
        <v>Clean</v>
      </c>
      <c r="AT856" t="str">
        <f>IF(OR(AC856&lt;0,AC856&gt;0.5),"Invalid Discount","Valid")</f>
        <v>Valid</v>
      </c>
      <c r="AU856" t="str">
        <f>IF(G856&lt;E856,"Invalid Shipping Record","Valid")</f>
        <v>Valid</v>
      </c>
      <c r="AV856" t="str">
        <f>IF(OR(AL856="Cancelled",AH856="Failed"),"Exclude","Include")</f>
        <v>Include</v>
      </c>
      <c r="AW856" t="str">
        <f t="shared" si="306"/>
        <v>Match</v>
      </c>
      <c r="AX856" t="str">
        <f t="shared" si="307"/>
        <v>Match</v>
      </c>
    </row>
    <row r="857" spans="1:50">
      <c r="A857" t="s">
        <v>3912</v>
      </c>
      <c r="B857">
        <f t="shared" si="286"/>
        <v>1</v>
      </c>
      <c r="C857" t="str">
        <f t="shared" si="296"/>
        <v/>
      </c>
      <c r="D857" s="3" t="s">
        <v>737</v>
      </c>
      <c r="E857" s="7">
        <v>45498</v>
      </c>
      <c r="F857" s="3" t="s">
        <v>3913</v>
      </c>
      <c r="G857" s="7">
        <v>45506</v>
      </c>
      <c r="H857" s="7" t="str">
        <f t="shared" si="287"/>
        <v>Valid</v>
      </c>
      <c r="I857" s="9">
        <f t="shared" si="288"/>
        <v>8</v>
      </c>
      <c r="J857" s="9" t="str">
        <f t="shared" si="289"/>
        <v>Valid</v>
      </c>
      <c r="K857" t="s">
        <v>1715</v>
      </c>
      <c r="L857" t="s">
        <v>147</v>
      </c>
      <c r="M857" t="s">
        <v>147</v>
      </c>
      <c r="N857" t="s">
        <v>25</v>
      </c>
      <c r="O857" s="3" t="str">
        <f t="shared" si="290"/>
        <v>Consumer</v>
      </c>
      <c r="P857" t="s">
        <v>26</v>
      </c>
      <c r="Q857" s="3" t="str">
        <f t="shared" si="291"/>
        <v>North</v>
      </c>
      <c r="R857" t="s">
        <v>27</v>
      </c>
      <c r="S857" t="s">
        <v>28</v>
      </c>
      <c r="T857" t="s">
        <v>29</v>
      </c>
      <c r="U857" s="3" t="str">
        <f t="shared" si="292"/>
        <v>Office Supplies</v>
      </c>
      <c r="V857" t="s">
        <v>3914</v>
      </c>
      <c r="W857" t="s">
        <v>3915</v>
      </c>
      <c r="X857" t="s">
        <v>32</v>
      </c>
      <c r="Y857" s="3" t="str">
        <f t="shared" si="293"/>
        <v>Second Class</v>
      </c>
      <c r="Z857">
        <v>2</v>
      </c>
      <c r="AA857">
        <v>2073.5300000000002</v>
      </c>
      <c r="AB857">
        <v>0.25</v>
      </c>
      <c r="AC857">
        <f t="shared" si="294"/>
        <v>0.25</v>
      </c>
      <c r="AD857" t="str">
        <f t="shared" si="297"/>
        <v>Valid</v>
      </c>
      <c r="AE857">
        <v>3110.3</v>
      </c>
      <c r="AF857">
        <v>2101.0300000000002</v>
      </c>
      <c r="AG857">
        <v>1009.27</v>
      </c>
      <c r="AH857" t="s">
        <v>33</v>
      </c>
      <c r="AI857" t="str">
        <f t="shared" si="298"/>
        <v>Include</v>
      </c>
      <c r="AJ857" t="str">
        <f t="shared" si="299"/>
        <v/>
      </c>
      <c r="AK857" t="s">
        <v>34</v>
      </c>
      <c r="AL857" t="str">
        <f t="shared" si="295"/>
        <v>Completed</v>
      </c>
      <c r="AM857" t="str">
        <f t="shared" si="300"/>
        <v>Include</v>
      </c>
      <c r="AN857">
        <f t="shared" si="301"/>
        <v>3110.2950000000001</v>
      </c>
      <c r="AO857">
        <f t="shared" si="302"/>
        <v>1009.2649999999999</v>
      </c>
      <c r="AP857">
        <f>IF(AN857=0,0,AO857/AN857)</f>
        <v>0.32449172827657824</v>
      </c>
      <c r="AQ857" t="str">
        <f t="shared" si="303"/>
        <v>July</v>
      </c>
      <c r="AR857">
        <f t="shared" si="304"/>
        <v>2024</v>
      </c>
      <c r="AS857" t="str">
        <f t="shared" si="305"/>
        <v>Clean</v>
      </c>
      <c r="AT857" t="str">
        <f>IF(OR(AC857&lt;0,AC857&gt;0.5),"Invalid Discount","Valid")</f>
        <v>Valid</v>
      </c>
      <c r="AU857" t="str">
        <f>IF(G857&lt;E857,"Invalid Shipping Record","Valid")</f>
        <v>Valid</v>
      </c>
      <c r="AV857" t="str">
        <f>IF(OR(AL857="Cancelled",AH857="Failed"),"Exclude","Include")</f>
        <v>Include</v>
      </c>
      <c r="AW857" t="str">
        <f t="shared" si="306"/>
        <v>Match</v>
      </c>
      <c r="AX857" t="str">
        <f t="shared" si="307"/>
        <v>Match</v>
      </c>
    </row>
    <row r="858" spans="1:50">
      <c r="A858" t="s">
        <v>3916</v>
      </c>
      <c r="B858">
        <f t="shared" si="286"/>
        <v>1</v>
      </c>
      <c r="C858" t="str">
        <f t="shared" si="296"/>
        <v/>
      </c>
      <c r="D858" s="3" t="s">
        <v>3917</v>
      </c>
      <c r="E858" s="7">
        <v>45455</v>
      </c>
      <c r="F858" s="3" t="s">
        <v>689</v>
      </c>
      <c r="G858" s="7">
        <v>45462</v>
      </c>
      <c r="H858" s="7" t="str">
        <f t="shared" si="287"/>
        <v>Valid</v>
      </c>
      <c r="I858" s="9">
        <f t="shared" si="288"/>
        <v>7</v>
      </c>
      <c r="J858" s="9" t="str">
        <f t="shared" si="289"/>
        <v>Valid</v>
      </c>
      <c r="K858" t="s">
        <v>1978</v>
      </c>
      <c r="L858" t="s">
        <v>179</v>
      </c>
      <c r="M858" t="s">
        <v>179</v>
      </c>
      <c r="N858" t="s">
        <v>114</v>
      </c>
      <c r="O858" s="3" t="str">
        <f t="shared" si="290"/>
        <v>Home Office</v>
      </c>
      <c r="P858" t="s">
        <v>61</v>
      </c>
      <c r="Q858" s="3" t="str">
        <f t="shared" si="291"/>
        <v>South</v>
      </c>
      <c r="R858" t="s">
        <v>338</v>
      </c>
      <c r="S858" t="s">
        <v>339</v>
      </c>
      <c r="T858" t="s">
        <v>29</v>
      </c>
      <c r="U858" s="3" t="str">
        <f t="shared" si="292"/>
        <v>Office Supplies</v>
      </c>
      <c r="V858" t="s">
        <v>155</v>
      </c>
      <c r="W858" t="s">
        <v>3918</v>
      </c>
      <c r="X858" t="s">
        <v>66</v>
      </c>
      <c r="Y858" s="3" t="str">
        <f t="shared" si="293"/>
        <v>Standard Class</v>
      </c>
      <c r="Z858">
        <v>4</v>
      </c>
      <c r="AA858">
        <v>395.1</v>
      </c>
      <c r="AB858">
        <v>-0.16</v>
      </c>
      <c r="AC858">
        <f t="shared" si="294"/>
        <v>-0.16</v>
      </c>
      <c r="AD858" t="str">
        <f t="shared" si="297"/>
        <v>Invalid Discount</v>
      </c>
      <c r="AE858">
        <v>1185.3</v>
      </c>
      <c r="AF858">
        <v>966.55</v>
      </c>
      <c r="AG858">
        <v>218.75</v>
      </c>
      <c r="AH858" t="s">
        <v>199</v>
      </c>
      <c r="AI858" t="str">
        <f t="shared" si="298"/>
        <v>Exclude</v>
      </c>
      <c r="AJ858" t="str">
        <f t="shared" si="299"/>
        <v/>
      </c>
      <c r="AK858" t="s">
        <v>77</v>
      </c>
      <c r="AL858" t="str">
        <f t="shared" si="295"/>
        <v>Cancelled</v>
      </c>
      <c r="AM858" t="str">
        <f t="shared" si="300"/>
        <v>Exclude</v>
      </c>
      <c r="AN858">
        <f t="shared" si="301"/>
        <v>1833.2639999999999</v>
      </c>
      <c r="AO858">
        <f t="shared" si="302"/>
        <v>866.71399999999994</v>
      </c>
      <c r="AP858">
        <f>IF(AN858=0,0,AO858/AN858)</f>
        <v>0.47277097024760206</v>
      </c>
      <c r="AQ858" t="str">
        <f t="shared" si="303"/>
        <v>June</v>
      </c>
      <c r="AR858">
        <f t="shared" si="304"/>
        <v>2024</v>
      </c>
      <c r="AS858" t="str">
        <f t="shared" si="305"/>
        <v>Invalid</v>
      </c>
      <c r="AT858" t="str">
        <f>IF(OR(AC858&lt;0,AC858&gt;0.5),"Invalid Discount","Valid")</f>
        <v>Invalid Discount</v>
      </c>
      <c r="AU858" t="str">
        <f>IF(G858&lt;E858,"Invalid Shipping Record","Valid")</f>
        <v>Valid</v>
      </c>
      <c r="AV858" t="str">
        <f>IF(OR(AL858="Cancelled",AH858="Failed"),"Exclude","Include")</f>
        <v>Exclude</v>
      </c>
      <c r="AW858" t="str">
        <f t="shared" si="306"/>
        <v>Mismatch</v>
      </c>
      <c r="AX858" t="str">
        <f t="shared" si="307"/>
        <v>Mismatch</v>
      </c>
    </row>
    <row r="859" spans="1:50">
      <c r="A859" t="s">
        <v>3919</v>
      </c>
      <c r="B859">
        <f t="shared" si="286"/>
        <v>1</v>
      </c>
      <c r="C859" t="str">
        <f t="shared" si="296"/>
        <v/>
      </c>
      <c r="D859" s="3" t="s">
        <v>3920</v>
      </c>
      <c r="E859" s="7">
        <v>45447</v>
      </c>
      <c r="F859" s="3" t="s">
        <v>3921</v>
      </c>
      <c r="G859" s="7">
        <v>45447</v>
      </c>
      <c r="H859" s="7" t="str">
        <f t="shared" si="287"/>
        <v>Valid</v>
      </c>
      <c r="I859" s="9">
        <f t="shared" si="288"/>
        <v>0</v>
      </c>
      <c r="J859" s="9" t="str">
        <f t="shared" si="289"/>
        <v>Valid</v>
      </c>
      <c r="K859" t="s">
        <v>3234</v>
      </c>
      <c r="L859" t="s">
        <v>167</v>
      </c>
      <c r="M859" t="s">
        <v>167</v>
      </c>
      <c r="N859" t="s">
        <v>114</v>
      </c>
      <c r="O859" s="3" t="str">
        <f t="shared" si="290"/>
        <v>Home Office</v>
      </c>
      <c r="P859" t="s">
        <v>61</v>
      </c>
      <c r="Q859" s="3" t="str">
        <f t="shared" si="291"/>
        <v>South</v>
      </c>
      <c r="R859" t="s">
        <v>241</v>
      </c>
      <c r="S859" t="s">
        <v>242</v>
      </c>
      <c r="T859" t="s">
        <v>29</v>
      </c>
      <c r="U859" s="3" t="str">
        <f t="shared" si="292"/>
        <v>Office Supplies</v>
      </c>
      <c r="V859" t="s">
        <v>155</v>
      </c>
      <c r="W859" t="s">
        <v>3922</v>
      </c>
      <c r="X859" t="s">
        <v>55</v>
      </c>
      <c r="Y859" s="3" t="str">
        <f t="shared" si="293"/>
        <v>First Class</v>
      </c>
      <c r="Z859">
        <v>6</v>
      </c>
      <c r="AA859">
        <v>2708.97</v>
      </c>
      <c r="AB859">
        <v>0.25</v>
      </c>
      <c r="AC859">
        <f t="shared" si="294"/>
        <v>0.25</v>
      </c>
      <c r="AD859" t="str">
        <f t="shared" si="297"/>
        <v>Valid</v>
      </c>
      <c r="AE859">
        <v>12190.36</v>
      </c>
      <c r="AF859">
        <v>10176.99</v>
      </c>
      <c r="AG859">
        <v>2013.37</v>
      </c>
      <c r="AH859" t="s">
        <v>33</v>
      </c>
      <c r="AI859" t="str">
        <f t="shared" si="298"/>
        <v>Include</v>
      </c>
      <c r="AJ859" t="str">
        <f t="shared" si="299"/>
        <v/>
      </c>
      <c r="AK859" t="s">
        <v>34</v>
      </c>
      <c r="AL859" t="str">
        <f t="shared" si="295"/>
        <v>Completed</v>
      </c>
      <c r="AM859" t="str">
        <f t="shared" si="300"/>
        <v>Include</v>
      </c>
      <c r="AN859">
        <f t="shared" si="301"/>
        <v>12190.365</v>
      </c>
      <c r="AO859">
        <f t="shared" si="302"/>
        <v>2013.375</v>
      </c>
      <c r="AP859">
        <f>IF(AN859=0,0,AO859/AN859)</f>
        <v>0.16516117441930575</v>
      </c>
      <c r="AQ859" t="str">
        <f t="shared" si="303"/>
        <v>June</v>
      </c>
      <c r="AR859">
        <f t="shared" si="304"/>
        <v>2024</v>
      </c>
      <c r="AS859" t="str">
        <f t="shared" si="305"/>
        <v>Clean</v>
      </c>
      <c r="AT859" t="str">
        <f>IF(OR(AC859&lt;0,AC859&gt;0.5),"Invalid Discount","Valid")</f>
        <v>Valid</v>
      </c>
      <c r="AU859" t="str">
        <f>IF(G859&lt;E859,"Invalid Shipping Record","Valid")</f>
        <v>Valid</v>
      </c>
      <c r="AV859" t="str">
        <f>IF(OR(AL859="Cancelled",AH859="Failed"),"Exclude","Include")</f>
        <v>Include</v>
      </c>
      <c r="AW859" t="str">
        <f t="shared" si="306"/>
        <v>Mismatch</v>
      </c>
      <c r="AX859" t="str">
        <f t="shared" si="307"/>
        <v>Mismatch</v>
      </c>
    </row>
    <row r="860" spans="1:50">
      <c r="A860" t="s">
        <v>3923</v>
      </c>
      <c r="B860">
        <f t="shared" ref="B860:B923" si="308">COUNTIF($A:$A,A860)</f>
        <v>1</v>
      </c>
      <c r="C860" t="str">
        <f t="shared" si="296"/>
        <v/>
      </c>
      <c r="D860" s="3" t="s">
        <v>1224</v>
      </c>
      <c r="E860" s="7">
        <v>45414</v>
      </c>
      <c r="F860" s="3" t="s">
        <v>1293</v>
      </c>
      <c r="G860" s="7">
        <v>45421</v>
      </c>
      <c r="H860" s="7" t="str">
        <f t="shared" si="287"/>
        <v>Valid</v>
      </c>
      <c r="I860" s="9">
        <f t="shared" si="288"/>
        <v>7</v>
      </c>
      <c r="J860" s="9" t="str">
        <f t="shared" si="289"/>
        <v>Valid</v>
      </c>
      <c r="K860" t="s">
        <v>3924</v>
      </c>
      <c r="L860" t="s">
        <v>60</v>
      </c>
      <c r="M860" t="s">
        <v>60</v>
      </c>
      <c r="N860" t="s">
        <v>25</v>
      </c>
      <c r="O860" s="3" t="str">
        <f t="shared" si="290"/>
        <v>Consumer</v>
      </c>
      <c r="P860" t="s">
        <v>41</v>
      </c>
      <c r="Q860" s="3" t="str">
        <f t="shared" si="291"/>
        <v>East</v>
      </c>
      <c r="R860" t="s">
        <v>42</v>
      </c>
      <c r="S860" t="s">
        <v>43</v>
      </c>
      <c r="T860" t="s">
        <v>85</v>
      </c>
      <c r="U860" s="3" t="str">
        <f t="shared" si="292"/>
        <v>Technology</v>
      </c>
      <c r="V860" t="s">
        <v>86</v>
      </c>
      <c r="W860" t="s">
        <v>3925</v>
      </c>
      <c r="X860" t="s">
        <v>32</v>
      </c>
      <c r="Y860" s="3" t="str">
        <f t="shared" si="293"/>
        <v>Second Class</v>
      </c>
      <c r="Z860">
        <v>4</v>
      </c>
      <c r="AA860">
        <v>2904.86</v>
      </c>
      <c r="AB860">
        <v>0</v>
      </c>
      <c r="AC860">
        <f t="shared" si="294"/>
        <v>0</v>
      </c>
      <c r="AD860" t="str">
        <f t="shared" si="297"/>
        <v>Valid</v>
      </c>
      <c r="AE860">
        <v>11619.44</v>
      </c>
      <c r="AF860">
        <v>7184.32</v>
      </c>
      <c r="AG860">
        <v>4494.6400000000003</v>
      </c>
      <c r="AH860" t="s">
        <v>33</v>
      </c>
      <c r="AI860" t="str">
        <f t="shared" si="298"/>
        <v>Include</v>
      </c>
      <c r="AJ860" t="str">
        <f t="shared" si="299"/>
        <v/>
      </c>
      <c r="AK860" t="s">
        <v>34</v>
      </c>
      <c r="AL860" t="str">
        <f t="shared" si="295"/>
        <v>Completed</v>
      </c>
      <c r="AM860" t="str">
        <f t="shared" si="300"/>
        <v>Include</v>
      </c>
      <c r="AN860">
        <f t="shared" si="301"/>
        <v>11619.44</v>
      </c>
      <c r="AO860">
        <f t="shared" si="302"/>
        <v>4435.1200000000008</v>
      </c>
      <c r="AP860">
        <f>IF(AN860=0,0,AO860/AN860)</f>
        <v>0.3816982574031107</v>
      </c>
      <c r="AQ860" t="str">
        <f t="shared" si="303"/>
        <v>May</v>
      </c>
      <c r="AR860">
        <f t="shared" si="304"/>
        <v>2024</v>
      </c>
      <c r="AS860" t="str">
        <f t="shared" si="305"/>
        <v>Clean</v>
      </c>
      <c r="AT860" t="str">
        <f>IF(OR(AC860&lt;0,AC860&gt;0.5),"Invalid Discount","Valid")</f>
        <v>Valid</v>
      </c>
      <c r="AU860" t="str">
        <f>IF(G860&lt;E860,"Invalid Shipping Record","Valid")</f>
        <v>Valid</v>
      </c>
      <c r="AV860" t="str">
        <f>IF(OR(AL860="Cancelled",AH860="Failed"),"Exclude","Include")</f>
        <v>Include</v>
      </c>
      <c r="AW860" t="str">
        <f t="shared" si="306"/>
        <v>Match</v>
      </c>
      <c r="AX860" t="str">
        <f t="shared" si="307"/>
        <v>Mismatch</v>
      </c>
    </row>
    <row r="861" spans="1:50">
      <c r="A861" t="s">
        <v>3926</v>
      </c>
      <c r="B861">
        <f t="shared" si="308"/>
        <v>1</v>
      </c>
      <c r="C861" t="str">
        <f t="shared" si="296"/>
        <v/>
      </c>
      <c r="D861" s="3" t="s">
        <v>3504</v>
      </c>
      <c r="E861" s="7">
        <v>45592</v>
      </c>
      <c r="F861" s="3" t="s">
        <v>3927</v>
      </c>
      <c r="G861" s="7">
        <v>45597</v>
      </c>
      <c r="H861" s="7" t="str">
        <f t="shared" si="287"/>
        <v>Valid</v>
      </c>
      <c r="I861" s="9">
        <f t="shared" si="288"/>
        <v>5</v>
      </c>
      <c r="J861" s="9" t="str">
        <f t="shared" si="289"/>
        <v>Valid</v>
      </c>
      <c r="K861" t="s">
        <v>3928</v>
      </c>
      <c r="L861" t="s">
        <v>106</v>
      </c>
      <c r="M861" t="s">
        <v>106</v>
      </c>
      <c r="N861" t="s">
        <v>107</v>
      </c>
      <c r="O861" s="3" t="str">
        <f t="shared" si="290"/>
        <v>Corporate</v>
      </c>
      <c r="P861" t="s">
        <v>61</v>
      </c>
      <c r="Q861" s="3" t="str">
        <f t="shared" si="291"/>
        <v>South</v>
      </c>
      <c r="R861" t="s">
        <v>338</v>
      </c>
      <c r="S861" t="s">
        <v>339</v>
      </c>
      <c r="T861" t="s">
        <v>85</v>
      </c>
      <c r="U861" s="3" t="str">
        <f t="shared" si="292"/>
        <v>Technology</v>
      </c>
      <c r="V861" t="s">
        <v>222</v>
      </c>
      <c r="W861" t="s">
        <v>3929</v>
      </c>
      <c r="X861" t="s">
        <v>66</v>
      </c>
      <c r="Y861" s="3" t="str">
        <f t="shared" si="293"/>
        <v>Standard Class</v>
      </c>
      <c r="Z861">
        <v>6</v>
      </c>
      <c r="AA861">
        <v>4399.2</v>
      </c>
      <c r="AB861">
        <v>0.05</v>
      </c>
      <c r="AC861">
        <f t="shared" si="294"/>
        <v>0.05</v>
      </c>
      <c r="AD861" t="str">
        <f t="shared" si="297"/>
        <v>Valid</v>
      </c>
      <c r="AE861">
        <v>25075.439999999999</v>
      </c>
      <c r="AF861">
        <v>16282.74</v>
      </c>
      <c r="AG861">
        <v>8792.7000000000007</v>
      </c>
      <c r="AH861" t="s">
        <v>33</v>
      </c>
      <c r="AI861" t="str">
        <f t="shared" si="298"/>
        <v>Include</v>
      </c>
      <c r="AJ861" t="str">
        <f t="shared" si="299"/>
        <v/>
      </c>
      <c r="AK861" t="s">
        <v>34</v>
      </c>
      <c r="AL861" t="str">
        <f t="shared" si="295"/>
        <v>Completed</v>
      </c>
      <c r="AM861" t="str">
        <f t="shared" si="300"/>
        <v>Include</v>
      </c>
      <c r="AN861">
        <f t="shared" si="301"/>
        <v>25075.439999999995</v>
      </c>
      <c r="AO861">
        <f t="shared" si="302"/>
        <v>8792.6999999999953</v>
      </c>
      <c r="AP861">
        <f>IF(AN861=0,0,AO861/AN861)</f>
        <v>0.35064987892535471</v>
      </c>
      <c r="AQ861" t="str">
        <f t="shared" si="303"/>
        <v>October</v>
      </c>
      <c r="AR861">
        <f t="shared" si="304"/>
        <v>2024</v>
      </c>
      <c r="AS861" t="str">
        <f t="shared" si="305"/>
        <v>Clean</v>
      </c>
      <c r="AT861" t="str">
        <f>IF(OR(AC861&lt;0,AC861&gt;0.5),"Invalid Discount","Valid")</f>
        <v>Valid</v>
      </c>
      <c r="AU861" t="str">
        <f>IF(G861&lt;E861,"Invalid Shipping Record","Valid")</f>
        <v>Valid</v>
      </c>
      <c r="AV861" t="str">
        <f>IF(OR(AL861="Cancelled",AH861="Failed"),"Exclude","Include")</f>
        <v>Include</v>
      </c>
      <c r="AW861" t="str">
        <f t="shared" si="306"/>
        <v>Match</v>
      </c>
      <c r="AX861" t="str">
        <f t="shared" si="307"/>
        <v>Match</v>
      </c>
    </row>
    <row r="862" spans="1:50">
      <c r="A862" t="s">
        <v>3930</v>
      </c>
      <c r="B862">
        <f t="shared" si="308"/>
        <v>1</v>
      </c>
      <c r="C862" t="str">
        <f t="shared" si="296"/>
        <v/>
      </c>
      <c r="D862" s="3" t="s">
        <v>742</v>
      </c>
      <c r="E862" s="7">
        <v>45324</v>
      </c>
      <c r="F862" s="3" t="s">
        <v>3931</v>
      </c>
      <c r="G862" s="7">
        <v>45326</v>
      </c>
      <c r="H862" s="7" t="str">
        <f t="shared" si="287"/>
        <v>Valid</v>
      </c>
      <c r="I862" s="9">
        <f t="shared" si="288"/>
        <v>2</v>
      </c>
      <c r="J862" s="9" t="str">
        <f t="shared" si="289"/>
        <v>Valid</v>
      </c>
      <c r="K862" t="s">
        <v>3932</v>
      </c>
      <c r="L862" t="s">
        <v>82</v>
      </c>
      <c r="M862" t="s">
        <v>82</v>
      </c>
      <c r="N862" t="s">
        <v>114</v>
      </c>
      <c r="O862" s="3" t="str">
        <f t="shared" si="290"/>
        <v>Home Office</v>
      </c>
      <c r="P862" t="s">
        <v>26</v>
      </c>
      <c r="Q862" s="3" t="str">
        <f t="shared" si="291"/>
        <v>North</v>
      </c>
      <c r="R862" t="s">
        <v>173</v>
      </c>
      <c r="S862" t="s">
        <v>174</v>
      </c>
      <c r="T862" t="s">
        <v>29</v>
      </c>
      <c r="U862" s="3" t="str">
        <f t="shared" si="292"/>
        <v>Office Supplies</v>
      </c>
      <c r="V862" t="s">
        <v>155</v>
      </c>
      <c r="W862" t="s">
        <v>3933</v>
      </c>
      <c r="X862" t="s">
        <v>32</v>
      </c>
      <c r="Y862" s="3" t="str">
        <f t="shared" si="293"/>
        <v>Second Class</v>
      </c>
      <c r="Z862">
        <v>1</v>
      </c>
      <c r="AA862">
        <v>4397.32</v>
      </c>
      <c r="AB862">
        <v>0.05</v>
      </c>
      <c r="AC862">
        <f t="shared" si="294"/>
        <v>0.05</v>
      </c>
      <c r="AD862" t="str">
        <f t="shared" si="297"/>
        <v>Valid</v>
      </c>
      <c r="AE862">
        <v>4177.45</v>
      </c>
      <c r="AF862">
        <v>2299.5</v>
      </c>
      <c r="AG862">
        <v>1877.95</v>
      </c>
      <c r="AH862" t="s">
        <v>33</v>
      </c>
      <c r="AI862" t="str">
        <f t="shared" si="298"/>
        <v>Include</v>
      </c>
      <c r="AJ862" t="str">
        <f t="shared" si="299"/>
        <v/>
      </c>
      <c r="AK862" t="s">
        <v>34</v>
      </c>
      <c r="AL862" t="str">
        <f t="shared" si="295"/>
        <v>Completed</v>
      </c>
      <c r="AM862" t="str">
        <f t="shared" si="300"/>
        <v>Include</v>
      </c>
      <c r="AN862">
        <f t="shared" si="301"/>
        <v>4177.4539999999997</v>
      </c>
      <c r="AO862">
        <f t="shared" si="302"/>
        <v>1877.9539999999997</v>
      </c>
      <c r="AP862">
        <f>IF(AN862=0,0,AO862/AN862)</f>
        <v>0.44954510570313877</v>
      </c>
      <c r="AQ862" t="str">
        <f t="shared" si="303"/>
        <v>February</v>
      </c>
      <c r="AR862">
        <f t="shared" si="304"/>
        <v>2024</v>
      </c>
      <c r="AS862" t="str">
        <f t="shared" si="305"/>
        <v>Clean</v>
      </c>
      <c r="AT862" t="str">
        <f>IF(OR(AC862&lt;0,AC862&gt;0.5),"Invalid Discount","Valid")</f>
        <v>Valid</v>
      </c>
      <c r="AU862" t="str">
        <f>IF(G862&lt;E862,"Invalid Shipping Record","Valid")</f>
        <v>Valid</v>
      </c>
      <c r="AV862" t="str">
        <f>IF(OR(AL862="Cancelled",AH862="Failed"),"Exclude","Include")</f>
        <v>Include</v>
      </c>
      <c r="AW862" t="str">
        <f t="shared" si="306"/>
        <v>Match</v>
      </c>
      <c r="AX862" t="str">
        <f t="shared" si="307"/>
        <v>Match</v>
      </c>
    </row>
    <row r="863" spans="1:50">
      <c r="A863" t="s">
        <v>3934</v>
      </c>
      <c r="B863">
        <f t="shared" si="308"/>
        <v>1</v>
      </c>
      <c r="C863" t="str">
        <f t="shared" si="296"/>
        <v/>
      </c>
      <c r="D863" s="3" t="s">
        <v>3935</v>
      </c>
      <c r="E863" s="7">
        <v>45724</v>
      </c>
      <c r="F863" s="3" t="s">
        <v>3936</v>
      </c>
      <c r="G863" s="7">
        <v>45725</v>
      </c>
      <c r="H863" s="7" t="str">
        <f t="shared" si="287"/>
        <v>Valid</v>
      </c>
      <c r="I863" s="9">
        <f t="shared" si="288"/>
        <v>1</v>
      </c>
      <c r="J863" s="9" t="str">
        <f t="shared" si="289"/>
        <v>Valid</v>
      </c>
      <c r="K863" t="s">
        <v>3937</v>
      </c>
      <c r="L863" t="s">
        <v>141</v>
      </c>
      <c r="M863" t="s">
        <v>141</v>
      </c>
      <c r="N863" t="s">
        <v>114</v>
      </c>
      <c r="O863" s="3" t="str">
        <f t="shared" si="290"/>
        <v>Home Office</v>
      </c>
      <c r="P863" t="s">
        <v>26</v>
      </c>
      <c r="Q863" s="3" t="str">
        <f t="shared" si="291"/>
        <v>North</v>
      </c>
      <c r="R863" t="s">
        <v>505</v>
      </c>
      <c r="S863" t="s">
        <v>506</v>
      </c>
      <c r="T863" t="s">
        <v>44</v>
      </c>
      <c r="U863" s="3" t="str">
        <f t="shared" si="292"/>
        <v>Furniture</v>
      </c>
      <c r="V863" t="s">
        <v>64</v>
      </c>
      <c r="W863" t="s">
        <v>3938</v>
      </c>
      <c r="X863" t="s">
        <v>47</v>
      </c>
      <c r="Y863" s="3" t="str">
        <f t="shared" si="293"/>
        <v>Same Day</v>
      </c>
      <c r="Z863">
        <v>4</v>
      </c>
      <c r="AA863">
        <v>3405.68</v>
      </c>
      <c r="AB863">
        <v>0.2</v>
      </c>
      <c r="AC863">
        <f t="shared" si="294"/>
        <v>0.2</v>
      </c>
      <c r="AD863" t="str">
        <f t="shared" si="297"/>
        <v>Valid</v>
      </c>
      <c r="AE863">
        <v>10898.18</v>
      </c>
      <c r="AF863">
        <v>6231.41</v>
      </c>
      <c r="AG863">
        <v>4666.7700000000004</v>
      </c>
      <c r="AH863" t="s">
        <v>33</v>
      </c>
      <c r="AI863" t="str">
        <f t="shared" si="298"/>
        <v>Include</v>
      </c>
      <c r="AJ863" t="str">
        <f t="shared" si="299"/>
        <v/>
      </c>
      <c r="AK863" t="s">
        <v>34</v>
      </c>
      <c r="AL863" t="str">
        <f t="shared" si="295"/>
        <v>Completed</v>
      </c>
      <c r="AM863" t="str">
        <f t="shared" si="300"/>
        <v>Include</v>
      </c>
      <c r="AN863">
        <f t="shared" si="301"/>
        <v>10898.175999999999</v>
      </c>
      <c r="AO863">
        <f t="shared" si="302"/>
        <v>4666.7659999999996</v>
      </c>
      <c r="AP863">
        <f>IF(AN863=0,0,AO863/AN863)</f>
        <v>0.42821532704188298</v>
      </c>
      <c r="AQ863" t="str">
        <f t="shared" si="303"/>
        <v>March</v>
      </c>
      <c r="AR863">
        <f t="shared" si="304"/>
        <v>2025</v>
      </c>
      <c r="AS863" t="str">
        <f t="shared" si="305"/>
        <v>Clean</v>
      </c>
      <c r="AT863" t="str">
        <f>IF(OR(AC863&lt;0,AC863&gt;0.5),"Invalid Discount","Valid")</f>
        <v>Valid</v>
      </c>
      <c r="AU863" t="str">
        <f>IF(G863&lt;E863,"Invalid Shipping Record","Valid")</f>
        <v>Valid</v>
      </c>
      <c r="AV863" t="str">
        <f>IF(OR(AL863="Cancelled",AH863="Failed"),"Exclude","Include")</f>
        <v>Include</v>
      </c>
      <c r="AW863" t="str">
        <f t="shared" si="306"/>
        <v>Match</v>
      </c>
      <c r="AX863" t="str">
        <f t="shared" si="307"/>
        <v>Match</v>
      </c>
    </row>
    <row r="864" spans="1:50">
      <c r="A864" t="s">
        <v>3939</v>
      </c>
      <c r="B864">
        <f t="shared" si="308"/>
        <v>1</v>
      </c>
      <c r="C864" t="str">
        <f t="shared" si="296"/>
        <v/>
      </c>
      <c r="D864" s="3" t="s">
        <v>3314</v>
      </c>
      <c r="E864" s="7">
        <v>45742</v>
      </c>
      <c r="F864" s="3" t="s">
        <v>3940</v>
      </c>
      <c r="G864" s="7">
        <v>45747</v>
      </c>
      <c r="H864" s="7" t="str">
        <f t="shared" si="287"/>
        <v>Valid</v>
      </c>
      <c r="I864" s="9">
        <f t="shared" si="288"/>
        <v>5</v>
      </c>
      <c r="J864" s="9" t="str">
        <f t="shared" si="289"/>
        <v>Valid</v>
      </c>
      <c r="K864" t="s">
        <v>3941</v>
      </c>
      <c r="L864" t="s">
        <v>141</v>
      </c>
      <c r="M864" t="s">
        <v>141</v>
      </c>
      <c r="N864" t="s">
        <v>40</v>
      </c>
      <c r="O864" s="3" t="str">
        <f t="shared" si="290"/>
        <v>Small Business</v>
      </c>
      <c r="P864" t="s">
        <v>41</v>
      </c>
      <c r="Q864" s="3" t="str">
        <f t="shared" si="291"/>
        <v>East</v>
      </c>
      <c r="R864" t="s">
        <v>310</v>
      </c>
      <c r="S864" t="s">
        <v>311</v>
      </c>
      <c r="T864" t="s">
        <v>29</v>
      </c>
      <c r="U864" s="3" t="str">
        <f t="shared" si="292"/>
        <v>Office Supplies</v>
      </c>
      <c r="V864" t="s">
        <v>197</v>
      </c>
      <c r="W864" t="s">
        <v>3942</v>
      </c>
      <c r="X864" t="s">
        <v>55</v>
      </c>
      <c r="Y864" s="3" t="str">
        <f t="shared" si="293"/>
        <v>First Class</v>
      </c>
      <c r="Z864">
        <v>5</v>
      </c>
      <c r="AA864">
        <v>1395.14</v>
      </c>
      <c r="AB864">
        <v>0</v>
      </c>
      <c r="AC864">
        <f t="shared" si="294"/>
        <v>0</v>
      </c>
      <c r="AD864" t="str">
        <f t="shared" si="297"/>
        <v>Valid</v>
      </c>
      <c r="AE864">
        <v>6975.7</v>
      </c>
      <c r="AF864">
        <v>4797.88</v>
      </c>
      <c r="AG864">
        <v>2177.8200000000002</v>
      </c>
      <c r="AH864" t="s">
        <v>33</v>
      </c>
      <c r="AI864" t="str">
        <f t="shared" si="298"/>
        <v>Exclude</v>
      </c>
      <c r="AJ864" t="str">
        <f t="shared" si="299"/>
        <v/>
      </c>
      <c r="AK864" t="s">
        <v>77</v>
      </c>
      <c r="AL864" t="str">
        <f t="shared" si="295"/>
        <v>Cancelled</v>
      </c>
      <c r="AM864" t="str">
        <f t="shared" si="300"/>
        <v>Exclude</v>
      </c>
      <c r="AN864">
        <f t="shared" si="301"/>
        <v>6975.7000000000007</v>
      </c>
      <c r="AO864">
        <f t="shared" si="302"/>
        <v>2177.8200000000006</v>
      </c>
      <c r="AP864">
        <f>IF(AN864=0,0,AO864/AN864)</f>
        <v>0.3122009260719355</v>
      </c>
      <c r="AQ864" t="str">
        <f t="shared" si="303"/>
        <v>March</v>
      </c>
      <c r="AR864">
        <f t="shared" si="304"/>
        <v>2025</v>
      </c>
      <c r="AS864" t="str">
        <f t="shared" si="305"/>
        <v>Clean</v>
      </c>
      <c r="AT864" t="str">
        <f>IF(OR(AC864&lt;0,AC864&gt;0.5),"Invalid Discount","Valid")</f>
        <v>Valid</v>
      </c>
      <c r="AU864" t="str">
        <f>IF(G864&lt;E864,"Invalid Shipping Record","Valid")</f>
        <v>Valid</v>
      </c>
      <c r="AV864" t="str">
        <f>IF(OR(AL864="Cancelled",AH864="Failed"),"Exclude","Include")</f>
        <v>Exclude</v>
      </c>
      <c r="AW864" t="str">
        <f t="shared" si="306"/>
        <v>Match</v>
      </c>
      <c r="AX864" t="str">
        <f t="shared" si="307"/>
        <v>Match</v>
      </c>
    </row>
    <row r="865" spans="1:50">
      <c r="A865" t="s">
        <v>3943</v>
      </c>
      <c r="B865">
        <f t="shared" si="308"/>
        <v>1</v>
      </c>
      <c r="C865" t="str">
        <f t="shared" si="296"/>
        <v/>
      </c>
      <c r="D865" s="3" t="s">
        <v>3944</v>
      </c>
      <c r="E865" s="7">
        <v>45906</v>
      </c>
      <c r="F865" s="3" t="s">
        <v>2731</v>
      </c>
      <c r="G865" s="7">
        <v>45908</v>
      </c>
      <c r="H865" s="7" t="str">
        <f t="shared" si="287"/>
        <v>Valid</v>
      </c>
      <c r="I865" s="9">
        <f t="shared" si="288"/>
        <v>2</v>
      </c>
      <c r="J865" s="9" t="str">
        <f t="shared" si="289"/>
        <v>Valid</v>
      </c>
      <c r="K865" t="s">
        <v>3945</v>
      </c>
      <c r="L865" t="s">
        <v>161</v>
      </c>
      <c r="M865" t="s">
        <v>161</v>
      </c>
      <c r="N865" t="s">
        <v>114</v>
      </c>
      <c r="O865" s="3" t="str">
        <f t="shared" si="290"/>
        <v>Home Office</v>
      </c>
      <c r="P865" t="s">
        <v>72</v>
      </c>
      <c r="Q865" s="3" t="str">
        <f t="shared" si="291"/>
        <v>West</v>
      </c>
      <c r="R865" t="s">
        <v>83</v>
      </c>
      <c r="S865" t="s">
        <v>84</v>
      </c>
      <c r="T865" t="s">
        <v>44</v>
      </c>
      <c r="U865" s="3" t="str">
        <f t="shared" si="292"/>
        <v>Furniture</v>
      </c>
      <c r="V865" t="s">
        <v>64</v>
      </c>
      <c r="W865" t="s">
        <v>3946</v>
      </c>
      <c r="X865" t="s">
        <v>47</v>
      </c>
      <c r="Y865" s="3" t="str">
        <f t="shared" si="293"/>
        <v>Same Day</v>
      </c>
      <c r="Z865">
        <v>3</v>
      </c>
      <c r="AA865">
        <v>2937.23</v>
      </c>
      <c r="AB865">
        <v>0</v>
      </c>
      <c r="AC865">
        <f t="shared" si="294"/>
        <v>0</v>
      </c>
      <c r="AD865" t="str">
        <f t="shared" si="297"/>
        <v>Valid</v>
      </c>
      <c r="AE865">
        <v>8811.69</v>
      </c>
      <c r="AF865">
        <v>6765.91</v>
      </c>
      <c r="AG865">
        <v>2045.78</v>
      </c>
      <c r="AH865" t="s">
        <v>33</v>
      </c>
      <c r="AI865" t="str">
        <f t="shared" si="298"/>
        <v>Include</v>
      </c>
      <c r="AJ865" t="str">
        <f t="shared" si="299"/>
        <v/>
      </c>
      <c r="AK865" t="s">
        <v>34</v>
      </c>
      <c r="AL865" t="str">
        <f t="shared" si="295"/>
        <v>Completed</v>
      </c>
      <c r="AM865" t="str">
        <f t="shared" si="300"/>
        <v>Include</v>
      </c>
      <c r="AN865">
        <f t="shared" si="301"/>
        <v>8811.69</v>
      </c>
      <c r="AO865">
        <f t="shared" si="302"/>
        <v>2045.7800000000007</v>
      </c>
      <c r="AP865">
        <f>IF(AN865=0,0,AO865/AN865)</f>
        <v>0.23216658779416893</v>
      </c>
      <c r="AQ865" t="str">
        <f t="shared" si="303"/>
        <v>September</v>
      </c>
      <c r="AR865">
        <f t="shared" si="304"/>
        <v>2025</v>
      </c>
      <c r="AS865" t="str">
        <f t="shared" si="305"/>
        <v>Clean</v>
      </c>
      <c r="AT865" t="str">
        <f>IF(OR(AC865&lt;0,AC865&gt;0.5),"Invalid Discount","Valid")</f>
        <v>Valid</v>
      </c>
      <c r="AU865" t="str">
        <f>IF(G865&lt;E865,"Invalid Shipping Record","Valid")</f>
        <v>Valid</v>
      </c>
      <c r="AV865" t="str">
        <f>IF(OR(AL865="Cancelled",AH865="Failed"),"Exclude","Include")</f>
        <v>Include</v>
      </c>
      <c r="AW865" t="str">
        <f t="shared" si="306"/>
        <v>Match</v>
      </c>
      <c r="AX865" t="str">
        <f t="shared" si="307"/>
        <v>Match</v>
      </c>
    </row>
    <row r="866" spans="1:50">
      <c r="A866" t="s">
        <v>3947</v>
      </c>
      <c r="B866">
        <f t="shared" si="308"/>
        <v>1</v>
      </c>
      <c r="C866" t="str">
        <f t="shared" si="296"/>
        <v/>
      </c>
      <c r="D866" s="3" t="s">
        <v>3948</v>
      </c>
      <c r="E866" s="7">
        <v>45902</v>
      </c>
      <c r="F866" s="3" t="s">
        <v>571</v>
      </c>
      <c r="G866" s="7">
        <v>45905</v>
      </c>
      <c r="H866" s="7" t="str">
        <f t="shared" si="287"/>
        <v>Valid</v>
      </c>
      <c r="I866" s="9">
        <f t="shared" si="288"/>
        <v>3</v>
      </c>
      <c r="J866" s="9" t="str">
        <f t="shared" si="289"/>
        <v>Valid</v>
      </c>
      <c r="K866" t="s">
        <v>3949</v>
      </c>
      <c r="L866" t="s">
        <v>82</v>
      </c>
      <c r="M866" t="s">
        <v>82</v>
      </c>
      <c r="N866" t="s">
        <v>25</v>
      </c>
      <c r="O866" s="3" t="str">
        <f t="shared" si="290"/>
        <v>Consumer</v>
      </c>
      <c r="P866" t="s">
        <v>61</v>
      </c>
      <c r="Q866" s="3" t="str">
        <f t="shared" si="291"/>
        <v>South</v>
      </c>
      <c r="R866" t="s">
        <v>338</v>
      </c>
      <c r="S866" t="s">
        <v>339</v>
      </c>
      <c r="T866" t="s">
        <v>85</v>
      </c>
      <c r="U866" s="3" t="str">
        <f t="shared" si="292"/>
        <v>Technology</v>
      </c>
      <c r="V866" t="s">
        <v>222</v>
      </c>
      <c r="W866" t="s">
        <v>3950</v>
      </c>
      <c r="X866" t="s">
        <v>55</v>
      </c>
      <c r="Y866" s="3" t="str">
        <f t="shared" si="293"/>
        <v>First Class</v>
      </c>
      <c r="Z866">
        <v>5</v>
      </c>
      <c r="AA866">
        <v>3406.87</v>
      </c>
      <c r="AB866">
        <v>0</v>
      </c>
      <c r="AC866">
        <f t="shared" si="294"/>
        <v>0</v>
      </c>
      <c r="AD866" t="str">
        <f t="shared" si="297"/>
        <v>Valid</v>
      </c>
      <c r="AE866">
        <v>17034.349999999999</v>
      </c>
      <c r="AF866">
        <v>14631.36</v>
      </c>
      <c r="AG866">
        <v>2402.9899999999998</v>
      </c>
      <c r="AH866" t="s">
        <v>33</v>
      </c>
      <c r="AI866" t="str">
        <f t="shared" si="298"/>
        <v>Include</v>
      </c>
      <c r="AJ866" t="str">
        <f t="shared" si="299"/>
        <v/>
      </c>
      <c r="AK866" t="s">
        <v>34</v>
      </c>
      <c r="AL866" t="str">
        <f t="shared" si="295"/>
        <v>Completed</v>
      </c>
      <c r="AM866" t="str">
        <f t="shared" si="300"/>
        <v>Include</v>
      </c>
      <c r="AN866">
        <f t="shared" si="301"/>
        <v>17034.349999999999</v>
      </c>
      <c r="AO866">
        <f t="shared" si="302"/>
        <v>2402.989999999998</v>
      </c>
      <c r="AP866">
        <f>IF(AN866=0,0,AO866/AN866)</f>
        <v>0.14106731398615141</v>
      </c>
      <c r="AQ866" t="str">
        <f t="shared" si="303"/>
        <v>September</v>
      </c>
      <c r="AR866">
        <f t="shared" si="304"/>
        <v>2025</v>
      </c>
      <c r="AS866" t="str">
        <f t="shared" si="305"/>
        <v>Clean</v>
      </c>
      <c r="AT866" t="str">
        <f>IF(OR(AC866&lt;0,AC866&gt;0.5),"Invalid Discount","Valid")</f>
        <v>Valid</v>
      </c>
      <c r="AU866" t="str">
        <f>IF(G866&lt;E866,"Invalid Shipping Record","Valid")</f>
        <v>Valid</v>
      </c>
      <c r="AV866" t="str">
        <f>IF(OR(AL866="Cancelled",AH866="Failed"),"Exclude","Include")</f>
        <v>Include</v>
      </c>
      <c r="AW866" t="str">
        <f t="shared" si="306"/>
        <v>Match</v>
      </c>
      <c r="AX866" t="str">
        <f t="shared" si="307"/>
        <v>Match</v>
      </c>
    </row>
    <row r="867" spans="1:50">
      <c r="A867" t="s">
        <v>3951</v>
      </c>
      <c r="B867">
        <f t="shared" si="308"/>
        <v>1</v>
      </c>
      <c r="C867" t="str">
        <f t="shared" si="296"/>
        <v/>
      </c>
      <c r="D867" s="3" t="s">
        <v>3765</v>
      </c>
      <c r="E867" s="7">
        <v>45694</v>
      </c>
      <c r="F867" s="3" t="s">
        <v>1919</v>
      </c>
      <c r="G867" s="7">
        <v>45702</v>
      </c>
      <c r="H867" s="7" t="str">
        <f t="shared" si="287"/>
        <v>Valid</v>
      </c>
      <c r="I867" s="9">
        <f t="shared" si="288"/>
        <v>8</v>
      </c>
      <c r="J867" s="9" t="str">
        <f t="shared" si="289"/>
        <v>Valid</v>
      </c>
      <c r="K867" t="s">
        <v>3952</v>
      </c>
      <c r="L867" t="s">
        <v>365</v>
      </c>
      <c r="M867" t="s">
        <v>365</v>
      </c>
      <c r="N867" t="s">
        <v>25</v>
      </c>
      <c r="O867" s="3" t="str">
        <f t="shared" si="290"/>
        <v>Consumer</v>
      </c>
      <c r="P867" t="s">
        <v>72</v>
      </c>
      <c r="Q867" s="3" t="str">
        <f t="shared" si="291"/>
        <v>West</v>
      </c>
      <c r="R867" t="s">
        <v>73</v>
      </c>
      <c r="S867" t="s">
        <v>74</v>
      </c>
      <c r="T867" t="s">
        <v>29</v>
      </c>
      <c r="U867" s="3" t="str">
        <f t="shared" si="292"/>
        <v>Office Supplies</v>
      </c>
      <c r="V867" t="s">
        <v>108</v>
      </c>
      <c r="W867" t="s">
        <v>3953</v>
      </c>
      <c r="X867" t="s">
        <v>32</v>
      </c>
      <c r="Y867" s="3" t="str">
        <f t="shared" si="293"/>
        <v>Second Class</v>
      </c>
      <c r="Z867">
        <v>2</v>
      </c>
      <c r="AA867">
        <v>3992.04</v>
      </c>
      <c r="AB867">
        <v>0</v>
      </c>
      <c r="AC867">
        <f t="shared" si="294"/>
        <v>0</v>
      </c>
      <c r="AD867" t="str">
        <f t="shared" si="297"/>
        <v>Valid</v>
      </c>
      <c r="AE867">
        <v>7984.08</v>
      </c>
      <c r="AF867">
        <v>5658.05</v>
      </c>
      <c r="AG867">
        <v>2326.0300000000002</v>
      </c>
      <c r="AH867" t="s">
        <v>33</v>
      </c>
      <c r="AI867" t="str">
        <f t="shared" si="298"/>
        <v>Include</v>
      </c>
      <c r="AJ867" t="str">
        <f t="shared" si="299"/>
        <v/>
      </c>
      <c r="AK867" t="s">
        <v>34</v>
      </c>
      <c r="AL867" t="str">
        <f t="shared" si="295"/>
        <v>Completed</v>
      </c>
      <c r="AM867" t="str">
        <f t="shared" si="300"/>
        <v>Include</v>
      </c>
      <c r="AN867">
        <f t="shared" si="301"/>
        <v>7984.08</v>
      </c>
      <c r="AO867">
        <f t="shared" si="302"/>
        <v>2326.0299999999997</v>
      </c>
      <c r="AP867">
        <f>IF(AN867=0,0,AO867/AN867)</f>
        <v>0.29133350367230787</v>
      </c>
      <c r="AQ867" t="str">
        <f t="shared" si="303"/>
        <v>February</v>
      </c>
      <c r="AR867">
        <f t="shared" si="304"/>
        <v>2025</v>
      </c>
      <c r="AS867" t="str">
        <f t="shared" si="305"/>
        <v>Clean</v>
      </c>
      <c r="AT867" t="str">
        <f>IF(OR(AC867&lt;0,AC867&gt;0.5),"Invalid Discount","Valid")</f>
        <v>Valid</v>
      </c>
      <c r="AU867" t="str">
        <f>IF(G867&lt;E867,"Invalid Shipping Record","Valid")</f>
        <v>Valid</v>
      </c>
      <c r="AV867" t="str">
        <f>IF(OR(AL867="Cancelled",AH867="Failed"),"Exclude","Include")</f>
        <v>Include</v>
      </c>
      <c r="AW867" t="str">
        <f t="shared" si="306"/>
        <v>Match</v>
      </c>
      <c r="AX867" t="str">
        <f t="shared" si="307"/>
        <v>Match</v>
      </c>
    </row>
    <row r="868" spans="1:50">
      <c r="A868" t="s">
        <v>3954</v>
      </c>
      <c r="B868">
        <f t="shared" si="308"/>
        <v>1</v>
      </c>
      <c r="C868" t="str">
        <f t="shared" si="296"/>
        <v/>
      </c>
      <c r="D868" s="3" t="s">
        <v>1185</v>
      </c>
      <c r="E868" s="7">
        <v>45714</v>
      </c>
      <c r="F868" s="3" t="s">
        <v>3955</v>
      </c>
      <c r="G868" s="7">
        <v>45722</v>
      </c>
      <c r="H868" s="7" t="str">
        <f t="shared" si="287"/>
        <v>Valid</v>
      </c>
      <c r="I868" s="9">
        <f t="shared" si="288"/>
        <v>8</v>
      </c>
      <c r="J868" s="9" t="str">
        <f t="shared" si="289"/>
        <v>Valid</v>
      </c>
      <c r="K868" t="s">
        <v>3956</v>
      </c>
      <c r="L868" t="s">
        <v>141</v>
      </c>
      <c r="M868" t="s">
        <v>141</v>
      </c>
      <c r="N868" t="s">
        <v>25</v>
      </c>
      <c r="O868" s="3" t="str">
        <f t="shared" si="290"/>
        <v>Consumer</v>
      </c>
      <c r="P868" t="s">
        <v>41</v>
      </c>
      <c r="Q868" s="3" t="str">
        <f t="shared" si="291"/>
        <v>East</v>
      </c>
      <c r="R868" t="s">
        <v>185</v>
      </c>
      <c r="S868" t="s">
        <v>186</v>
      </c>
      <c r="T868" t="s">
        <v>44</v>
      </c>
      <c r="U868" s="3" t="str">
        <f t="shared" si="292"/>
        <v>Furniture</v>
      </c>
      <c r="V868" t="s">
        <v>203</v>
      </c>
      <c r="W868" t="s">
        <v>3957</v>
      </c>
      <c r="X868" t="s">
        <v>55</v>
      </c>
      <c r="Y868" s="3" t="str">
        <f t="shared" si="293"/>
        <v>First Class</v>
      </c>
      <c r="Z868">
        <v>9</v>
      </c>
      <c r="AA868">
        <v>3043.37</v>
      </c>
      <c r="AB868">
        <v>0.2</v>
      </c>
      <c r="AC868">
        <f t="shared" si="294"/>
        <v>0.2</v>
      </c>
      <c r="AD868" t="str">
        <f t="shared" si="297"/>
        <v>Valid</v>
      </c>
      <c r="AE868">
        <v>21912.26</v>
      </c>
      <c r="AF868">
        <v>16367.78</v>
      </c>
      <c r="AG868">
        <v>5544.48</v>
      </c>
      <c r="AH868" t="s">
        <v>136</v>
      </c>
      <c r="AI868" t="str">
        <f t="shared" si="298"/>
        <v>Exclude</v>
      </c>
      <c r="AJ868" t="str">
        <f t="shared" si="299"/>
        <v/>
      </c>
      <c r="AK868" t="s">
        <v>77</v>
      </c>
      <c r="AL868" t="str">
        <f t="shared" si="295"/>
        <v>Cancelled</v>
      </c>
      <c r="AM868" t="str">
        <f t="shared" si="300"/>
        <v>Exclude</v>
      </c>
      <c r="AN868">
        <f t="shared" si="301"/>
        <v>21912.263999999999</v>
      </c>
      <c r="AO868">
        <f t="shared" si="302"/>
        <v>5544.4839999999986</v>
      </c>
      <c r="AP868">
        <f>IF(AN868=0,0,AO868/AN868)</f>
        <v>0.25303108797885965</v>
      </c>
      <c r="AQ868" t="str">
        <f t="shared" si="303"/>
        <v>February</v>
      </c>
      <c r="AR868">
        <f t="shared" si="304"/>
        <v>2025</v>
      </c>
      <c r="AS868" t="str">
        <f t="shared" si="305"/>
        <v>Clean</v>
      </c>
      <c r="AT868" t="str">
        <f>IF(OR(AC868&lt;0,AC868&gt;0.5),"Invalid Discount","Valid")</f>
        <v>Valid</v>
      </c>
      <c r="AU868" t="str">
        <f>IF(G868&lt;E868,"Invalid Shipping Record","Valid")</f>
        <v>Valid</v>
      </c>
      <c r="AV868" t="str">
        <f>IF(OR(AL868="Cancelled",AH868="Failed"),"Exclude","Include")</f>
        <v>Exclude</v>
      </c>
      <c r="AW868" t="str">
        <f t="shared" si="306"/>
        <v>Match</v>
      </c>
      <c r="AX868" t="str">
        <f t="shared" si="307"/>
        <v>Match</v>
      </c>
    </row>
    <row r="869" spans="1:50">
      <c r="A869" t="s">
        <v>3958</v>
      </c>
      <c r="B869">
        <f t="shared" si="308"/>
        <v>1</v>
      </c>
      <c r="C869" t="str">
        <f t="shared" si="296"/>
        <v/>
      </c>
      <c r="D869" s="3" t="s">
        <v>3959</v>
      </c>
      <c r="E869" s="7">
        <v>45617</v>
      </c>
      <c r="F869" s="3" t="s">
        <v>3960</v>
      </c>
      <c r="G869" s="7">
        <v>45618</v>
      </c>
      <c r="H869" s="7" t="str">
        <f t="shared" si="287"/>
        <v>Valid</v>
      </c>
      <c r="I869" s="9">
        <f t="shared" si="288"/>
        <v>1</v>
      </c>
      <c r="J869" s="9" t="str">
        <f t="shared" si="289"/>
        <v>Valid</v>
      </c>
      <c r="K869" t="s">
        <v>3961</v>
      </c>
      <c r="L869" t="s">
        <v>147</v>
      </c>
      <c r="M869" t="s">
        <v>147</v>
      </c>
      <c r="N869" t="s">
        <v>114</v>
      </c>
      <c r="O869" s="3" t="str">
        <f t="shared" si="290"/>
        <v>Home Office</v>
      </c>
      <c r="P869" t="s">
        <v>61</v>
      </c>
      <c r="Q869" s="3" t="str">
        <f t="shared" si="291"/>
        <v>South</v>
      </c>
      <c r="R869" t="s">
        <v>99</v>
      </c>
      <c r="S869" t="s">
        <v>100</v>
      </c>
      <c r="T869" t="s">
        <v>85</v>
      </c>
      <c r="U869" s="3" t="str">
        <f t="shared" si="292"/>
        <v>Technology</v>
      </c>
      <c r="V869" t="s">
        <v>86</v>
      </c>
      <c r="W869" t="s">
        <v>3962</v>
      </c>
      <c r="X869" t="s">
        <v>47</v>
      </c>
      <c r="Y869" s="3" t="str">
        <f t="shared" si="293"/>
        <v>Same Day</v>
      </c>
      <c r="Z869">
        <v>6</v>
      </c>
      <c r="AA869">
        <v>1043.49</v>
      </c>
      <c r="AB869">
        <v>0.25</v>
      </c>
      <c r="AC869">
        <f t="shared" si="294"/>
        <v>0.25</v>
      </c>
      <c r="AD869" t="str">
        <f t="shared" si="297"/>
        <v>Valid</v>
      </c>
      <c r="AE869">
        <v>4695.7</v>
      </c>
      <c r="AF869">
        <v>3871.69</v>
      </c>
      <c r="AG869">
        <v>824.01</v>
      </c>
      <c r="AH869" t="s">
        <v>199</v>
      </c>
      <c r="AI869" t="str">
        <f t="shared" si="298"/>
        <v>Exclude</v>
      </c>
      <c r="AJ869" t="str">
        <f t="shared" si="299"/>
        <v/>
      </c>
      <c r="AK869" t="s">
        <v>77</v>
      </c>
      <c r="AL869" t="str">
        <f t="shared" si="295"/>
        <v>Cancelled</v>
      </c>
      <c r="AM869" t="str">
        <f t="shared" si="300"/>
        <v>Exclude</v>
      </c>
      <c r="AN869">
        <f t="shared" si="301"/>
        <v>4695.7049999999999</v>
      </c>
      <c r="AO869">
        <f t="shared" si="302"/>
        <v>824.01499999999987</v>
      </c>
      <c r="AP869">
        <f>IF(AN869=0,0,AO869/AN869)</f>
        <v>0.17548270174553127</v>
      </c>
      <c r="AQ869" t="str">
        <f t="shared" si="303"/>
        <v>November</v>
      </c>
      <c r="AR869">
        <f t="shared" si="304"/>
        <v>2024</v>
      </c>
      <c r="AS869" t="str">
        <f t="shared" si="305"/>
        <v>Clean</v>
      </c>
      <c r="AT869" t="str">
        <f>IF(OR(AC869&lt;0,AC869&gt;0.5),"Invalid Discount","Valid")</f>
        <v>Valid</v>
      </c>
      <c r="AU869" t="str">
        <f>IF(G869&lt;E869,"Invalid Shipping Record","Valid")</f>
        <v>Valid</v>
      </c>
      <c r="AV869" t="str">
        <f>IF(OR(AL869="Cancelled",AH869="Failed"),"Exclude","Include")</f>
        <v>Exclude</v>
      </c>
      <c r="AW869" t="str">
        <f t="shared" si="306"/>
        <v>Mismatch</v>
      </c>
      <c r="AX869" t="str">
        <f t="shared" si="307"/>
        <v>Mismatch</v>
      </c>
    </row>
    <row r="870" spans="1:50">
      <c r="A870" t="s">
        <v>3963</v>
      </c>
      <c r="B870">
        <f t="shared" si="308"/>
        <v>1</v>
      </c>
      <c r="C870" t="str">
        <f t="shared" si="296"/>
        <v/>
      </c>
      <c r="D870" s="3" t="s">
        <v>813</v>
      </c>
      <c r="E870" s="7">
        <v>45758</v>
      </c>
      <c r="F870" s="3" t="s">
        <v>2142</v>
      </c>
      <c r="G870" s="7">
        <v>45762</v>
      </c>
      <c r="H870" s="7" t="str">
        <f t="shared" si="287"/>
        <v>Valid</v>
      </c>
      <c r="I870" s="9">
        <f t="shared" si="288"/>
        <v>4</v>
      </c>
      <c r="J870" s="9" t="str">
        <f t="shared" si="289"/>
        <v>Valid</v>
      </c>
      <c r="K870" t="s">
        <v>3964</v>
      </c>
      <c r="L870" t="s">
        <v>82</v>
      </c>
      <c r="M870" t="s">
        <v>82</v>
      </c>
      <c r="N870" t="s">
        <v>114</v>
      </c>
      <c r="O870" s="3" t="str">
        <f t="shared" si="290"/>
        <v>Home Office</v>
      </c>
      <c r="P870" t="s">
        <v>61</v>
      </c>
      <c r="Q870" s="3" t="str">
        <f t="shared" si="291"/>
        <v>South</v>
      </c>
      <c r="R870" t="s">
        <v>228</v>
      </c>
      <c r="S870" t="s">
        <v>229</v>
      </c>
      <c r="T870" t="s">
        <v>29</v>
      </c>
      <c r="U870" s="3" t="str">
        <f t="shared" si="292"/>
        <v>Office Supplies</v>
      </c>
      <c r="V870" t="s">
        <v>155</v>
      </c>
      <c r="W870" t="s">
        <v>3965</v>
      </c>
      <c r="X870" t="s">
        <v>47</v>
      </c>
      <c r="Y870" s="3" t="str">
        <f t="shared" si="293"/>
        <v>Same Day</v>
      </c>
      <c r="Z870">
        <v>9</v>
      </c>
      <c r="AA870">
        <v>224.94</v>
      </c>
      <c r="AB870">
        <v>0.05</v>
      </c>
      <c r="AC870">
        <f t="shared" si="294"/>
        <v>0.05</v>
      </c>
      <c r="AD870" t="str">
        <f t="shared" si="297"/>
        <v>Valid</v>
      </c>
      <c r="AE870">
        <v>1923.24</v>
      </c>
      <c r="AF870">
        <v>1093.6600000000001</v>
      </c>
      <c r="AG870">
        <v>829.58</v>
      </c>
      <c r="AH870" t="s">
        <v>33</v>
      </c>
      <c r="AI870" t="str">
        <f t="shared" si="298"/>
        <v>Include</v>
      </c>
      <c r="AJ870" t="str">
        <f t="shared" si="299"/>
        <v/>
      </c>
      <c r="AK870" t="s">
        <v>34</v>
      </c>
      <c r="AL870" t="str">
        <f t="shared" si="295"/>
        <v>Completed</v>
      </c>
      <c r="AM870" t="str">
        <f t="shared" si="300"/>
        <v>Include</v>
      </c>
      <c r="AN870">
        <f t="shared" si="301"/>
        <v>1923.2369999999999</v>
      </c>
      <c r="AO870">
        <f t="shared" si="302"/>
        <v>829.57699999999977</v>
      </c>
      <c r="AP870">
        <f>IF(AN870=0,0,AO870/AN870)</f>
        <v>0.43134413491420964</v>
      </c>
      <c r="AQ870" t="str">
        <f t="shared" si="303"/>
        <v>April</v>
      </c>
      <c r="AR870">
        <f t="shared" si="304"/>
        <v>2025</v>
      </c>
      <c r="AS870" t="str">
        <f t="shared" si="305"/>
        <v>Clean</v>
      </c>
      <c r="AT870" t="str">
        <f>IF(OR(AC870&lt;0,AC870&gt;0.5),"Invalid Discount","Valid")</f>
        <v>Valid</v>
      </c>
      <c r="AU870" t="str">
        <f>IF(G870&lt;E870,"Invalid Shipping Record","Valid")</f>
        <v>Valid</v>
      </c>
      <c r="AV870" t="str">
        <f>IF(OR(AL870="Cancelled",AH870="Failed"),"Exclude","Include")</f>
        <v>Include</v>
      </c>
      <c r="AW870" t="str">
        <f t="shared" si="306"/>
        <v>Match</v>
      </c>
      <c r="AX870" t="str">
        <f t="shared" si="307"/>
        <v>Match</v>
      </c>
    </row>
    <row r="871" spans="1:50">
      <c r="A871" t="s">
        <v>3966</v>
      </c>
      <c r="B871">
        <f t="shared" si="308"/>
        <v>1</v>
      </c>
      <c r="C871" t="str">
        <f t="shared" si="296"/>
        <v/>
      </c>
      <c r="D871" s="3" t="s">
        <v>3967</v>
      </c>
      <c r="E871" s="7">
        <v>45722</v>
      </c>
      <c r="F871" s="3" t="s">
        <v>786</v>
      </c>
      <c r="G871" s="7">
        <v>45723</v>
      </c>
      <c r="H871" s="7" t="str">
        <f t="shared" si="287"/>
        <v>Valid</v>
      </c>
      <c r="I871" s="9">
        <f t="shared" si="288"/>
        <v>1</v>
      </c>
      <c r="J871" s="9" t="str">
        <f t="shared" si="289"/>
        <v>Valid</v>
      </c>
      <c r="K871" t="s">
        <v>3968</v>
      </c>
      <c r="L871" t="s">
        <v>179</v>
      </c>
      <c r="M871" t="s">
        <v>179</v>
      </c>
      <c r="N871" t="s">
        <v>114</v>
      </c>
      <c r="O871" s="3" t="str">
        <f t="shared" si="290"/>
        <v>Home Office</v>
      </c>
      <c r="Q871" s="3" t="str">
        <f t="shared" si="291"/>
        <v>Unknown</v>
      </c>
      <c r="R871" t="s">
        <v>505</v>
      </c>
      <c r="S871" t="s">
        <v>506</v>
      </c>
      <c r="T871" t="s">
        <v>44</v>
      </c>
      <c r="U871" s="3" t="str">
        <f t="shared" si="292"/>
        <v>Furniture</v>
      </c>
      <c r="V871" t="s">
        <v>75</v>
      </c>
      <c r="W871" t="s">
        <v>1751</v>
      </c>
      <c r="X871" t="s">
        <v>47</v>
      </c>
      <c r="Y871" s="3" t="str">
        <f t="shared" si="293"/>
        <v>Same Day</v>
      </c>
      <c r="Z871">
        <v>6</v>
      </c>
      <c r="AA871">
        <v>796.65</v>
      </c>
      <c r="AB871">
        <v>0.1</v>
      </c>
      <c r="AC871">
        <f t="shared" si="294"/>
        <v>0.1</v>
      </c>
      <c r="AD871" t="str">
        <f t="shared" si="297"/>
        <v>Valid</v>
      </c>
      <c r="AE871">
        <v>4301.91</v>
      </c>
      <c r="AF871">
        <v>2374.4</v>
      </c>
      <c r="AG871">
        <v>1927.51</v>
      </c>
      <c r="AH871" t="s">
        <v>33</v>
      </c>
      <c r="AI871" t="str">
        <f t="shared" si="298"/>
        <v>Include</v>
      </c>
      <c r="AJ871" t="str">
        <f t="shared" si="299"/>
        <v/>
      </c>
      <c r="AK871" t="s">
        <v>34</v>
      </c>
      <c r="AL871" t="str">
        <f t="shared" si="295"/>
        <v>Completed</v>
      </c>
      <c r="AM871" t="str">
        <f t="shared" si="300"/>
        <v>Include</v>
      </c>
      <c r="AN871">
        <f t="shared" si="301"/>
        <v>4301.91</v>
      </c>
      <c r="AO871">
        <f t="shared" si="302"/>
        <v>1927.5099999999998</v>
      </c>
      <c r="AP871">
        <f>IF(AN871=0,0,AO871/AN871)</f>
        <v>0.44805911792668834</v>
      </c>
      <c r="AQ871" t="str">
        <f t="shared" si="303"/>
        <v>March</v>
      </c>
      <c r="AR871">
        <f t="shared" si="304"/>
        <v>2025</v>
      </c>
      <c r="AS871" t="str">
        <f t="shared" si="305"/>
        <v>Warning</v>
      </c>
      <c r="AT871" t="str">
        <f>IF(OR(AC871&lt;0,AC871&gt;0.5),"Invalid Discount","Valid")</f>
        <v>Valid</v>
      </c>
      <c r="AU871" t="str">
        <f>IF(G871&lt;E871,"Invalid Shipping Record","Valid")</f>
        <v>Valid</v>
      </c>
      <c r="AV871" t="str">
        <f>IF(OR(AL871="Cancelled",AH871="Failed"),"Exclude","Include")</f>
        <v>Include</v>
      </c>
      <c r="AW871" t="str">
        <f t="shared" si="306"/>
        <v>Match</v>
      </c>
      <c r="AX871" t="str">
        <f t="shared" si="307"/>
        <v>Match</v>
      </c>
    </row>
    <row r="872" spans="1:50">
      <c r="A872" t="s">
        <v>3969</v>
      </c>
      <c r="B872">
        <f t="shared" si="308"/>
        <v>1</v>
      </c>
      <c r="C872" t="str">
        <f t="shared" si="296"/>
        <v/>
      </c>
      <c r="D872" s="3" t="s">
        <v>3970</v>
      </c>
      <c r="E872" s="7">
        <v>45814</v>
      </c>
      <c r="F872" s="3" t="s">
        <v>3971</v>
      </c>
      <c r="G872" s="7">
        <v>45815</v>
      </c>
      <c r="H872" s="7" t="str">
        <f t="shared" si="287"/>
        <v>Valid</v>
      </c>
      <c r="I872" s="9">
        <f t="shared" si="288"/>
        <v>1</v>
      </c>
      <c r="J872" s="9" t="str">
        <f t="shared" si="289"/>
        <v>Valid</v>
      </c>
      <c r="K872" t="s">
        <v>3972</v>
      </c>
      <c r="L872" t="s">
        <v>82</v>
      </c>
      <c r="M872" t="s">
        <v>82</v>
      </c>
      <c r="N872" t="s">
        <v>107</v>
      </c>
      <c r="O872" s="3" t="str">
        <f t="shared" si="290"/>
        <v>Corporate</v>
      </c>
      <c r="P872" t="s">
        <v>72</v>
      </c>
      <c r="Q872" s="3" t="str">
        <f t="shared" si="291"/>
        <v>West</v>
      </c>
      <c r="R872" t="s">
        <v>248</v>
      </c>
      <c r="S872" t="s">
        <v>249</v>
      </c>
      <c r="T872" t="s">
        <v>44</v>
      </c>
      <c r="U872" s="3" t="str">
        <f t="shared" si="292"/>
        <v>Furniture</v>
      </c>
      <c r="V872" t="s">
        <v>45</v>
      </c>
      <c r="W872" t="s">
        <v>3973</v>
      </c>
      <c r="X872" t="s">
        <v>66</v>
      </c>
      <c r="Y872" s="3" t="str">
        <f t="shared" si="293"/>
        <v>Standard Class</v>
      </c>
      <c r="Z872">
        <v>9</v>
      </c>
      <c r="AA872">
        <v>2932.92</v>
      </c>
      <c r="AB872">
        <v>0.15</v>
      </c>
      <c r="AC872">
        <f t="shared" si="294"/>
        <v>0.15</v>
      </c>
      <c r="AD872" t="str">
        <f t="shared" si="297"/>
        <v>Valid</v>
      </c>
      <c r="AE872">
        <v>22436.84</v>
      </c>
      <c r="AF872">
        <v>17454.669999999998</v>
      </c>
      <c r="AG872">
        <v>4982.17</v>
      </c>
      <c r="AH872" t="s">
        <v>33</v>
      </c>
      <c r="AI872" t="str">
        <f t="shared" si="298"/>
        <v>Exclude</v>
      </c>
      <c r="AJ872" t="str">
        <f t="shared" si="299"/>
        <v/>
      </c>
      <c r="AK872" t="s">
        <v>77</v>
      </c>
      <c r="AL872" t="str">
        <f t="shared" si="295"/>
        <v>Cancelled</v>
      </c>
      <c r="AM872" t="str">
        <f t="shared" si="300"/>
        <v>Exclude</v>
      </c>
      <c r="AN872">
        <f t="shared" si="301"/>
        <v>22436.838</v>
      </c>
      <c r="AO872">
        <f t="shared" si="302"/>
        <v>4982.1680000000015</v>
      </c>
      <c r="AP872">
        <f>IF(AN872=0,0,AO872/AN872)</f>
        <v>0.22205303617203109</v>
      </c>
      <c r="AQ872" t="str">
        <f t="shared" si="303"/>
        <v>June</v>
      </c>
      <c r="AR872">
        <f t="shared" si="304"/>
        <v>2025</v>
      </c>
      <c r="AS872" t="str">
        <f t="shared" si="305"/>
        <v>Clean</v>
      </c>
      <c r="AT872" t="str">
        <f>IF(OR(AC872&lt;0,AC872&gt;0.5),"Invalid Discount","Valid")</f>
        <v>Valid</v>
      </c>
      <c r="AU872" t="str">
        <f>IF(G872&lt;E872,"Invalid Shipping Record","Valid")</f>
        <v>Valid</v>
      </c>
      <c r="AV872" t="str">
        <f>IF(OR(AL872="Cancelled",AH872="Failed"),"Exclude","Include")</f>
        <v>Exclude</v>
      </c>
      <c r="AW872" t="str">
        <f t="shared" si="306"/>
        <v>Match</v>
      </c>
      <c r="AX872" t="str">
        <f t="shared" si="307"/>
        <v>Match</v>
      </c>
    </row>
    <row r="873" spans="1:50">
      <c r="A873" t="s">
        <v>3974</v>
      </c>
      <c r="B873">
        <f t="shared" si="308"/>
        <v>1</v>
      </c>
      <c r="C873" t="str">
        <f t="shared" si="296"/>
        <v/>
      </c>
      <c r="D873" s="3" t="s">
        <v>3975</v>
      </c>
      <c r="E873" s="7">
        <v>45342</v>
      </c>
      <c r="F873" s="3" t="s">
        <v>2829</v>
      </c>
      <c r="G873" s="7">
        <v>45344</v>
      </c>
      <c r="H873" s="7" t="str">
        <f t="shared" si="287"/>
        <v>Valid</v>
      </c>
      <c r="I873" s="9">
        <f t="shared" si="288"/>
        <v>2</v>
      </c>
      <c r="J873" s="9" t="str">
        <f t="shared" si="289"/>
        <v>Valid</v>
      </c>
      <c r="K873" t="s">
        <v>3794</v>
      </c>
      <c r="L873" t="s">
        <v>92</v>
      </c>
      <c r="M873" t="s">
        <v>92</v>
      </c>
      <c r="N873" t="s">
        <v>40</v>
      </c>
      <c r="O873" s="3" t="str">
        <f t="shared" si="290"/>
        <v>Small Business</v>
      </c>
      <c r="P873" t="s">
        <v>61</v>
      </c>
      <c r="Q873" s="3" t="str">
        <f t="shared" si="291"/>
        <v>South</v>
      </c>
      <c r="R873" t="s">
        <v>62</v>
      </c>
      <c r="S873" t="s">
        <v>63</v>
      </c>
      <c r="T873" t="s">
        <v>85</v>
      </c>
      <c r="U873" s="3" t="str">
        <f t="shared" si="292"/>
        <v>Technology</v>
      </c>
      <c r="V873" t="s">
        <v>86</v>
      </c>
      <c r="W873" t="s">
        <v>3976</v>
      </c>
      <c r="X873" t="s">
        <v>55</v>
      </c>
      <c r="Y873" s="3" t="str">
        <f t="shared" si="293"/>
        <v>First Class</v>
      </c>
      <c r="Z873">
        <v>9</v>
      </c>
      <c r="AA873">
        <v>2186.23</v>
      </c>
      <c r="AB873">
        <v>0</v>
      </c>
      <c r="AC873">
        <f t="shared" si="294"/>
        <v>0</v>
      </c>
      <c r="AD873" t="str">
        <f t="shared" si="297"/>
        <v>Valid</v>
      </c>
      <c r="AE873">
        <v>19676.07</v>
      </c>
      <c r="AF873">
        <v>12458.62</v>
      </c>
      <c r="AG873">
        <v>7217.45</v>
      </c>
      <c r="AH873" t="s">
        <v>123</v>
      </c>
      <c r="AI873" t="str">
        <f t="shared" si="298"/>
        <v>Exclude</v>
      </c>
      <c r="AJ873" t="str">
        <f t="shared" si="299"/>
        <v>Refunded Order</v>
      </c>
      <c r="AK873" t="s">
        <v>77</v>
      </c>
      <c r="AL873" t="str">
        <f t="shared" si="295"/>
        <v>Cancelled</v>
      </c>
      <c r="AM873" t="str">
        <f t="shared" si="300"/>
        <v>Exclude</v>
      </c>
      <c r="AN873">
        <f t="shared" si="301"/>
        <v>19676.07</v>
      </c>
      <c r="AO873">
        <f t="shared" si="302"/>
        <v>7217.4499999999989</v>
      </c>
      <c r="AP873">
        <f>IF(AN873=0,0,AO873/AN873)</f>
        <v>0.36681359641432454</v>
      </c>
      <c r="AQ873" t="str">
        <f t="shared" si="303"/>
        <v>February</v>
      </c>
      <c r="AR873">
        <f t="shared" si="304"/>
        <v>2024</v>
      </c>
      <c r="AS873" t="str">
        <f t="shared" si="305"/>
        <v>Clean</v>
      </c>
      <c r="AT873" t="str">
        <f>IF(OR(AC873&lt;0,AC873&gt;0.5),"Invalid Discount","Valid")</f>
        <v>Valid</v>
      </c>
      <c r="AU873" t="str">
        <f>IF(G873&lt;E873,"Invalid Shipping Record","Valid")</f>
        <v>Valid</v>
      </c>
      <c r="AV873" t="str">
        <f>IF(OR(AL873="Cancelled",AH873="Failed"),"Exclude","Include")</f>
        <v>Exclude</v>
      </c>
      <c r="AW873" t="str">
        <f t="shared" si="306"/>
        <v>Match</v>
      </c>
      <c r="AX873" t="str">
        <f t="shared" si="307"/>
        <v>Match</v>
      </c>
    </row>
    <row r="874" spans="1:50">
      <c r="A874" t="s">
        <v>3977</v>
      </c>
      <c r="B874">
        <f t="shared" si="308"/>
        <v>1</v>
      </c>
      <c r="C874" t="str">
        <f t="shared" si="296"/>
        <v/>
      </c>
      <c r="D874" s="3" t="s">
        <v>3505</v>
      </c>
      <c r="E874" s="7">
        <v>45597</v>
      </c>
      <c r="F874" s="3" t="s">
        <v>3978</v>
      </c>
      <c r="G874" s="7">
        <v>45598</v>
      </c>
      <c r="H874" s="7" t="str">
        <f t="shared" si="287"/>
        <v>Valid</v>
      </c>
      <c r="I874" s="9">
        <f t="shared" si="288"/>
        <v>1</v>
      </c>
      <c r="J874" s="9" t="str">
        <f t="shared" si="289"/>
        <v>Valid</v>
      </c>
      <c r="K874" t="s">
        <v>2961</v>
      </c>
      <c r="L874" t="s">
        <v>24</v>
      </c>
      <c r="M874" t="s">
        <v>24</v>
      </c>
      <c r="N874" t="s">
        <v>107</v>
      </c>
      <c r="O874" s="3" t="str">
        <f t="shared" si="290"/>
        <v>Corporate</v>
      </c>
      <c r="P874" t="s">
        <v>41</v>
      </c>
      <c r="Q874" s="3" t="str">
        <f t="shared" si="291"/>
        <v>East</v>
      </c>
      <c r="R874" t="s">
        <v>120</v>
      </c>
      <c r="S874" t="s">
        <v>121</v>
      </c>
      <c r="T874" t="s">
        <v>44</v>
      </c>
      <c r="U874" s="3" t="str">
        <f t="shared" si="292"/>
        <v>Furniture</v>
      </c>
      <c r="V874" t="s">
        <v>64</v>
      </c>
      <c r="W874" t="s">
        <v>3979</v>
      </c>
      <c r="X874" t="s">
        <v>66</v>
      </c>
      <c r="Y874" s="3" t="str">
        <f t="shared" si="293"/>
        <v>Standard Class</v>
      </c>
      <c r="Z874">
        <v>5</v>
      </c>
      <c r="AA874">
        <v>2212.02</v>
      </c>
      <c r="AB874">
        <v>0.2</v>
      </c>
      <c r="AC874">
        <f t="shared" si="294"/>
        <v>0.2</v>
      </c>
      <c r="AD874" t="str">
        <f t="shared" si="297"/>
        <v>Valid</v>
      </c>
      <c r="AE874">
        <v>8848.08</v>
      </c>
      <c r="AF874">
        <v>5691.56</v>
      </c>
      <c r="AG874">
        <v>3156.52</v>
      </c>
      <c r="AH874" t="s">
        <v>33</v>
      </c>
      <c r="AI874" t="str">
        <f t="shared" si="298"/>
        <v>Include</v>
      </c>
      <c r="AJ874" t="str">
        <f t="shared" si="299"/>
        <v/>
      </c>
      <c r="AK874" t="s">
        <v>34</v>
      </c>
      <c r="AL874" t="str">
        <f t="shared" si="295"/>
        <v>Completed</v>
      </c>
      <c r="AM874" t="str">
        <f t="shared" si="300"/>
        <v>Include</v>
      </c>
      <c r="AN874">
        <f t="shared" si="301"/>
        <v>8848.08</v>
      </c>
      <c r="AO874">
        <f t="shared" si="302"/>
        <v>3156.5199999999995</v>
      </c>
      <c r="AP874">
        <f>IF(AN874=0,0,AO874/AN874)</f>
        <v>0.35674632236598219</v>
      </c>
      <c r="AQ874" t="str">
        <f t="shared" si="303"/>
        <v>November</v>
      </c>
      <c r="AR874">
        <f t="shared" si="304"/>
        <v>2024</v>
      </c>
      <c r="AS874" t="str">
        <f t="shared" si="305"/>
        <v>Clean</v>
      </c>
      <c r="AT874" t="str">
        <f>IF(OR(AC874&lt;0,AC874&gt;0.5),"Invalid Discount","Valid")</f>
        <v>Valid</v>
      </c>
      <c r="AU874" t="str">
        <f>IF(G874&lt;E874,"Invalid Shipping Record","Valid")</f>
        <v>Valid</v>
      </c>
      <c r="AV874" t="str">
        <f>IF(OR(AL874="Cancelled",AH874="Failed"),"Exclude","Include")</f>
        <v>Include</v>
      </c>
      <c r="AW874" t="str">
        <f t="shared" si="306"/>
        <v>Match</v>
      </c>
      <c r="AX874" t="str">
        <f t="shared" si="307"/>
        <v>Match</v>
      </c>
    </row>
    <row r="875" spans="1:50">
      <c r="A875" t="s">
        <v>3980</v>
      </c>
      <c r="B875">
        <f t="shared" si="308"/>
        <v>1</v>
      </c>
      <c r="C875" t="str">
        <f t="shared" si="296"/>
        <v/>
      </c>
      <c r="D875" s="3" t="s">
        <v>3981</v>
      </c>
      <c r="E875" s="7">
        <v>45689</v>
      </c>
      <c r="F875" s="3" t="s">
        <v>3982</v>
      </c>
      <c r="G875" s="7">
        <v>45696</v>
      </c>
      <c r="H875" s="7" t="str">
        <f t="shared" si="287"/>
        <v>Valid</v>
      </c>
      <c r="I875" s="9">
        <f t="shared" si="288"/>
        <v>7</v>
      </c>
      <c r="J875" s="9" t="str">
        <f t="shared" si="289"/>
        <v>Valid</v>
      </c>
      <c r="K875" t="s">
        <v>3983</v>
      </c>
      <c r="L875" t="s">
        <v>106</v>
      </c>
      <c r="M875" t="s">
        <v>106</v>
      </c>
      <c r="N875" t="s">
        <v>114</v>
      </c>
      <c r="O875" s="3" t="str">
        <f t="shared" si="290"/>
        <v>Home Office</v>
      </c>
      <c r="P875" t="s">
        <v>72</v>
      </c>
      <c r="Q875" s="3" t="str">
        <f t="shared" si="291"/>
        <v>West</v>
      </c>
      <c r="R875" t="s">
        <v>234</v>
      </c>
      <c r="S875" t="s">
        <v>235</v>
      </c>
      <c r="T875" t="s">
        <v>29</v>
      </c>
      <c r="U875" s="3" t="str">
        <f t="shared" si="292"/>
        <v>Office Supplies</v>
      </c>
      <c r="V875" t="s">
        <v>155</v>
      </c>
      <c r="W875" t="s">
        <v>3984</v>
      </c>
      <c r="X875" t="s">
        <v>32</v>
      </c>
      <c r="Y875" s="3" t="str">
        <f t="shared" si="293"/>
        <v>Second Class</v>
      </c>
      <c r="Z875">
        <v>8</v>
      </c>
      <c r="AA875">
        <v>623.30999999999995</v>
      </c>
      <c r="AB875">
        <v>0.1</v>
      </c>
      <c r="AC875">
        <f t="shared" si="294"/>
        <v>0.1</v>
      </c>
      <c r="AD875" t="str">
        <f t="shared" si="297"/>
        <v>Valid</v>
      </c>
      <c r="AE875">
        <v>4487.83</v>
      </c>
      <c r="AF875">
        <v>2633.78</v>
      </c>
      <c r="AG875">
        <v>1854.05</v>
      </c>
      <c r="AH875" t="s">
        <v>33</v>
      </c>
      <c r="AI875" t="str">
        <f t="shared" si="298"/>
        <v>Include</v>
      </c>
      <c r="AJ875" t="str">
        <f t="shared" si="299"/>
        <v/>
      </c>
      <c r="AK875" t="s">
        <v>34</v>
      </c>
      <c r="AL875" t="str">
        <f t="shared" si="295"/>
        <v>Completed</v>
      </c>
      <c r="AM875" t="str">
        <f t="shared" si="300"/>
        <v>Include</v>
      </c>
      <c r="AN875">
        <f t="shared" si="301"/>
        <v>4487.8319999999994</v>
      </c>
      <c r="AO875">
        <f t="shared" si="302"/>
        <v>1854.0519999999992</v>
      </c>
      <c r="AP875">
        <f>IF(AN875=0,0,AO875/AN875)</f>
        <v>0.41312865543986482</v>
      </c>
      <c r="AQ875" t="str">
        <f t="shared" si="303"/>
        <v>February</v>
      </c>
      <c r="AR875">
        <f t="shared" si="304"/>
        <v>2025</v>
      </c>
      <c r="AS875" t="str">
        <f t="shared" si="305"/>
        <v>Clean</v>
      </c>
      <c r="AT875" t="str">
        <f>IF(OR(AC875&lt;0,AC875&gt;0.5),"Invalid Discount","Valid")</f>
        <v>Valid</v>
      </c>
      <c r="AU875" t="str">
        <f>IF(G875&lt;E875,"Invalid Shipping Record","Valid")</f>
        <v>Valid</v>
      </c>
      <c r="AV875" t="str">
        <f>IF(OR(AL875="Cancelled",AH875="Failed"),"Exclude","Include")</f>
        <v>Include</v>
      </c>
      <c r="AW875" t="str">
        <f t="shared" si="306"/>
        <v>Match</v>
      </c>
      <c r="AX875" t="str">
        <f t="shared" si="307"/>
        <v>Match</v>
      </c>
    </row>
    <row r="876" spans="1:50">
      <c r="A876" t="s">
        <v>3985</v>
      </c>
      <c r="B876">
        <f t="shared" si="308"/>
        <v>1</v>
      </c>
      <c r="C876" t="str">
        <f t="shared" si="296"/>
        <v/>
      </c>
      <c r="D876" s="3" t="s">
        <v>2907</v>
      </c>
      <c r="E876" s="7">
        <v>45853</v>
      </c>
      <c r="F876" s="3" t="s">
        <v>1510</v>
      </c>
      <c r="G876" s="7">
        <v>45854</v>
      </c>
      <c r="H876" s="7" t="str">
        <f t="shared" si="287"/>
        <v>Valid</v>
      </c>
      <c r="I876" s="9">
        <f t="shared" si="288"/>
        <v>1</v>
      </c>
      <c r="J876" s="9" t="str">
        <f t="shared" si="289"/>
        <v>Valid</v>
      </c>
      <c r="K876" t="s">
        <v>3986</v>
      </c>
      <c r="L876" t="s">
        <v>82</v>
      </c>
      <c r="M876" t="s">
        <v>82</v>
      </c>
      <c r="N876" t="s">
        <v>40</v>
      </c>
      <c r="O876" s="3" t="str">
        <f t="shared" si="290"/>
        <v>Small Business</v>
      </c>
      <c r="P876" t="s">
        <v>72</v>
      </c>
      <c r="Q876" s="3" t="str">
        <f t="shared" si="291"/>
        <v>West</v>
      </c>
      <c r="R876" t="s">
        <v>73</v>
      </c>
      <c r="S876" t="s">
        <v>74</v>
      </c>
      <c r="T876" t="s">
        <v>29</v>
      </c>
      <c r="U876" s="3" t="str">
        <f t="shared" si="292"/>
        <v>Office Supplies</v>
      </c>
      <c r="V876" t="s">
        <v>30</v>
      </c>
      <c r="W876" t="s">
        <v>3987</v>
      </c>
      <c r="X876" t="s">
        <v>66</v>
      </c>
      <c r="Y876" s="3" t="str">
        <f t="shared" si="293"/>
        <v>Standard Class</v>
      </c>
      <c r="Z876">
        <v>8</v>
      </c>
      <c r="AA876">
        <v>3924.88</v>
      </c>
      <c r="AB876">
        <v>0.05</v>
      </c>
      <c r="AC876">
        <f t="shared" si="294"/>
        <v>0.05</v>
      </c>
      <c r="AD876" t="str">
        <f t="shared" si="297"/>
        <v>Valid</v>
      </c>
      <c r="AE876">
        <v>29829.09</v>
      </c>
      <c r="AF876">
        <v>20710.18</v>
      </c>
      <c r="AG876">
        <v>9118.91</v>
      </c>
      <c r="AH876" t="s">
        <v>33</v>
      </c>
      <c r="AI876" t="str">
        <f t="shared" si="298"/>
        <v>Include</v>
      </c>
      <c r="AJ876" t="str">
        <f t="shared" si="299"/>
        <v/>
      </c>
      <c r="AK876" t="s">
        <v>34</v>
      </c>
      <c r="AL876" t="str">
        <f t="shared" si="295"/>
        <v>Completed</v>
      </c>
      <c r="AM876" t="str">
        <f t="shared" si="300"/>
        <v>Include</v>
      </c>
      <c r="AN876">
        <f t="shared" si="301"/>
        <v>29829.088</v>
      </c>
      <c r="AO876">
        <f t="shared" si="302"/>
        <v>9118.9079999999994</v>
      </c>
      <c r="AP876">
        <f>IF(AN876=0,0,AO876/AN876)</f>
        <v>0.30570522303598419</v>
      </c>
      <c r="AQ876" t="str">
        <f t="shared" si="303"/>
        <v>July</v>
      </c>
      <c r="AR876">
        <f t="shared" si="304"/>
        <v>2025</v>
      </c>
      <c r="AS876" t="str">
        <f t="shared" si="305"/>
        <v>Clean</v>
      </c>
      <c r="AT876" t="str">
        <f>IF(OR(AC876&lt;0,AC876&gt;0.5),"Invalid Discount","Valid")</f>
        <v>Valid</v>
      </c>
      <c r="AU876" t="str">
        <f>IF(G876&lt;E876,"Invalid Shipping Record","Valid")</f>
        <v>Valid</v>
      </c>
      <c r="AV876" t="str">
        <f>IF(OR(AL876="Cancelled",AH876="Failed"),"Exclude","Include")</f>
        <v>Include</v>
      </c>
      <c r="AW876" t="str">
        <f t="shared" si="306"/>
        <v>Match</v>
      </c>
      <c r="AX876" t="str">
        <f t="shared" si="307"/>
        <v>Match</v>
      </c>
    </row>
    <row r="877" spans="1:50">
      <c r="A877" t="s">
        <v>3988</v>
      </c>
      <c r="B877">
        <f t="shared" si="308"/>
        <v>1</v>
      </c>
      <c r="C877" t="str">
        <f t="shared" si="296"/>
        <v/>
      </c>
      <c r="D877" s="3" t="s">
        <v>3989</v>
      </c>
      <c r="E877" s="7">
        <v>45514</v>
      </c>
      <c r="F877" s="3" t="s">
        <v>3990</v>
      </c>
      <c r="G877" s="7">
        <v>45515</v>
      </c>
      <c r="H877" s="7" t="str">
        <f t="shared" si="287"/>
        <v>Valid</v>
      </c>
      <c r="I877" s="9">
        <f t="shared" si="288"/>
        <v>1</v>
      </c>
      <c r="J877" s="9" t="str">
        <f t="shared" si="289"/>
        <v>Valid</v>
      </c>
      <c r="K877" t="s">
        <v>3991</v>
      </c>
      <c r="L877" t="s">
        <v>39</v>
      </c>
      <c r="M877" t="s">
        <v>39</v>
      </c>
      <c r="N877" t="s">
        <v>107</v>
      </c>
      <c r="O877" s="3" t="str">
        <f t="shared" si="290"/>
        <v>Corporate</v>
      </c>
      <c r="P877" t="s">
        <v>72</v>
      </c>
      <c r="Q877" s="3" t="str">
        <f t="shared" si="291"/>
        <v>West</v>
      </c>
      <c r="R877" t="s">
        <v>73</v>
      </c>
      <c r="S877" t="s">
        <v>74</v>
      </c>
      <c r="T877" t="s">
        <v>85</v>
      </c>
      <c r="U877" s="3" t="str">
        <f t="shared" si="292"/>
        <v>Technology</v>
      </c>
      <c r="V877" t="s">
        <v>93</v>
      </c>
      <c r="W877" t="s">
        <v>3992</v>
      </c>
      <c r="X877" t="s">
        <v>55</v>
      </c>
      <c r="Y877" s="3" t="str">
        <f t="shared" si="293"/>
        <v>First Class</v>
      </c>
      <c r="Z877">
        <v>7</v>
      </c>
      <c r="AA877">
        <v>3852.62</v>
      </c>
      <c r="AB877">
        <v>0.2</v>
      </c>
      <c r="AC877">
        <f t="shared" si="294"/>
        <v>0.2</v>
      </c>
      <c r="AD877" t="str">
        <f t="shared" si="297"/>
        <v>Valid</v>
      </c>
      <c r="AE877">
        <v>21574.67</v>
      </c>
      <c r="AF877">
        <v>14672.83</v>
      </c>
      <c r="AG877">
        <v>6901.84</v>
      </c>
      <c r="AH877" t="s">
        <v>33</v>
      </c>
      <c r="AI877" t="str">
        <f t="shared" si="298"/>
        <v>Include</v>
      </c>
      <c r="AJ877" t="str">
        <f t="shared" si="299"/>
        <v/>
      </c>
      <c r="AK877" t="s">
        <v>34</v>
      </c>
      <c r="AL877" t="str">
        <f t="shared" si="295"/>
        <v>Completed</v>
      </c>
      <c r="AM877" t="str">
        <f t="shared" si="300"/>
        <v>Include</v>
      </c>
      <c r="AN877">
        <f t="shared" si="301"/>
        <v>21574.672000000002</v>
      </c>
      <c r="AO877">
        <f t="shared" si="302"/>
        <v>6901.8420000000024</v>
      </c>
      <c r="AP877">
        <f>IF(AN877=0,0,AO877/AN877)</f>
        <v>0.31990484026825539</v>
      </c>
      <c r="AQ877" t="str">
        <f t="shared" si="303"/>
        <v>August</v>
      </c>
      <c r="AR877">
        <f t="shared" si="304"/>
        <v>2024</v>
      </c>
      <c r="AS877" t="str">
        <f t="shared" si="305"/>
        <v>Clean</v>
      </c>
      <c r="AT877" t="str">
        <f>IF(OR(AC877&lt;0,AC877&gt;0.5),"Invalid Discount","Valid")</f>
        <v>Valid</v>
      </c>
      <c r="AU877" t="str">
        <f>IF(G877&lt;E877,"Invalid Shipping Record","Valid")</f>
        <v>Valid</v>
      </c>
      <c r="AV877" t="str">
        <f>IF(OR(AL877="Cancelled",AH877="Failed"),"Exclude","Include")</f>
        <v>Include</v>
      </c>
      <c r="AW877" t="str">
        <f t="shared" si="306"/>
        <v>Match</v>
      </c>
      <c r="AX877" t="str">
        <f t="shared" si="307"/>
        <v>Match</v>
      </c>
    </row>
    <row r="878" spans="1:50">
      <c r="A878" t="s">
        <v>3993</v>
      </c>
      <c r="B878">
        <f t="shared" si="308"/>
        <v>1</v>
      </c>
      <c r="C878" t="str">
        <f t="shared" si="296"/>
        <v/>
      </c>
      <c r="D878" s="3" t="s">
        <v>3994</v>
      </c>
      <c r="E878" s="7">
        <v>45614</v>
      </c>
      <c r="F878" s="3" t="s">
        <v>3995</v>
      </c>
      <c r="G878" s="7">
        <v>45616</v>
      </c>
      <c r="H878" s="7" t="str">
        <f t="shared" si="287"/>
        <v>Valid</v>
      </c>
      <c r="I878" s="9">
        <f t="shared" si="288"/>
        <v>2</v>
      </c>
      <c r="J878" s="9" t="str">
        <f t="shared" si="289"/>
        <v>Valid</v>
      </c>
      <c r="K878" t="s">
        <v>3996</v>
      </c>
      <c r="L878" t="s">
        <v>141</v>
      </c>
      <c r="M878" t="s">
        <v>141</v>
      </c>
      <c r="N878" t="s">
        <v>25</v>
      </c>
      <c r="O878" s="3" t="str">
        <f t="shared" si="290"/>
        <v>Consumer</v>
      </c>
      <c r="P878" t="s">
        <v>72</v>
      </c>
      <c r="Q878" s="3" t="str">
        <f t="shared" si="291"/>
        <v>West</v>
      </c>
      <c r="R878" t="s">
        <v>27</v>
      </c>
      <c r="S878" t="s">
        <v>134</v>
      </c>
      <c r="T878" t="s">
        <v>44</v>
      </c>
      <c r="U878" s="3" t="str">
        <f t="shared" si="292"/>
        <v>Furniture</v>
      </c>
      <c r="V878" t="s">
        <v>75</v>
      </c>
      <c r="W878" t="s">
        <v>1290</v>
      </c>
      <c r="X878" t="s">
        <v>55</v>
      </c>
      <c r="Y878" s="3" t="str">
        <f t="shared" si="293"/>
        <v>First Class</v>
      </c>
      <c r="Z878">
        <v>6</v>
      </c>
      <c r="AA878">
        <v>3790.22</v>
      </c>
      <c r="AB878">
        <v>0</v>
      </c>
      <c r="AC878">
        <f t="shared" si="294"/>
        <v>0</v>
      </c>
      <c r="AD878" t="str">
        <f t="shared" si="297"/>
        <v>Valid</v>
      </c>
      <c r="AE878">
        <v>22741.32</v>
      </c>
      <c r="AF878">
        <v>16388.57</v>
      </c>
      <c r="AG878">
        <v>6352.75</v>
      </c>
      <c r="AH878" t="s">
        <v>33</v>
      </c>
      <c r="AI878" t="str">
        <f t="shared" si="298"/>
        <v>Include</v>
      </c>
      <c r="AJ878" t="str">
        <f t="shared" si="299"/>
        <v/>
      </c>
      <c r="AK878" t="s">
        <v>34</v>
      </c>
      <c r="AL878" t="str">
        <f t="shared" si="295"/>
        <v>Completed</v>
      </c>
      <c r="AM878" t="str">
        <f t="shared" si="300"/>
        <v>Include</v>
      </c>
      <c r="AN878">
        <f t="shared" si="301"/>
        <v>22741.32</v>
      </c>
      <c r="AO878">
        <f t="shared" si="302"/>
        <v>6352.75</v>
      </c>
      <c r="AP878">
        <f>IF(AN878=0,0,AO878/AN878)</f>
        <v>0.27934834037777928</v>
      </c>
      <c r="AQ878" t="str">
        <f t="shared" si="303"/>
        <v>November</v>
      </c>
      <c r="AR878">
        <f t="shared" si="304"/>
        <v>2024</v>
      </c>
      <c r="AS878" t="str">
        <f t="shared" si="305"/>
        <v>Clean</v>
      </c>
      <c r="AT878" t="str">
        <f>IF(OR(AC878&lt;0,AC878&gt;0.5),"Invalid Discount","Valid")</f>
        <v>Valid</v>
      </c>
      <c r="AU878" t="str">
        <f>IF(G878&lt;E878,"Invalid Shipping Record","Valid")</f>
        <v>Valid</v>
      </c>
      <c r="AV878" t="str">
        <f>IF(OR(AL878="Cancelled",AH878="Failed"),"Exclude","Include")</f>
        <v>Include</v>
      </c>
      <c r="AW878" t="str">
        <f t="shared" si="306"/>
        <v>Match</v>
      </c>
      <c r="AX878" t="str">
        <f t="shared" si="307"/>
        <v>Match</v>
      </c>
    </row>
    <row r="879" spans="1:50">
      <c r="A879" t="s">
        <v>3997</v>
      </c>
      <c r="B879">
        <f t="shared" si="308"/>
        <v>1</v>
      </c>
      <c r="C879" t="str">
        <f t="shared" si="296"/>
        <v/>
      </c>
      <c r="D879" s="3" t="s">
        <v>3998</v>
      </c>
      <c r="E879" s="7">
        <v>45895</v>
      </c>
      <c r="F879" s="3" t="s">
        <v>2766</v>
      </c>
      <c r="G879" s="7">
        <v>45903</v>
      </c>
      <c r="H879" s="7" t="str">
        <f t="shared" si="287"/>
        <v>Valid</v>
      </c>
      <c r="I879" s="9">
        <f t="shared" si="288"/>
        <v>8</v>
      </c>
      <c r="J879" s="9" t="str">
        <f t="shared" si="289"/>
        <v>Valid</v>
      </c>
      <c r="K879" t="s">
        <v>3999</v>
      </c>
      <c r="L879" t="s">
        <v>161</v>
      </c>
      <c r="M879" t="s">
        <v>161</v>
      </c>
      <c r="N879" t="s">
        <v>25</v>
      </c>
      <c r="O879" s="3" t="str">
        <f t="shared" si="290"/>
        <v>Consumer</v>
      </c>
      <c r="P879" t="s">
        <v>72</v>
      </c>
      <c r="Q879" s="3" t="str">
        <f t="shared" si="291"/>
        <v>West</v>
      </c>
      <c r="R879" t="s">
        <v>27</v>
      </c>
      <c r="S879" t="s">
        <v>134</v>
      </c>
      <c r="T879" t="s">
        <v>29</v>
      </c>
      <c r="U879" s="3" t="str">
        <f t="shared" si="292"/>
        <v>Office Supplies</v>
      </c>
      <c r="V879" t="s">
        <v>155</v>
      </c>
      <c r="W879" t="s">
        <v>4000</v>
      </c>
      <c r="X879" t="s">
        <v>32</v>
      </c>
      <c r="Y879" s="3" t="str">
        <f t="shared" si="293"/>
        <v>Second Class</v>
      </c>
      <c r="Z879">
        <v>6</v>
      </c>
      <c r="AA879">
        <v>674.36</v>
      </c>
      <c r="AB879">
        <v>0.1</v>
      </c>
      <c r="AC879">
        <f t="shared" si="294"/>
        <v>0.1</v>
      </c>
      <c r="AD879" t="str">
        <f t="shared" si="297"/>
        <v>Valid</v>
      </c>
      <c r="AE879">
        <v>3641.54</v>
      </c>
      <c r="AF879">
        <v>2690.37</v>
      </c>
      <c r="AG879">
        <v>951.17</v>
      </c>
      <c r="AH879" t="s">
        <v>33</v>
      </c>
      <c r="AI879" t="str">
        <f t="shared" si="298"/>
        <v>Include</v>
      </c>
      <c r="AJ879" t="str">
        <f t="shared" si="299"/>
        <v/>
      </c>
      <c r="AK879" t="s">
        <v>34</v>
      </c>
      <c r="AL879" t="str">
        <f t="shared" si="295"/>
        <v>Completed</v>
      </c>
      <c r="AM879" t="str">
        <f t="shared" si="300"/>
        <v>Include</v>
      </c>
      <c r="AN879">
        <f t="shared" si="301"/>
        <v>3641.5439999999999</v>
      </c>
      <c r="AO879">
        <f t="shared" si="302"/>
        <v>951.17399999999998</v>
      </c>
      <c r="AP879">
        <f>IF(AN879=0,0,AO879/AN879)</f>
        <v>0.26120074342092253</v>
      </c>
      <c r="AQ879" t="str">
        <f t="shared" si="303"/>
        <v>August</v>
      </c>
      <c r="AR879">
        <f t="shared" si="304"/>
        <v>2025</v>
      </c>
      <c r="AS879" t="str">
        <f t="shared" si="305"/>
        <v>Clean</v>
      </c>
      <c r="AT879" t="str">
        <f>IF(OR(AC879&lt;0,AC879&gt;0.5),"Invalid Discount","Valid")</f>
        <v>Valid</v>
      </c>
      <c r="AU879" t="str">
        <f>IF(G879&lt;E879,"Invalid Shipping Record","Valid")</f>
        <v>Valid</v>
      </c>
      <c r="AV879" t="str">
        <f>IF(OR(AL879="Cancelled",AH879="Failed"),"Exclude","Include")</f>
        <v>Include</v>
      </c>
      <c r="AW879" t="str">
        <f t="shared" si="306"/>
        <v>Match</v>
      </c>
      <c r="AX879" t="str">
        <f t="shared" si="307"/>
        <v>Match</v>
      </c>
    </row>
    <row r="880" spans="1:50">
      <c r="A880" t="s">
        <v>4001</v>
      </c>
      <c r="B880">
        <f t="shared" si="308"/>
        <v>1</v>
      </c>
      <c r="C880" t="str">
        <f t="shared" si="296"/>
        <v/>
      </c>
      <c r="D880" s="3" t="s">
        <v>2037</v>
      </c>
      <c r="E880" s="7">
        <v>45313</v>
      </c>
      <c r="F880" s="3" t="s">
        <v>2037</v>
      </c>
      <c r="G880" s="7">
        <v>45313</v>
      </c>
      <c r="H880" s="7" t="str">
        <f t="shared" si="287"/>
        <v>Valid</v>
      </c>
      <c r="I880" s="9">
        <f t="shared" si="288"/>
        <v>0</v>
      </c>
      <c r="J880" s="9" t="str">
        <f t="shared" si="289"/>
        <v>Valid</v>
      </c>
      <c r="K880" t="s">
        <v>4002</v>
      </c>
      <c r="L880" t="s">
        <v>24</v>
      </c>
      <c r="M880" t="s">
        <v>24</v>
      </c>
      <c r="N880" t="s">
        <v>107</v>
      </c>
      <c r="O880" s="3" t="str">
        <f t="shared" si="290"/>
        <v>Corporate</v>
      </c>
      <c r="P880" t="s">
        <v>41</v>
      </c>
      <c r="Q880" s="3" t="str">
        <f t="shared" si="291"/>
        <v>East</v>
      </c>
      <c r="R880" t="s">
        <v>120</v>
      </c>
      <c r="S880" t="s">
        <v>121</v>
      </c>
      <c r="T880" t="s">
        <v>29</v>
      </c>
      <c r="U880" s="3" t="str">
        <f t="shared" si="292"/>
        <v>Office Supplies</v>
      </c>
      <c r="V880" t="s">
        <v>30</v>
      </c>
      <c r="W880" t="s">
        <v>4003</v>
      </c>
      <c r="X880" t="s">
        <v>55</v>
      </c>
      <c r="Y880" s="3" t="str">
        <f t="shared" si="293"/>
        <v>First Class</v>
      </c>
      <c r="Z880">
        <v>8</v>
      </c>
      <c r="AA880">
        <v>1557.21</v>
      </c>
      <c r="AB880">
        <v>0.05</v>
      </c>
      <c r="AC880">
        <f t="shared" si="294"/>
        <v>0.05</v>
      </c>
      <c r="AD880" t="str">
        <f t="shared" si="297"/>
        <v>Valid</v>
      </c>
      <c r="AE880">
        <v>11834.8</v>
      </c>
      <c r="AF880">
        <v>9322.36</v>
      </c>
      <c r="AG880">
        <v>2512.44</v>
      </c>
      <c r="AH880" t="s">
        <v>33</v>
      </c>
      <c r="AI880" t="str">
        <f t="shared" si="298"/>
        <v>Include</v>
      </c>
      <c r="AJ880" t="str">
        <f t="shared" si="299"/>
        <v/>
      </c>
      <c r="AK880" t="s">
        <v>34</v>
      </c>
      <c r="AL880" t="str">
        <f t="shared" si="295"/>
        <v>Completed</v>
      </c>
      <c r="AM880" t="str">
        <f t="shared" si="300"/>
        <v>Include</v>
      </c>
      <c r="AN880">
        <f t="shared" si="301"/>
        <v>11834.796</v>
      </c>
      <c r="AO880">
        <f t="shared" si="302"/>
        <v>2512.4359999999997</v>
      </c>
      <c r="AP880">
        <f>IF(AN880=0,0,AO880/AN880)</f>
        <v>0.21229229468763125</v>
      </c>
      <c r="AQ880" t="str">
        <f t="shared" si="303"/>
        <v>January</v>
      </c>
      <c r="AR880">
        <f t="shared" si="304"/>
        <v>2024</v>
      </c>
      <c r="AS880" t="str">
        <f t="shared" si="305"/>
        <v>Clean</v>
      </c>
      <c r="AT880" t="str">
        <f>IF(OR(AC880&lt;0,AC880&gt;0.5),"Invalid Discount","Valid")</f>
        <v>Valid</v>
      </c>
      <c r="AU880" t="str">
        <f>IF(G880&lt;E880,"Invalid Shipping Record","Valid")</f>
        <v>Valid</v>
      </c>
      <c r="AV880" t="str">
        <f>IF(OR(AL880="Cancelled",AH880="Failed"),"Exclude","Include")</f>
        <v>Include</v>
      </c>
      <c r="AW880" t="str">
        <f t="shared" si="306"/>
        <v>Match</v>
      </c>
      <c r="AX880" t="str">
        <f t="shared" si="307"/>
        <v>Match</v>
      </c>
    </row>
    <row r="881" spans="1:50">
      <c r="A881" t="s">
        <v>4004</v>
      </c>
      <c r="B881">
        <f t="shared" si="308"/>
        <v>1</v>
      </c>
      <c r="C881" t="str">
        <f t="shared" si="296"/>
        <v/>
      </c>
      <c r="D881" s="3" t="s">
        <v>4005</v>
      </c>
      <c r="E881" s="7">
        <v>45896</v>
      </c>
      <c r="F881" s="3" t="s">
        <v>434</v>
      </c>
      <c r="G881" s="7">
        <v>45897</v>
      </c>
      <c r="H881" s="7" t="str">
        <f t="shared" si="287"/>
        <v>Valid</v>
      </c>
      <c r="I881" s="9">
        <f t="shared" si="288"/>
        <v>1</v>
      </c>
      <c r="J881" s="9" t="str">
        <f t="shared" si="289"/>
        <v>Valid</v>
      </c>
      <c r="K881" t="s">
        <v>4006</v>
      </c>
      <c r="L881" t="s">
        <v>71</v>
      </c>
      <c r="M881" t="s">
        <v>71</v>
      </c>
      <c r="N881" t="s">
        <v>114</v>
      </c>
      <c r="O881" s="3" t="str">
        <f t="shared" si="290"/>
        <v>Home Office</v>
      </c>
      <c r="P881" t="s">
        <v>26</v>
      </c>
      <c r="Q881" s="3" t="str">
        <f t="shared" si="291"/>
        <v>North</v>
      </c>
      <c r="R881" t="s">
        <v>173</v>
      </c>
      <c r="S881" t="s">
        <v>174</v>
      </c>
      <c r="T881" t="s">
        <v>29</v>
      </c>
      <c r="U881" s="3" t="str">
        <f t="shared" si="292"/>
        <v>Office Supplies</v>
      </c>
      <c r="V881" t="s">
        <v>53</v>
      </c>
      <c r="W881" t="s">
        <v>4007</v>
      </c>
      <c r="X881" t="s">
        <v>66</v>
      </c>
      <c r="Y881" s="3" t="str">
        <f t="shared" si="293"/>
        <v>Standard Class</v>
      </c>
      <c r="Z881">
        <v>6</v>
      </c>
      <c r="AA881">
        <v>1182.03</v>
      </c>
      <c r="AB881">
        <v>0.15</v>
      </c>
      <c r="AC881">
        <f t="shared" si="294"/>
        <v>0.15</v>
      </c>
      <c r="AD881" t="str">
        <f t="shared" si="297"/>
        <v>Valid</v>
      </c>
      <c r="AE881">
        <v>6028.35</v>
      </c>
      <c r="AF881">
        <v>4433.63</v>
      </c>
      <c r="AG881">
        <v>1594.72</v>
      </c>
      <c r="AH881" t="s">
        <v>33</v>
      </c>
      <c r="AI881" t="str">
        <f t="shared" si="298"/>
        <v>Include</v>
      </c>
      <c r="AJ881" t="str">
        <f t="shared" si="299"/>
        <v/>
      </c>
      <c r="AK881" t="s">
        <v>34</v>
      </c>
      <c r="AL881" t="str">
        <f t="shared" si="295"/>
        <v>Completed</v>
      </c>
      <c r="AM881" t="str">
        <f t="shared" si="300"/>
        <v>Include</v>
      </c>
      <c r="AN881">
        <f t="shared" si="301"/>
        <v>6028.3530000000001</v>
      </c>
      <c r="AO881">
        <f t="shared" si="302"/>
        <v>1594.723</v>
      </c>
      <c r="AP881">
        <f>IF(AN881=0,0,AO881/AN881)</f>
        <v>0.26453709661660491</v>
      </c>
      <c r="AQ881" t="str">
        <f t="shared" si="303"/>
        <v>August</v>
      </c>
      <c r="AR881">
        <f t="shared" si="304"/>
        <v>2025</v>
      </c>
      <c r="AS881" t="str">
        <f t="shared" si="305"/>
        <v>Clean</v>
      </c>
      <c r="AT881" t="str">
        <f>IF(OR(AC881&lt;0,AC881&gt;0.5),"Invalid Discount","Valid")</f>
        <v>Valid</v>
      </c>
      <c r="AU881" t="str">
        <f>IF(G881&lt;E881,"Invalid Shipping Record","Valid")</f>
        <v>Valid</v>
      </c>
      <c r="AV881" t="str">
        <f>IF(OR(AL881="Cancelled",AH881="Failed"),"Exclude","Include")</f>
        <v>Include</v>
      </c>
      <c r="AW881" t="str">
        <f t="shared" si="306"/>
        <v>Match</v>
      </c>
      <c r="AX881" t="str">
        <f t="shared" si="307"/>
        <v>Match</v>
      </c>
    </row>
    <row r="882" spans="1:50">
      <c r="A882" t="s">
        <v>4008</v>
      </c>
      <c r="B882">
        <f t="shared" si="308"/>
        <v>1</v>
      </c>
      <c r="C882" t="str">
        <f t="shared" si="296"/>
        <v/>
      </c>
      <c r="D882" s="3" t="s">
        <v>4009</v>
      </c>
      <c r="E882" s="7">
        <v>45359</v>
      </c>
      <c r="F882" s="3" t="s">
        <v>1122</v>
      </c>
      <c r="G882" s="7">
        <v>45366</v>
      </c>
      <c r="H882" s="7" t="str">
        <f t="shared" si="287"/>
        <v>Valid</v>
      </c>
      <c r="I882" s="9">
        <f t="shared" si="288"/>
        <v>7</v>
      </c>
      <c r="J882" s="9" t="str">
        <f t="shared" si="289"/>
        <v>Valid</v>
      </c>
      <c r="K882" t="s">
        <v>4010</v>
      </c>
      <c r="L882" t="s">
        <v>161</v>
      </c>
      <c r="M882" t="s">
        <v>161</v>
      </c>
      <c r="N882" t="s">
        <v>40</v>
      </c>
      <c r="O882" s="3" t="str">
        <f t="shared" si="290"/>
        <v>Small Business</v>
      </c>
      <c r="Q882" s="3" t="str">
        <f t="shared" si="291"/>
        <v>Unknown</v>
      </c>
      <c r="R882" t="s">
        <v>153</v>
      </c>
      <c r="S882" t="s">
        <v>154</v>
      </c>
      <c r="T882" t="s">
        <v>44</v>
      </c>
      <c r="U882" s="3" t="str">
        <f t="shared" si="292"/>
        <v>Furniture</v>
      </c>
      <c r="V882" t="s">
        <v>75</v>
      </c>
      <c r="W882" t="s">
        <v>4011</v>
      </c>
      <c r="X882" t="s">
        <v>55</v>
      </c>
      <c r="Y882" s="3" t="str">
        <f t="shared" si="293"/>
        <v>First Class</v>
      </c>
      <c r="Z882">
        <v>5</v>
      </c>
      <c r="AA882">
        <v>3234.77</v>
      </c>
      <c r="AB882">
        <v>0</v>
      </c>
      <c r="AC882">
        <f t="shared" si="294"/>
        <v>0</v>
      </c>
      <c r="AD882" t="str">
        <f t="shared" si="297"/>
        <v>Valid</v>
      </c>
      <c r="AE882">
        <v>16173.85</v>
      </c>
      <c r="AF882">
        <v>13636.34</v>
      </c>
      <c r="AG882">
        <v>2537.5100000000002</v>
      </c>
      <c r="AH882" t="s">
        <v>33</v>
      </c>
      <c r="AI882" t="str">
        <f t="shared" si="298"/>
        <v>Include</v>
      </c>
      <c r="AJ882" t="str">
        <f t="shared" si="299"/>
        <v/>
      </c>
      <c r="AK882" t="s">
        <v>34</v>
      </c>
      <c r="AL882" t="str">
        <f t="shared" si="295"/>
        <v>Completed</v>
      </c>
      <c r="AM882" t="str">
        <f t="shared" si="300"/>
        <v>Include</v>
      </c>
      <c r="AN882">
        <f t="shared" si="301"/>
        <v>16173.85</v>
      </c>
      <c r="AO882">
        <f t="shared" si="302"/>
        <v>2537.5100000000002</v>
      </c>
      <c r="AP882">
        <f>IF(AN882=0,0,AO882/AN882)</f>
        <v>0.15688967067210344</v>
      </c>
      <c r="AQ882" t="str">
        <f t="shared" si="303"/>
        <v>March</v>
      </c>
      <c r="AR882">
        <f t="shared" si="304"/>
        <v>2024</v>
      </c>
      <c r="AS882" t="str">
        <f t="shared" si="305"/>
        <v>Warning</v>
      </c>
      <c r="AT882" t="str">
        <f>IF(OR(AC882&lt;0,AC882&gt;0.5),"Invalid Discount","Valid")</f>
        <v>Valid</v>
      </c>
      <c r="AU882" t="str">
        <f>IF(G882&lt;E882,"Invalid Shipping Record","Valid")</f>
        <v>Valid</v>
      </c>
      <c r="AV882" t="str">
        <f>IF(OR(AL882="Cancelled",AH882="Failed"),"Exclude","Include")</f>
        <v>Include</v>
      </c>
      <c r="AW882" t="str">
        <f t="shared" si="306"/>
        <v>Match</v>
      </c>
      <c r="AX882" t="str">
        <f t="shared" si="307"/>
        <v>Match</v>
      </c>
    </row>
    <row r="883" spans="1:50">
      <c r="A883" t="s">
        <v>4012</v>
      </c>
      <c r="B883">
        <f t="shared" si="308"/>
        <v>1</v>
      </c>
      <c r="C883" t="str">
        <f t="shared" si="296"/>
        <v/>
      </c>
      <c r="D883" s="3" t="s">
        <v>2537</v>
      </c>
      <c r="E883" s="7">
        <v>45627</v>
      </c>
      <c r="F883" s="3" t="s">
        <v>4013</v>
      </c>
      <c r="G883" s="7">
        <v>45631</v>
      </c>
      <c r="H883" s="7" t="str">
        <f t="shared" si="287"/>
        <v>Valid</v>
      </c>
      <c r="I883" s="9">
        <f t="shared" si="288"/>
        <v>4</v>
      </c>
      <c r="J883" s="9" t="str">
        <f t="shared" si="289"/>
        <v>Valid</v>
      </c>
      <c r="K883" t="s">
        <v>4014</v>
      </c>
      <c r="L883" t="s">
        <v>71</v>
      </c>
      <c r="M883" t="s">
        <v>71</v>
      </c>
      <c r="N883" t="s">
        <v>40</v>
      </c>
      <c r="O883" s="3" t="str">
        <f t="shared" si="290"/>
        <v>Small Business</v>
      </c>
      <c r="P883" t="s">
        <v>61</v>
      </c>
      <c r="Q883" s="3" t="str">
        <f t="shared" si="291"/>
        <v>South</v>
      </c>
      <c r="R883" t="s">
        <v>99</v>
      </c>
      <c r="S883" t="s">
        <v>100</v>
      </c>
      <c r="T883" t="s">
        <v>85</v>
      </c>
      <c r="U883" s="3" t="str">
        <f t="shared" si="292"/>
        <v>Technology</v>
      </c>
      <c r="V883" t="s">
        <v>93</v>
      </c>
      <c r="W883" t="s">
        <v>4015</v>
      </c>
      <c r="X883" t="s">
        <v>32</v>
      </c>
      <c r="Y883" s="3" t="str">
        <f t="shared" si="293"/>
        <v>Second Class</v>
      </c>
      <c r="Z883">
        <v>9</v>
      </c>
      <c r="AA883">
        <v>3726.75</v>
      </c>
      <c r="AB883">
        <v>0.25</v>
      </c>
      <c r="AC883">
        <f t="shared" si="294"/>
        <v>0.25</v>
      </c>
      <c r="AD883" t="str">
        <f t="shared" si="297"/>
        <v>Valid</v>
      </c>
      <c r="AE883">
        <v>25155.56</v>
      </c>
      <c r="AF883">
        <v>17592.689999999999</v>
      </c>
      <c r="AG883">
        <v>7562.87</v>
      </c>
      <c r="AH883" t="s">
        <v>33</v>
      </c>
      <c r="AI883" t="str">
        <f t="shared" si="298"/>
        <v>Include</v>
      </c>
      <c r="AJ883" t="str">
        <f t="shared" si="299"/>
        <v/>
      </c>
      <c r="AK883" t="s">
        <v>34</v>
      </c>
      <c r="AL883" t="str">
        <f t="shared" si="295"/>
        <v>Completed</v>
      </c>
      <c r="AM883" t="str">
        <f t="shared" si="300"/>
        <v>Include</v>
      </c>
      <c r="AN883">
        <f t="shared" si="301"/>
        <v>25155.5625</v>
      </c>
      <c r="AO883">
        <f t="shared" si="302"/>
        <v>7562.8725000000013</v>
      </c>
      <c r="AP883">
        <f>IF(AN883=0,0,AO883/AN883)</f>
        <v>0.30064414182747856</v>
      </c>
      <c r="AQ883" t="str">
        <f t="shared" si="303"/>
        <v>December</v>
      </c>
      <c r="AR883">
        <f t="shared" si="304"/>
        <v>2024</v>
      </c>
      <c r="AS883" t="str">
        <f t="shared" si="305"/>
        <v>Clean</v>
      </c>
      <c r="AT883" t="str">
        <f>IF(OR(AC883&lt;0,AC883&gt;0.5),"Invalid Discount","Valid")</f>
        <v>Valid</v>
      </c>
      <c r="AU883" t="str">
        <f>IF(G883&lt;E883,"Invalid Shipping Record","Valid")</f>
        <v>Valid</v>
      </c>
      <c r="AV883" t="str">
        <f>IF(OR(AL883="Cancelled",AH883="Failed"),"Exclude","Include")</f>
        <v>Include</v>
      </c>
      <c r="AW883" t="str">
        <f t="shared" si="306"/>
        <v>Match</v>
      </c>
      <c r="AX883" t="str">
        <f t="shared" si="307"/>
        <v>Match</v>
      </c>
    </row>
    <row r="884" spans="1:50">
      <c r="A884" t="s">
        <v>4016</v>
      </c>
      <c r="B884">
        <f t="shared" si="308"/>
        <v>1</v>
      </c>
      <c r="C884" t="str">
        <f t="shared" si="296"/>
        <v/>
      </c>
      <c r="D884" s="3" t="s">
        <v>4017</v>
      </c>
      <c r="E884" s="7">
        <v>45690</v>
      </c>
      <c r="F884" s="3" t="s">
        <v>1334</v>
      </c>
      <c r="G884" s="7">
        <v>45698</v>
      </c>
      <c r="H884" s="7" t="str">
        <f t="shared" si="287"/>
        <v>Valid</v>
      </c>
      <c r="I884" s="9">
        <f t="shared" si="288"/>
        <v>8</v>
      </c>
      <c r="J884" s="9" t="str">
        <f t="shared" si="289"/>
        <v>Valid</v>
      </c>
      <c r="K884" t="s">
        <v>4018</v>
      </c>
      <c r="L884" t="s">
        <v>167</v>
      </c>
      <c r="M884" t="s">
        <v>167</v>
      </c>
      <c r="N884" t="s">
        <v>107</v>
      </c>
      <c r="O884" s="3" t="str">
        <f t="shared" si="290"/>
        <v>Corporate</v>
      </c>
      <c r="P884" t="s">
        <v>41</v>
      </c>
      <c r="Q884" s="3" t="str">
        <f t="shared" si="291"/>
        <v>East</v>
      </c>
      <c r="R884" t="s">
        <v>185</v>
      </c>
      <c r="S884" t="s">
        <v>186</v>
      </c>
      <c r="T884" t="s">
        <v>85</v>
      </c>
      <c r="U884" s="3" t="str">
        <f t="shared" si="292"/>
        <v>Technology</v>
      </c>
      <c r="V884" t="s">
        <v>86</v>
      </c>
      <c r="W884" t="s">
        <v>4019</v>
      </c>
      <c r="X884" t="s">
        <v>66</v>
      </c>
      <c r="Y884" s="3" t="str">
        <f t="shared" si="293"/>
        <v>Standard Class</v>
      </c>
      <c r="Z884">
        <v>4</v>
      </c>
      <c r="AA884">
        <v>1912.45</v>
      </c>
      <c r="AB884">
        <v>0</v>
      </c>
      <c r="AC884">
        <f t="shared" si="294"/>
        <v>0</v>
      </c>
      <c r="AD884" t="str">
        <f t="shared" si="297"/>
        <v>Valid</v>
      </c>
      <c r="AE884">
        <v>7649.8</v>
      </c>
      <c r="AF884">
        <v>4894.53</v>
      </c>
      <c r="AG884">
        <v>2755.27</v>
      </c>
      <c r="AH884" t="s">
        <v>136</v>
      </c>
      <c r="AI884" t="str">
        <f t="shared" si="298"/>
        <v>Include</v>
      </c>
      <c r="AJ884" t="str">
        <f t="shared" si="299"/>
        <v/>
      </c>
      <c r="AK884" t="s">
        <v>124</v>
      </c>
      <c r="AL884" t="str">
        <f t="shared" si="295"/>
        <v>Returned</v>
      </c>
      <c r="AM884" t="str">
        <f t="shared" si="300"/>
        <v>Include</v>
      </c>
      <c r="AN884">
        <f t="shared" si="301"/>
        <v>7649.8</v>
      </c>
      <c r="AO884">
        <f t="shared" si="302"/>
        <v>2755.2700000000004</v>
      </c>
      <c r="AP884">
        <f>IF(AN884=0,0,AO884/AN884)</f>
        <v>0.36017542942299152</v>
      </c>
      <c r="AQ884" t="str">
        <f t="shared" si="303"/>
        <v>February</v>
      </c>
      <c r="AR884">
        <f t="shared" si="304"/>
        <v>2025</v>
      </c>
      <c r="AS884" t="str">
        <f t="shared" si="305"/>
        <v>Clean</v>
      </c>
      <c r="AT884" t="str">
        <f>IF(OR(AC884&lt;0,AC884&gt;0.5),"Invalid Discount","Valid")</f>
        <v>Valid</v>
      </c>
      <c r="AU884" t="str">
        <f>IF(G884&lt;E884,"Invalid Shipping Record","Valid")</f>
        <v>Valid</v>
      </c>
      <c r="AV884" t="str">
        <f>IF(OR(AL884="Cancelled",AH884="Failed"),"Exclude","Include")</f>
        <v>Include</v>
      </c>
      <c r="AW884" t="str">
        <f t="shared" si="306"/>
        <v>Match</v>
      </c>
      <c r="AX884" t="str">
        <f t="shared" si="307"/>
        <v>Match</v>
      </c>
    </row>
    <row r="885" spans="1:50">
      <c r="A885" t="s">
        <v>4020</v>
      </c>
      <c r="B885">
        <f t="shared" si="308"/>
        <v>1</v>
      </c>
      <c r="C885" t="str">
        <f t="shared" si="296"/>
        <v/>
      </c>
      <c r="D885" s="3" t="s">
        <v>4021</v>
      </c>
      <c r="E885" s="7">
        <v>45775</v>
      </c>
      <c r="F885" s="3" t="s">
        <v>4022</v>
      </c>
      <c r="G885" s="7">
        <v>45778</v>
      </c>
      <c r="H885" s="7" t="str">
        <f t="shared" si="287"/>
        <v>Valid</v>
      </c>
      <c r="I885" s="9">
        <f t="shared" si="288"/>
        <v>3</v>
      </c>
      <c r="J885" s="9" t="str">
        <f t="shared" si="289"/>
        <v>Valid</v>
      </c>
      <c r="K885" t="s">
        <v>4023</v>
      </c>
      <c r="L885" t="s">
        <v>161</v>
      </c>
      <c r="M885" t="s">
        <v>161</v>
      </c>
      <c r="N885" t="s">
        <v>40</v>
      </c>
      <c r="O885" s="3" t="str">
        <f t="shared" si="290"/>
        <v>Small Business</v>
      </c>
      <c r="P885" t="s">
        <v>72</v>
      </c>
      <c r="Q885" s="3" t="str">
        <f t="shared" si="291"/>
        <v>West</v>
      </c>
      <c r="R885" t="s">
        <v>248</v>
      </c>
      <c r="S885" t="s">
        <v>249</v>
      </c>
      <c r="T885" t="s">
        <v>29</v>
      </c>
      <c r="U885" s="3" t="str">
        <f t="shared" si="292"/>
        <v>Office Supplies</v>
      </c>
      <c r="V885" t="s">
        <v>155</v>
      </c>
      <c r="W885" t="s">
        <v>4024</v>
      </c>
      <c r="X885" t="s">
        <v>47</v>
      </c>
      <c r="Y885" s="3" t="str">
        <f t="shared" si="293"/>
        <v>Same Day</v>
      </c>
      <c r="Z885">
        <v>1</v>
      </c>
      <c r="AA885">
        <v>1620.87</v>
      </c>
      <c r="AB885">
        <v>0</v>
      </c>
      <c r="AC885">
        <f t="shared" si="294"/>
        <v>0</v>
      </c>
      <c r="AD885" t="str">
        <f t="shared" si="297"/>
        <v>Valid</v>
      </c>
      <c r="AE885">
        <v>1620.87</v>
      </c>
      <c r="AF885">
        <v>1103.6099999999999</v>
      </c>
      <c r="AG885">
        <v>517.26</v>
      </c>
      <c r="AH885" t="s">
        <v>33</v>
      </c>
      <c r="AI885" t="str">
        <f t="shared" si="298"/>
        <v>Include</v>
      </c>
      <c r="AJ885" t="str">
        <f t="shared" si="299"/>
        <v/>
      </c>
      <c r="AK885" t="s">
        <v>34</v>
      </c>
      <c r="AL885" t="str">
        <f t="shared" si="295"/>
        <v>Completed</v>
      </c>
      <c r="AM885" t="str">
        <f t="shared" si="300"/>
        <v>Include</v>
      </c>
      <c r="AN885">
        <f t="shared" si="301"/>
        <v>1620.87</v>
      </c>
      <c r="AO885">
        <f t="shared" si="302"/>
        <v>517.26</v>
      </c>
      <c r="AP885">
        <f>IF(AN885=0,0,AO885/AN885)</f>
        <v>0.31912491439782342</v>
      </c>
      <c r="AQ885" t="str">
        <f t="shared" si="303"/>
        <v>April</v>
      </c>
      <c r="AR885">
        <f t="shared" si="304"/>
        <v>2025</v>
      </c>
      <c r="AS885" t="str">
        <f t="shared" si="305"/>
        <v>Clean</v>
      </c>
      <c r="AT885" t="str">
        <f>IF(OR(AC885&lt;0,AC885&gt;0.5),"Invalid Discount","Valid")</f>
        <v>Valid</v>
      </c>
      <c r="AU885" t="str">
        <f>IF(G885&lt;E885,"Invalid Shipping Record","Valid")</f>
        <v>Valid</v>
      </c>
      <c r="AV885" t="str">
        <f>IF(OR(AL885="Cancelled",AH885="Failed"),"Exclude","Include")</f>
        <v>Include</v>
      </c>
      <c r="AW885" t="str">
        <f t="shared" si="306"/>
        <v>Match</v>
      </c>
      <c r="AX885" t="str">
        <f t="shared" si="307"/>
        <v>Match</v>
      </c>
    </row>
    <row r="886" spans="1:50">
      <c r="A886" t="s">
        <v>4025</v>
      </c>
      <c r="B886">
        <f t="shared" si="308"/>
        <v>1</v>
      </c>
      <c r="C886" t="str">
        <f t="shared" si="296"/>
        <v/>
      </c>
      <c r="D886" s="3" t="s">
        <v>4026</v>
      </c>
      <c r="E886" s="7">
        <v>45675</v>
      </c>
      <c r="F886" s="3" t="s">
        <v>4027</v>
      </c>
      <c r="G886" s="7">
        <v>45682</v>
      </c>
      <c r="H886" s="7" t="str">
        <f t="shared" si="287"/>
        <v>Valid</v>
      </c>
      <c r="I886" s="9">
        <f t="shared" si="288"/>
        <v>7</v>
      </c>
      <c r="J886" s="9" t="str">
        <f t="shared" si="289"/>
        <v>Valid</v>
      </c>
      <c r="K886" t="s">
        <v>4028</v>
      </c>
      <c r="L886" t="s">
        <v>92</v>
      </c>
      <c r="M886" t="s">
        <v>92</v>
      </c>
      <c r="N886" t="s">
        <v>114</v>
      </c>
      <c r="O886" s="3" t="str">
        <f t="shared" si="290"/>
        <v>Home Office</v>
      </c>
      <c r="P886" t="s">
        <v>61</v>
      </c>
      <c r="Q886" s="3" t="str">
        <f t="shared" si="291"/>
        <v>South</v>
      </c>
      <c r="R886" t="s">
        <v>228</v>
      </c>
      <c r="S886" t="s">
        <v>229</v>
      </c>
      <c r="T886" t="s">
        <v>29</v>
      </c>
      <c r="U886" s="3" t="str">
        <f t="shared" si="292"/>
        <v>Office Supplies</v>
      </c>
      <c r="V886" t="s">
        <v>155</v>
      </c>
      <c r="W886" t="s">
        <v>4029</v>
      </c>
      <c r="X886" t="s">
        <v>47</v>
      </c>
      <c r="Y886" s="3" t="str">
        <f t="shared" si="293"/>
        <v>Same Day</v>
      </c>
      <c r="Z886">
        <v>2</v>
      </c>
      <c r="AA886">
        <v>2098.54</v>
      </c>
      <c r="AB886">
        <v>0.15</v>
      </c>
      <c r="AC886">
        <f t="shared" si="294"/>
        <v>0.15</v>
      </c>
      <c r="AD886" t="str">
        <f t="shared" si="297"/>
        <v>Valid</v>
      </c>
      <c r="AE886">
        <v>3567.52</v>
      </c>
      <c r="AF886">
        <v>2411.8000000000002</v>
      </c>
      <c r="AG886">
        <v>1155.72</v>
      </c>
      <c r="AH886" t="s">
        <v>33</v>
      </c>
      <c r="AI886" t="str">
        <f t="shared" si="298"/>
        <v>Include</v>
      </c>
      <c r="AJ886" t="str">
        <f t="shared" si="299"/>
        <v/>
      </c>
      <c r="AK886" t="s">
        <v>34</v>
      </c>
      <c r="AL886" t="str">
        <f t="shared" si="295"/>
        <v>Completed</v>
      </c>
      <c r="AM886" t="str">
        <f t="shared" si="300"/>
        <v>Include</v>
      </c>
      <c r="AN886">
        <f t="shared" si="301"/>
        <v>3567.518</v>
      </c>
      <c r="AO886">
        <f t="shared" si="302"/>
        <v>1155.7179999999998</v>
      </c>
      <c r="AP886">
        <f>IF(AN886=0,0,AO886/AN886)</f>
        <v>0.32395575859743381</v>
      </c>
      <c r="AQ886" t="str">
        <f t="shared" si="303"/>
        <v>January</v>
      </c>
      <c r="AR886">
        <f t="shared" si="304"/>
        <v>2025</v>
      </c>
      <c r="AS886" t="str">
        <f t="shared" si="305"/>
        <v>Clean</v>
      </c>
      <c r="AT886" t="str">
        <f>IF(OR(AC886&lt;0,AC886&gt;0.5),"Invalid Discount","Valid")</f>
        <v>Valid</v>
      </c>
      <c r="AU886" t="str">
        <f>IF(G886&lt;E886,"Invalid Shipping Record","Valid")</f>
        <v>Valid</v>
      </c>
      <c r="AV886" t="str">
        <f>IF(OR(AL886="Cancelled",AH886="Failed"),"Exclude","Include")</f>
        <v>Include</v>
      </c>
      <c r="AW886" t="str">
        <f t="shared" si="306"/>
        <v>Match</v>
      </c>
      <c r="AX886" t="str">
        <f t="shared" si="307"/>
        <v>Match</v>
      </c>
    </row>
    <row r="887" spans="1:50">
      <c r="A887" t="s">
        <v>4030</v>
      </c>
      <c r="B887">
        <f t="shared" si="308"/>
        <v>1</v>
      </c>
      <c r="C887" t="str">
        <f t="shared" si="296"/>
        <v/>
      </c>
      <c r="D887" s="3" t="s">
        <v>4031</v>
      </c>
      <c r="E887" s="7">
        <v>45296</v>
      </c>
      <c r="F887" s="3" t="s">
        <v>4031</v>
      </c>
      <c r="G887" s="7">
        <v>45296</v>
      </c>
      <c r="H887" s="7" t="str">
        <f t="shared" si="287"/>
        <v>Valid</v>
      </c>
      <c r="I887" s="9">
        <f t="shared" si="288"/>
        <v>0</v>
      </c>
      <c r="J887" s="9" t="str">
        <f t="shared" si="289"/>
        <v>Valid</v>
      </c>
      <c r="K887" t="s">
        <v>4032</v>
      </c>
      <c r="L887" t="s">
        <v>209</v>
      </c>
      <c r="M887" t="s">
        <v>209</v>
      </c>
      <c r="N887" t="s">
        <v>25</v>
      </c>
      <c r="O887" s="3" t="str">
        <f t="shared" si="290"/>
        <v>Consumer</v>
      </c>
      <c r="P887" t="s">
        <v>26</v>
      </c>
      <c r="Q887" s="3" t="str">
        <f t="shared" si="291"/>
        <v>North</v>
      </c>
      <c r="R887" t="s">
        <v>27</v>
      </c>
      <c r="S887" t="s">
        <v>28</v>
      </c>
      <c r="T887" t="s">
        <v>44</v>
      </c>
      <c r="U887" s="3" t="str">
        <f t="shared" si="292"/>
        <v>Furniture</v>
      </c>
      <c r="V887" t="s">
        <v>45</v>
      </c>
      <c r="W887" t="s">
        <v>4033</v>
      </c>
      <c r="X887" t="s">
        <v>66</v>
      </c>
      <c r="Y887" s="3" t="str">
        <f t="shared" si="293"/>
        <v>Standard Class</v>
      </c>
      <c r="Z887">
        <v>1</v>
      </c>
      <c r="AA887">
        <v>2167.08</v>
      </c>
      <c r="AB887">
        <v>0.25</v>
      </c>
      <c r="AC887">
        <f t="shared" si="294"/>
        <v>0.25</v>
      </c>
      <c r="AD887" t="str">
        <f t="shared" si="297"/>
        <v>Valid</v>
      </c>
      <c r="AE887">
        <v>1625.31</v>
      </c>
      <c r="AF887">
        <v>1157.8900000000001</v>
      </c>
      <c r="AG887">
        <v>467.42</v>
      </c>
      <c r="AH887" t="s">
        <v>33</v>
      </c>
      <c r="AI887" t="str">
        <f t="shared" si="298"/>
        <v>Include</v>
      </c>
      <c r="AJ887" t="str">
        <f t="shared" si="299"/>
        <v/>
      </c>
      <c r="AK887" t="s">
        <v>34</v>
      </c>
      <c r="AL887" t="str">
        <f t="shared" si="295"/>
        <v>Completed</v>
      </c>
      <c r="AM887" t="str">
        <f t="shared" si="300"/>
        <v>Include</v>
      </c>
      <c r="AN887">
        <f t="shared" si="301"/>
        <v>1625.31</v>
      </c>
      <c r="AO887">
        <f t="shared" si="302"/>
        <v>467.41999999999985</v>
      </c>
      <c r="AP887">
        <f>IF(AN887=0,0,AO887/AN887)</f>
        <v>0.28758821394072509</v>
      </c>
      <c r="AQ887" t="str">
        <f t="shared" si="303"/>
        <v>January</v>
      </c>
      <c r="AR887">
        <f t="shared" si="304"/>
        <v>2024</v>
      </c>
      <c r="AS887" t="str">
        <f t="shared" si="305"/>
        <v>Clean</v>
      </c>
      <c r="AT887" t="str">
        <f>IF(OR(AC887&lt;0,AC887&gt;0.5),"Invalid Discount","Valid")</f>
        <v>Valid</v>
      </c>
      <c r="AU887" t="str">
        <f>IF(G887&lt;E887,"Invalid Shipping Record","Valid")</f>
        <v>Valid</v>
      </c>
      <c r="AV887" t="str">
        <f>IF(OR(AL887="Cancelled",AH887="Failed"),"Exclude","Include")</f>
        <v>Include</v>
      </c>
      <c r="AW887" t="str">
        <f t="shared" si="306"/>
        <v>Match</v>
      </c>
      <c r="AX887" t="str">
        <f t="shared" si="307"/>
        <v>Match</v>
      </c>
    </row>
    <row r="888" spans="1:50">
      <c r="A888" t="s">
        <v>4034</v>
      </c>
      <c r="B888">
        <f t="shared" si="308"/>
        <v>1</v>
      </c>
      <c r="C888" t="str">
        <f t="shared" si="296"/>
        <v/>
      </c>
      <c r="D888" s="3" t="s">
        <v>4035</v>
      </c>
      <c r="E888" s="7">
        <v>45773</v>
      </c>
      <c r="F888" s="3" t="s">
        <v>4036</v>
      </c>
      <c r="G888" s="7">
        <v>45780</v>
      </c>
      <c r="H888" s="7" t="str">
        <f t="shared" si="287"/>
        <v>Valid</v>
      </c>
      <c r="I888" s="9">
        <f t="shared" si="288"/>
        <v>7</v>
      </c>
      <c r="J888" s="9" t="str">
        <f t="shared" si="289"/>
        <v>Valid</v>
      </c>
      <c r="K888" t="s">
        <v>4037</v>
      </c>
      <c r="L888" t="s">
        <v>60</v>
      </c>
      <c r="M888" t="s">
        <v>60</v>
      </c>
      <c r="N888" t="s">
        <v>114</v>
      </c>
      <c r="O888" s="3" t="str">
        <f t="shared" si="290"/>
        <v>Home Office</v>
      </c>
      <c r="P888" t="s">
        <v>61</v>
      </c>
      <c r="Q888" s="3" t="str">
        <f t="shared" si="291"/>
        <v>South</v>
      </c>
      <c r="R888" t="s">
        <v>338</v>
      </c>
      <c r="S888" t="s">
        <v>339</v>
      </c>
      <c r="T888" t="s">
        <v>85</v>
      </c>
      <c r="U888" s="3" t="str">
        <f t="shared" si="292"/>
        <v>Technology</v>
      </c>
      <c r="V888" t="s">
        <v>86</v>
      </c>
      <c r="W888" t="s">
        <v>4038</v>
      </c>
      <c r="X888" t="s">
        <v>55</v>
      </c>
      <c r="Y888" s="3" t="str">
        <f t="shared" si="293"/>
        <v>First Class</v>
      </c>
      <c r="Z888">
        <v>7</v>
      </c>
      <c r="AA888">
        <v>3989.9</v>
      </c>
      <c r="AB888">
        <v>0.15</v>
      </c>
      <c r="AC888">
        <f t="shared" si="294"/>
        <v>0.15</v>
      </c>
      <c r="AD888" t="str">
        <f t="shared" si="297"/>
        <v>Valid</v>
      </c>
      <c r="AE888">
        <v>23739.9</v>
      </c>
      <c r="AF888">
        <v>17716.52</v>
      </c>
      <c r="AG888">
        <v>6023.38</v>
      </c>
      <c r="AH888" t="s">
        <v>33</v>
      </c>
      <c r="AI888" t="str">
        <f t="shared" si="298"/>
        <v>Exclude</v>
      </c>
      <c r="AJ888" t="str">
        <f t="shared" si="299"/>
        <v/>
      </c>
      <c r="AK888" t="s">
        <v>77</v>
      </c>
      <c r="AL888" t="str">
        <f t="shared" si="295"/>
        <v>Cancelled</v>
      </c>
      <c r="AM888" t="str">
        <f t="shared" si="300"/>
        <v>Exclude</v>
      </c>
      <c r="AN888">
        <f t="shared" si="301"/>
        <v>23739.904999999999</v>
      </c>
      <c r="AO888">
        <f t="shared" si="302"/>
        <v>6023.3849999999984</v>
      </c>
      <c r="AP888">
        <f>IF(AN888=0,0,AO888/AN888)</f>
        <v>0.25372405660427028</v>
      </c>
      <c r="AQ888" t="str">
        <f t="shared" si="303"/>
        <v>April</v>
      </c>
      <c r="AR888">
        <f t="shared" si="304"/>
        <v>2025</v>
      </c>
      <c r="AS888" t="str">
        <f t="shared" si="305"/>
        <v>Clean</v>
      </c>
      <c r="AT888" t="str">
        <f>IF(OR(AC888&lt;0,AC888&gt;0.5),"Invalid Discount","Valid")</f>
        <v>Valid</v>
      </c>
      <c r="AU888" t="str">
        <f>IF(G888&lt;E888,"Invalid Shipping Record","Valid")</f>
        <v>Valid</v>
      </c>
      <c r="AV888" t="str">
        <f>IF(OR(AL888="Cancelled",AH888="Failed"),"Exclude","Include")</f>
        <v>Exclude</v>
      </c>
      <c r="AW888" t="str">
        <f t="shared" si="306"/>
        <v>Mismatch</v>
      </c>
      <c r="AX888" t="str">
        <f t="shared" si="307"/>
        <v>Mismatch</v>
      </c>
    </row>
    <row r="889" spans="1:50">
      <c r="A889" t="s">
        <v>4039</v>
      </c>
      <c r="B889">
        <f t="shared" si="308"/>
        <v>1</v>
      </c>
      <c r="C889" t="str">
        <f t="shared" si="296"/>
        <v/>
      </c>
      <c r="D889" s="3" t="s">
        <v>3917</v>
      </c>
      <c r="E889" s="7">
        <v>45455</v>
      </c>
      <c r="F889" s="3" t="s">
        <v>683</v>
      </c>
      <c r="G889" s="7">
        <v>45461</v>
      </c>
      <c r="H889" s="7" t="str">
        <f t="shared" si="287"/>
        <v>Valid</v>
      </c>
      <c r="I889" s="9">
        <f t="shared" si="288"/>
        <v>6</v>
      </c>
      <c r="J889" s="9" t="str">
        <f t="shared" si="289"/>
        <v>Valid</v>
      </c>
      <c r="K889" t="s">
        <v>4040</v>
      </c>
      <c r="L889" t="s">
        <v>161</v>
      </c>
      <c r="M889" t="s">
        <v>161</v>
      </c>
      <c r="N889" t="s">
        <v>40</v>
      </c>
      <c r="O889" s="3" t="str">
        <f t="shared" si="290"/>
        <v>Small Business</v>
      </c>
      <c r="P889" t="s">
        <v>61</v>
      </c>
      <c r="Q889" s="3" t="str">
        <f t="shared" si="291"/>
        <v>South</v>
      </c>
      <c r="R889" t="s">
        <v>99</v>
      </c>
      <c r="S889" t="s">
        <v>100</v>
      </c>
      <c r="T889" t="s">
        <v>29</v>
      </c>
      <c r="U889" s="3" t="str">
        <f t="shared" si="292"/>
        <v>Office Supplies</v>
      </c>
      <c r="V889" t="s">
        <v>53</v>
      </c>
      <c r="W889" t="s">
        <v>4041</v>
      </c>
      <c r="X889" t="s">
        <v>66</v>
      </c>
      <c r="Y889" s="3" t="str">
        <f t="shared" si="293"/>
        <v>Standard Class</v>
      </c>
      <c r="Z889">
        <v>4</v>
      </c>
      <c r="AA889">
        <v>4176.13</v>
      </c>
      <c r="AB889">
        <v>0</v>
      </c>
      <c r="AC889">
        <f t="shared" si="294"/>
        <v>0</v>
      </c>
      <c r="AD889" t="str">
        <f t="shared" si="297"/>
        <v>Valid</v>
      </c>
      <c r="AE889">
        <v>16704.52</v>
      </c>
      <c r="AF889">
        <v>10158.280000000001</v>
      </c>
      <c r="AG889">
        <v>6546.24</v>
      </c>
      <c r="AH889" t="s">
        <v>33</v>
      </c>
      <c r="AI889" t="str">
        <f t="shared" si="298"/>
        <v>Include</v>
      </c>
      <c r="AJ889" t="str">
        <f t="shared" si="299"/>
        <v/>
      </c>
      <c r="AK889" t="s">
        <v>34</v>
      </c>
      <c r="AL889" t="str">
        <f t="shared" si="295"/>
        <v>Completed</v>
      </c>
      <c r="AM889" t="str">
        <f t="shared" si="300"/>
        <v>Include</v>
      </c>
      <c r="AN889">
        <f t="shared" si="301"/>
        <v>16704.52</v>
      </c>
      <c r="AO889">
        <f t="shared" si="302"/>
        <v>6546.24</v>
      </c>
      <c r="AP889">
        <f>IF(AN889=0,0,AO889/AN889)</f>
        <v>0.39188435225914897</v>
      </c>
      <c r="AQ889" t="str">
        <f t="shared" si="303"/>
        <v>June</v>
      </c>
      <c r="AR889">
        <f t="shared" si="304"/>
        <v>2024</v>
      </c>
      <c r="AS889" t="str">
        <f t="shared" si="305"/>
        <v>Clean</v>
      </c>
      <c r="AT889" t="str">
        <f>IF(OR(AC889&lt;0,AC889&gt;0.5),"Invalid Discount","Valid")</f>
        <v>Valid</v>
      </c>
      <c r="AU889" t="str">
        <f>IF(G889&lt;E889,"Invalid Shipping Record","Valid")</f>
        <v>Valid</v>
      </c>
      <c r="AV889" t="str">
        <f>IF(OR(AL889="Cancelled",AH889="Failed"),"Exclude","Include")</f>
        <v>Include</v>
      </c>
      <c r="AW889" t="str">
        <f t="shared" si="306"/>
        <v>Match</v>
      </c>
      <c r="AX889" t="str">
        <f t="shared" si="307"/>
        <v>Match</v>
      </c>
    </row>
    <row r="890" spans="1:50">
      <c r="A890" t="s">
        <v>4042</v>
      </c>
      <c r="B890">
        <f t="shared" si="308"/>
        <v>1</v>
      </c>
      <c r="C890" t="str">
        <f t="shared" si="296"/>
        <v/>
      </c>
      <c r="D890" s="3" t="s">
        <v>4043</v>
      </c>
      <c r="E890" s="7">
        <v>45875</v>
      </c>
      <c r="F890" s="3" t="s">
        <v>3577</v>
      </c>
      <c r="G890" s="7">
        <v>45876</v>
      </c>
      <c r="H890" s="7" t="str">
        <f t="shared" si="287"/>
        <v>Valid</v>
      </c>
      <c r="I890" s="9">
        <f t="shared" si="288"/>
        <v>1</v>
      </c>
      <c r="J890" s="9" t="str">
        <f t="shared" si="289"/>
        <v>Valid</v>
      </c>
      <c r="K890" t="s">
        <v>4044</v>
      </c>
      <c r="L890" t="s">
        <v>147</v>
      </c>
      <c r="M890" t="s">
        <v>147</v>
      </c>
      <c r="N890" t="s">
        <v>40</v>
      </c>
      <c r="O890" s="3" t="str">
        <f t="shared" si="290"/>
        <v>Small Business</v>
      </c>
      <c r="P890" t="s">
        <v>72</v>
      </c>
      <c r="Q890" s="3" t="str">
        <f t="shared" si="291"/>
        <v>West</v>
      </c>
      <c r="R890" t="s">
        <v>73</v>
      </c>
      <c r="S890" t="s">
        <v>74</v>
      </c>
      <c r="T890" t="s">
        <v>29</v>
      </c>
      <c r="U890" s="3" t="str">
        <f t="shared" si="292"/>
        <v>Office Supplies</v>
      </c>
      <c r="V890" t="s">
        <v>53</v>
      </c>
      <c r="W890" t="s">
        <v>4045</v>
      </c>
      <c r="X890" t="s">
        <v>66</v>
      </c>
      <c r="Y890" s="3" t="str">
        <f t="shared" si="293"/>
        <v>Standard Class</v>
      </c>
      <c r="Z890">
        <v>4</v>
      </c>
      <c r="AA890">
        <v>3523.64</v>
      </c>
      <c r="AB890">
        <v>0.1</v>
      </c>
      <c r="AC890">
        <f t="shared" si="294"/>
        <v>0.1</v>
      </c>
      <c r="AD890" t="str">
        <f t="shared" si="297"/>
        <v>Valid</v>
      </c>
      <c r="AE890">
        <v>12685.1</v>
      </c>
      <c r="AF890">
        <v>10779.56</v>
      </c>
      <c r="AG890">
        <v>1905.54</v>
      </c>
      <c r="AH890" t="s">
        <v>123</v>
      </c>
      <c r="AI890" t="str">
        <f t="shared" si="298"/>
        <v>Exclude</v>
      </c>
      <c r="AJ890" t="str">
        <f t="shared" si="299"/>
        <v>Refunded Order</v>
      </c>
      <c r="AK890" t="s">
        <v>77</v>
      </c>
      <c r="AL890" t="str">
        <f t="shared" si="295"/>
        <v>Cancelled</v>
      </c>
      <c r="AM890" t="str">
        <f t="shared" si="300"/>
        <v>Exclude</v>
      </c>
      <c r="AN890">
        <f t="shared" si="301"/>
        <v>12685.103999999999</v>
      </c>
      <c r="AO890">
        <f t="shared" si="302"/>
        <v>1905.5439999999999</v>
      </c>
      <c r="AP890">
        <f>IF(AN890=0,0,AO890/AN890)</f>
        <v>0.15021902855506741</v>
      </c>
      <c r="AQ890" t="str">
        <f t="shared" si="303"/>
        <v>August</v>
      </c>
      <c r="AR890">
        <f t="shared" si="304"/>
        <v>2025</v>
      </c>
      <c r="AS890" t="str">
        <f t="shared" si="305"/>
        <v>Clean</v>
      </c>
      <c r="AT890" t="str">
        <f>IF(OR(AC890&lt;0,AC890&gt;0.5),"Invalid Discount","Valid")</f>
        <v>Valid</v>
      </c>
      <c r="AU890" t="str">
        <f>IF(G890&lt;E890,"Invalid Shipping Record","Valid")</f>
        <v>Valid</v>
      </c>
      <c r="AV890" t="str">
        <f>IF(OR(AL890="Cancelled",AH890="Failed"),"Exclude","Include")</f>
        <v>Exclude</v>
      </c>
      <c r="AW890" t="str">
        <f t="shared" si="306"/>
        <v>Match</v>
      </c>
      <c r="AX890" t="str">
        <f t="shared" si="307"/>
        <v>Match</v>
      </c>
    </row>
    <row r="891" spans="1:50">
      <c r="A891" t="s">
        <v>4046</v>
      </c>
      <c r="B891">
        <f t="shared" si="308"/>
        <v>1</v>
      </c>
      <c r="C891" t="str">
        <f t="shared" si="296"/>
        <v/>
      </c>
      <c r="D891" s="3" t="s">
        <v>4047</v>
      </c>
      <c r="E891" s="7">
        <v>45726</v>
      </c>
      <c r="F891" s="3" t="s">
        <v>4048</v>
      </c>
      <c r="G891" s="7">
        <v>45727</v>
      </c>
      <c r="H891" s="7" t="str">
        <f t="shared" si="287"/>
        <v>Valid</v>
      </c>
      <c r="I891" s="9">
        <f t="shared" si="288"/>
        <v>1</v>
      </c>
      <c r="J891" s="9" t="str">
        <f t="shared" si="289"/>
        <v>Valid</v>
      </c>
      <c r="K891" t="s">
        <v>1348</v>
      </c>
      <c r="L891" t="s">
        <v>106</v>
      </c>
      <c r="M891" t="s">
        <v>106</v>
      </c>
      <c r="N891" t="s">
        <v>114</v>
      </c>
      <c r="O891" s="3" t="str">
        <f t="shared" si="290"/>
        <v>Home Office</v>
      </c>
      <c r="P891" t="s">
        <v>72</v>
      </c>
      <c r="Q891" s="3" t="str">
        <f t="shared" si="291"/>
        <v>West</v>
      </c>
      <c r="R891" t="s">
        <v>83</v>
      </c>
      <c r="S891" t="s">
        <v>84</v>
      </c>
      <c r="T891" t="s">
        <v>29</v>
      </c>
      <c r="U891" s="3" t="str">
        <f t="shared" si="292"/>
        <v>Office Supplies</v>
      </c>
      <c r="V891" t="s">
        <v>155</v>
      </c>
      <c r="W891" t="s">
        <v>4049</v>
      </c>
      <c r="X891" t="s">
        <v>55</v>
      </c>
      <c r="Y891" s="3" t="str">
        <f t="shared" si="293"/>
        <v>First Class</v>
      </c>
      <c r="Z891">
        <v>2</v>
      </c>
      <c r="AA891">
        <v>3922.08</v>
      </c>
      <c r="AB891">
        <v>0.25</v>
      </c>
      <c r="AC891">
        <f t="shared" si="294"/>
        <v>0.25</v>
      </c>
      <c r="AD891" t="str">
        <f t="shared" si="297"/>
        <v>Valid</v>
      </c>
      <c r="AE891">
        <v>5883.12</v>
      </c>
      <c r="AF891">
        <v>4647.91</v>
      </c>
      <c r="AG891">
        <v>1235.21</v>
      </c>
      <c r="AH891" t="s">
        <v>33</v>
      </c>
      <c r="AI891" t="str">
        <f t="shared" si="298"/>
        <v>Include</v>
      </c>
      <c r="AJ891" t="str">
        <f t="shared" si="299"/>
        <v/>
      </c>
      <c r="AK891" t="s">
        <v>124</v>
      </c>
      <c r="AL891" t="str">
        <f t="shared" si="295"/>
        <v>Returned</v>
      </c>
      <c r="AM891" t="str">
        <f t="shared" si="300"/>
        <v>Include</v>
      </c>
      <c r="AN891">
        <f t="shared" si="301"/>
        <v>5883.12</v>
      </c>
      <c r="AO891">
        <f t="shared" si="302"/>
        <v>1235.21</v>
      </c>
      <c r="AP891">
        <f>IF(AN891=0,0,AO891/AN891)</f>
        <v>0.20995832143488491</v>
      </c>
      <c r="AQ891" t="str">
        <f t="shared" si="303"/>
        <v>March</v>
      </c>
      <c r="AR891">
        <f t="shared" si="304"/>
        <v>2025</v>
      </c>
      <c r="AS891" t="str">
        <f t="shared" si="305"/>
        <v>Clean</v>
      </c>
      <c r="AT891" t="str">
        <f>IF(OR(AC891&lt;0,AC891&gt;0.5),"Invalid Discount","Valid")</f>
        <v>Valid</v>
      </c>
      <c r="AU891" t="str">
        <f>IF(G891&lt;E891,"Invalid Shipping Record","Valid")</f>
        <v>Valid</v>
      </c>
      <c r="AV891" t="str">
        <f>IF(OR(AL891="Cancelled",AH891="Failed"),"Exclude","Include")</f>
        <v>Include</v>
      </c>
      <c r="AW891" t="str">
        <f t="shared" si="306"/>
        <v>Match</v>
      </c>
      <c r="AX891" t="str">
        <f t="shared" si="307"/>
        <v>Match</v>
      </c>
    </row>
    <row r="892" spans="1:50">
      <c r="A892" t="s">
        <v>4050</v>
      </c>
      <c r="B892">
        <f t="shared" si="308"/>
        <v>1</v>
      </c>
      <c r="C892" t="str">
        <f t="shared" si="296"/>
        <v/>
      </c>
      <c r="D892" s="3" t="s">
        <v>159</v>
      </c>
      <c r="E892" s="7">
        <v>45427</v>
      </c>
      <c r="F892" s="3" t="s">
        <v>1139</v>
      </c>
      <c r="G892" s="7">
        <v>45433</v>
      </c>
      <c r="H892" s="7" t="str">
        <f t="shared" si="287"/>
        <v>Valid</v>
      </c>
      <c r="I892" s="9">
        <f t="shared" si="288"/>
        <v>6</v>
      </c>
      <c r="J892" s="9" t="str">
        <f t="shared" si="289"/>
        <v>Valid</v>
      </c>
      <c r="K892" t="s">
        <v>4051</v>
      </c>
      <c r="L892" t="s">
        <v>24</v>
      </c>
      <c r="M892" t="s">
        <v>24</v>
      </c>
      <c r="N892" t="s">
        <v>25</v>
      </c>
      <c r="O892" s="3" t="str">
        <f t="shared" si="290"/>
        <v>Consumer</v>
      </c>
      <c r="P892" t="s">
        <v>72</v>
      </c>
      <c r="Q892" s="3" t="str">
        <f t="shared" si="291"/>
        <v>West</v>
      </c>
      <c r="R892" t="s">
        <v>248</v>
      </c>
      <c r="S892" t="s">
        <v>249</v>
      </c>
      <c r="T892" t="s">
        <v>29</v>
      </c>
      <c r="U892" s="3" t="str">
        <f t="shared" si="292"/>
        <v>Office Supplies</v>
      </c>
      <c r="V892" t="s">
        <v>155</v>
      </c>
      <c r="W892" t="s">
        <v>4052</v>
      </c>
      <c r="X892" t="s">
        <v>66</v>
      </c>
      <c r="Y892" s="3" t="str">
        <f t="shared" si="293"/>
        <v>Standard Class</v>
      </c>
      <c r="Z892">
        <v>6</v>
      </c>
      <c r="AA892">
        <v>2909.56</v>
      </c>
      <c r="AB892">
        <v>0.2</v>
      </c>
      <c r="AC892">
        <f t="shared" si="294"/>
        <v>0.2</v>
      </c>
      <c r="AD892" t="str">
        <f t="shared" si="297"/>
        <v>Valid</v>
      </c>
      <c r="AE892">
        <v>13965.89</v>
      </c>
      <c r="AF892">
        <v>11646.12</v>
      </c>
      <c r="AG892">
        <v>2319.77</v>
      </c>
      <c r="AH892" t="s">
        <v>33</v>
      </c>
      <c r="AI892" t="str">
        <f t="shared" si="298"/>
        <v>Include</v>
      </c>
      <c r="AJ892" t="str">
        <f t="shared" si="299"/>
        <v/>
      </c>
      <c r="AK892" t="s">
        <v>34</v>
      </c>
      <c r="AL892" t="str">
        <f t="shared" si="295"/>
        <v>Completed</v>
      </c>
      <c r="AM892" t="str">
        <f t="shared" si="300"/>
        <v>Include</v>
      </c>
      <c r="AN892">
        <f t="shared" si="301"/>
        <v>13965.888000000001</v>
      </c>
      <c r="AO892">
        <f t="shared" si="302"/>
        <v>2319.768</v>
      </c>
      <c r="AP892">
        <f>IF(AN892=0,0,AO892/AN892)</f>
        <v>0.16610243473239938</v>
      </c>
      <c r="AQ892" t="str">
        <f t="shared" si="303"/>
        <v>May</v>
      </c>
      <c r="AR892">
        <f t="shared" si="304"/>
        <v>2024</v>
      </c>
      <c r="AS892" t="str">
        <f t="shared" si="305"/>
        <v>Clean</v>
      </c>
      <c r="AT892" t="str">
        <f>IF(OR(AC892&lt;0,AC892&gt;0.5),"Invalid Discount","Valid")</f>
        <v>Valid</v>
      </c>
      <c r="AU892" t="str">
        <f>IF(G892&lt;E892,"Invalid Shipping Record","Valid")</f>
        <v>Valid</v>
      </c>
      <c r="AV892" t="str">
        <f>IF(OR(AL892="Cancelled",AH892="Failed"),"Exclude","Include")</f>
        <v>Include</v>
      </c>
      <c r="AW892" t="str">
        <f t="shared" si="306"/>
        <v>Match</v>
      </c>
      <c r="AX892" t="str">
        <f t="shared" si="307"/>
        <v>Match</v>
      </c>
    </row>
    <row r="893" spans="1:50">
      <c r="A893" t="s">
        <v>4053</v>
      </c>
      <c r="B893">
        <f t="shared" si="308"/>
        <v>1</v>
      </c>
      <c r="C893" t="str">
        <f t="shared" si="296"/>
        <v/>
      </c>
      <c r="D893" s="3" t="s">
        <v>3776</v>
      </c>
      <c r="E893" s="7">
        <v>45573</v>
      </c>
      <c r="F893" s="3" t="s">
        <v>2557</v>
      </c>
      <c r="G893" s="7">
        <v>45574</v>
      </c>
      <c r="H893" s="7" t="str">
        <f t="shared" si="287"/>
        <v>Valid</v>
      </c>
      <c r="I893" s="9">
        <f t="shared" si="288"/>
        <v>1</v>
      </c>
      <c r="J893" s="9" t="str">
        <f t="shared" si="289"/>
        <v>Valid</v>
      </c>
      <c r="K893" t="s">
        <v>4054</v>
      </c>
      <c r="L893" t="s">
        <v>365</v>
      </c>
      <c r="M893" t="s">
        <v>365</v>
      </c>
      <c r="N893" t="s">
        <v>107</v>
      </c>
      <c r="O893" s="3" t="str">
        <f t="shared" si="290"/>
        <v>Corporate</v>
      </c>
      <c r="P893" t="s">
        <v>61</v>
      </c>
      <c r="Q893" s="3" t="str">
        <f t="shared" si="291"/>
        <v>South</v>
      </c>
      <c r="R893" t="s">
        <v>338</v>
      </c>
      <c r="S893" t="s">
        <v>339</v>
      </c>
      <c r="T893" t="s">
        <v>85</v>
      </c>
      <c r="U893" s="3" t="str">
        <f t="shared" si="292"/>
        <v>Technology</v>
      </c>
      <c r="V893" t="s">
        <v>381</v>
      </c>
      <c r="W893" t="s">
        <v>4055</v>
      </c>
      <c r="X893" t="s">
        <v>47</v>
      </c>
      <c r="Y893" s="3" t="str">
        <f t="shared" si="293"/>
        <v>Same Day</v>
      </c>
      <c r="Z893">
        <v>5</v>
      </c>
      <c r="AA893">
        <v>2407.9699999999998</v>
      </c>
      <c r="AB893">
        <v>0.1</v>
      </c>
      <c r="AC893">
        <f t="shared" si="294"/>
        <v>0.1</v>
      </c>
      <c r="AD893" t="str">
        <f t="shared" si="297"/>
        <v>Valid</v>
      </c>
      <c r="AE893">
        <v>10835.86</v>
      </c>
      <c r="AF893">
        <v>6419.92</v>
      </c>
      <c r="AG893">
        <v>4415.9399999999996</v>
      </c>
      <c r="AH893" t="s">
        <v>199</v>
      </c>
      <c r="AI893" t="str">
        <f t="shared" si="298"/>
        <v>Exclude</v>
      </c>
      <c r="AJ893" t="str">
        <f t="shared" si="299"/>
        <v/>
      </c>
      <c r="AK893" t="s">
        <v>77</v>
      </c>
      <c r="AL893" t="str">
        <f t="shared" si="295"/>
        <v>Cancelled</v>
      </c>
      <c r="AM893" t="str">
        <f t="shared" si="300"/>
        <v>Exclude</v>
      </c>
      <c r="AN893">
        <f t="shared" si="301"/>
        <v>10835.865</v>
      </c>
      <c r="AO893">
        <f t="shared" si="302"/>
        <v>4415.9449999999997</v>
      </c>
      <c r="AP893">
        <f>IF(AN893=0,0,AO893/AN893)</f>
        <v>0.40753045557507406</v>
      </c>
      <c r="AQ893" t="str">
        <f t="shared" si="303"/>
        <v>October</v>
      </c>
      <c r="AR893">
        <f t="shared" si="304"/>
        <v>2024</v>
      </c>
      <c r="AS893" t="str">
        <f t="shared" si="305"/>
        <v>Clean</v>
      </c>
      <c r="AT893" t="str">
        <f>IF(OR(AC893&lt;0,AC893&gt;0.5),"Invalid Discount","Valid")</f>
        <v>Valid</v>
      </c>
      <c r="AU893" t="str">
        <f>IF(G893&lt;E893,"Invalid Shipping Record","Valid")</f>
        <v>Valid</v>
      </c>
      <c r="AV893" t="str">
        <f>IF(OR(AL893="Cancelled",AH893="Failed"),"Exclude","Include")</f>
        <v>Exclude</v>
      </c>
      <c r="AW893" t="str">
        <f t="shared" si="306"/>
        <v>Mismatch</v>
      </c>
      <c r="AX893" t="str">
        <f t="shared" si="307"/>
        <v>Mismatch</v>
      </c>
    </row>
    <row r="894" spans="1:50">
      <c r="A894" t="s">
        <v>4056</v>
      </c>
      <c r="B894">
        <f t="shared" si="308"/>
        <v>1</v>
      </c>
      <c r="C894" t="str">
        <f t="shared" si="296"/>
        <v/>
      </c>
      <c r="D894" s="3" t="s">
        <v>4057</v>
      </c>
      <c r="E894" s="7">
        <v>45759</v>
      </c>
      <c r="F894" s="3" t="s">
        <v>2999</v>
      </c>
      <c r="G894" s="7">
        <v>45765</v>
      </c>
      <c r="H894" s="7" t="str">
        <f t="shared" si="287"/>
        <v>Valid</v>
      </c>
      <c r="I894" s="9">
        <f t="shared" si="288"/>
        <v>6</v>
      </c>
      <c r="J894" s="9" t="str">
        <f t="shared" si="289"/>
        <v>Valid</v>
      </c>
      <c r="K894" t="s">
        <v>4058</v>
      </c>
      <c r="L894" t="s">
        <v>52</v>
      </c>
      <c r="M894" t="s">
        <v>52</v>
      </c>
      <c r="N894" t="s">
        <v>40</v>
      </c>
      <c r="O894" s="3" t="str">
        <f t="shared" si="290"/>
        <v>Small Business</v>
      </c>
      <c r="P894" t="s">
        <v>41</v>
      </c>
      <c r="Q894" s="3" t="str">
        <f t="shared" si="291"/>
        <v>East</v>
      </c>
      <c r="R894" t="s">
        <v>310</v>
      </c>
      <c r="S894" t="s">
        <v>311</v>
      </c>
      <c r="T894" t="s">
        <v>85</v>
      </c>
      <c r="U894" s="3" t="str">
        <f t="shared" si="292"/>
        <v>Technology</v>
      </c>
      <c r="V894" t="s">
        <v>93</v>
      </c>
      <c r="W894" t="s">
        <v>4059</v>
      </c>
      <c r="X894" t="s">
        <v>47</v>
      </c>
      <c r="Y894" s="3" t="str">
        <f t="shared" si="293"/>
        <v>Same Day</v>
      </c>
      <c r="Z894">
        <v>1</v>
      </c>
      <c r="AA894">
        <v>726.89</v>
      </c>
      <c r="AB894">
        <v>0.2</v>
      </c>
      <c r="AC894">
        <f t="shared" si="294"/>
        <v>0.2</v>
      </c>
      <c r="AD894" t="str">
        <f t="shared" si="297"/>
        <v>Valid</v>
      </c>
      <c r="AE894">
        <v>581.51</v>
      </c>
      <c r="AF894">
        <v>423.86</v>
      </c>
      <c r="AG894">
        <v>157.65</v>
      </c>
      <c r="AH894" t="s">
        <v>33</v>
      </c>
      <c r="AI894" t="str">
        <f t="shared" si="298"/>
        <v>Include</v>
      </c>
      <c r="AJ894" t="str">
        <f t="shared" si="299"/>
        <v/>
      </c>
      <c r="AK894" t="s">
        <v>34</v>
      </c>
      <c r="AL894" t="str">
        <f t="shared" si="295"/>
        <v>Completed</v>
      </c>
      <c r="AM894" t="str">
        <f t="shared" si="300"/>
        <v>Include</v>
      </c>
      <c r="AN894">
        <f t="shared" si="301"/>
        <v>581.51200000000006</v>
      </c>
      <c r="AO894">
        <f t="shared" si="302"/>
        <v>157.65200000000004</v>
      </c>
      <c r="AP894">
        <f>IF(AN894=0,0,AO894/AN894)</f>
        <v>0.27110704508247468</v>
      </c>
      <c r="AQ894" t="str">
        <f t="shared" si="303"/>
        <v>April</v>
      </c>
      <c r="AR894">
        <f t="shared" si="304"/>
        <v>2025</v>
      </c>
      <c r="AS894" t="str">
        <f t="shared" si="305"/>
        <v>Clean</v>
      </c>
      <c r="AT894" t="str">
        <f>IF(OR(AC894&lt;0,AC894&gt;0.5),"Invalid Discount","Valid")</f>
        <v>Valid</v>
      </c>
      <c r="AU894" t="str">
        <f>IF(G894&lt;E894,"Invalid Shipping Record","Valid")</f>
        <v>Valid</v>
      </c>
      <c r="AV894" t="str">
        <f>IF(OR(AL894="Cancelled",AH894="Failed"),"Exclude","Include")</f>
        <v>Include</v>
      </c>
      <c r="AW894" t="str">
        <f t="shared" si="306"/>
        <v>Match</v>
      </c>
      <c r="AX894" t="str">
        <f t="shared" si="307"/>
        <v>Match</v>
      </c>
    </row>
    <row r="895" spans="1:50">
      <c r="A895" t="s">
        <v>4060</v>
      </c>
      <c r="B895">
        <f t="shared" si="308"/>
        <v>1</v>
      </c>
      <c r="C895" t="str">
        <f t="shared" si="296"/>
        <v/>
      </c>
      <c r="D895" s="3" t="s">
        <v>4061</v>
      </c>
      <c r="E895" s="7">
        <v>45449</v>
      </c>
      <c r="F895" s="3" t="s">
        <v>4062</v>
      </c>
      <c r="G895" s="7">
        <v>45451</v>
      </c>
      <c r="H895" s="7" t="str">
        <f t="shared" si="287"/>
        <v>Valid</v>
      </c>
      <c r="I895" s="9">
        <f t="shared" si="288"/>
        <v>2</v>
      </c>
      <c r="J895" s="9" t="str">
        <f t="shared" si="289"/>
        <v>Valid</v>
      </c>
      <c r="K895" t="s">
        <v>4063</v>
      </c>
      <c r="L895" t="s">
        <v>161</v>
      </c>
      <c r="M895" t="s">
        <v>161</v>
      </c>
      <c r="N895" t="s">
        <v>107</v>
      </c>
      <c r="O895" s="3" t="str">
        <f t="shared" si="290"/>
        <v>Corporate</v>
      </c>
      <c r="P895" t="s">
        <v>61</v>
      </c>
      <c r="Q895" s="3" t="str">
        <f t="shared" si="291"/>
        <v>South</v>
      </c>
      <c r="R895" t="s">
        <v>228</v>
      </c>
      <c r="S895" t="s">
        <v>229</v>
      </c>
      <c r="T895" t="s">
        <v>44</v>
      </c>
      <c r="U895" s="3" t="str">
        <f t="shared" si="292"/>
        <v>Furniture</v>
      </c>
      <c r="V895" t="s">
        <v>45</v>
      </c>
      <c r="W895" t="s">
        <v>4064</v>
      </c>
      <c r="X895" t="s">
        <v>32</v>
      </c>
      <c r="Y895" s="3" t="str">
        <f t="shared" si="293"/>
        <v>Second Class</v>
      </c>
      <c r="Z895">
        <v>3</v>
      </c>
      <c r="AA895">
        <v>395.49</v>
      </c>
      <c r="AB895">
        <v>0.05</v>
      </c>
      <c r="AC895">
        <f t="shared" si="294"/>
        <v>0.05</v>
      </c>
      <c r="AD895" t="str">
        <f t="shared" si="297"/>
        <v>Valid</v>
      </c>
      <c r="AE895">
        <v>1127.1500000000001</v>
      </c>
      <c r="AF895">
        <v>845.62</v>
      </c>
      <c r="AG895">
        <v>281.52999999999997</v>
      </c>
      <c r="AH895" t="s">
        <v>33</v>
      </c>
      <c r="AI895" t="str">
        <f t="shared" si="298"/>
        <v>Include</v>
      </c>
      <c r="AJ895" t="str">
        <f t="shared" si="299"/>
        <v/>
      </c>
      <c r="AK895" t="s">
        <v>124</v>
      </c>
      <c r="AL895" t="str">
        <f t="shared" si="295"/>
        <v>Returned</v>
      </c>
      <c r="AM895" t="str">
        <f t="shared" si="300"/>
        <v>Include</v>
      </c>
      <c r="AN895">
        <f t="shared" si="301"/>
        <v>1127.1465000000001</v>
      </c>
      <c r="AO895">
        <f t="shared" si="302"/>
        <v>281.52650000000006</v>
      </c>
      <c r="AP895">
        <f>IF(AN895=0,0,AO895/AN895)</f>
        <v>0.24976921810962466</v>
      </c>
      <c r="AQ895" t="str">
        <f t="shared" si="303"/>
        <v>June</v>
      </c>
      <c r="AR895">
        <f t="shared" si="304"/>
        <v>2024</v>
      </c>
      <c r="AS895" t="str">
        <f t="shared" si="305"/>
        <v>Clean</v>
      </c>
      <c r="AT895" t="str">
        <f>IF(OR(AC895&lt;0,AC895&gt;0.5),"Invalid Discount","Valid")</f>
        <v>Valid</v>
      </c>
      <c r="AU895" t="str">
        <f>IF(G895&lt;E895,"Invalid Shipping Record","Valid")</f>
        <v>Valid</v>
      </c>
      <c r="AV895" t="str">
        <f>IF(OR(AL895="Cancelled",AH895="Failed"),"Exclude","Include")</f>
        <v>Include</v>
      </c>
      <c r="AW895" t="str">
        <f t="shared" si="306"/>
        <v>Match</v>
      </c>
      <c r="AX895" t="str">
        <f t="shared" si="307"/>
        <v>Match</v>
      </c>
    </row>
    <row r="896" spans="1:50">
      <c r="A896" t="s">
        <v>4065</v>
      </c>
      <c r="B896">
        <f t="shared" si="308"/>
        <v>1</v>
      </c>
      <c r="C896" t="str">
        <f t="shared" si="296"/>
        <v/>
      </c>
      <c r="D896" s="3" t="s">
        <v>1944</v>
      </c>
      <c r="E896" s="7">
        <v>45344</v>
      </c>
      <c r="F896" s="3" t="s">
        <v>4066</v>
      </c>
      <c r="G896" s="7">
        <v>45351</v>
      </c>
      <c r="H896" s="7" t="str">
        <f t="shared" si="287"/>
        <v>Valid</v>
      </c>
      <c r="I896" s="9">
        <f t="shared" si="288"/>
        <v>7</v>
      </c>
      <c r="J896" s="9" t="str">
        <f t="shared" si="289"/>
        <v>Valid</v>
      </c>
      <c r="K896" t="s">
        <v>4067</v>
      </c>
      <c r="L896" t="s">
        <v>52</v>
      </c>
      <c r="M896" t="s">
        <v>52</v>
      </c>
      <c r="N896" t="s">
        <v>114</v>
      </c>
      <c r="O896" s="3" t="str">
        <f t="shared" si="290"/>
        <v>Home Office</v>
      </c>
      <c r="P896" t="s">
        <v>61</v>
      </c>
      <c r="Q896" s="3" t="str">
        <f t="shared" si="291"/>
        <v>South</v>
      </c>
      <c r="R896" t="s">
        <v>62</v>
      </c>
      <c r="S896" t="s">
        <v>63</v>
      </c>
      <c r="T896" t="s">
        <v>44</v>
      </c>
      <c r="U896" s="3" t="str">
        <f t="shared" si="292"/>
        <v>Furniture</v>
      </c>
      <c r="V896" t="s">
        <v>45</v>
      </c>
      <c r="W896" t="s">
        <v>4068</v>
      </c>
      <c r="X896" t="s">
        <v>55</v>
      </c>
      <c r="Y896" s="3" t="str">
        <f t="shared" si="293"/>
        <v>First Class</v>
      </c>
      <c r="Z896">
        <v>6</v>
      </c>
      <c r="AA896">
        <v>4254.05</v>
      </c>
      <c r="AB896">
        <v>0</v>
      </c>
      <c r="AC896">
        <f t="shared" si="294"/>
        <v>0</v>
      </c>
      <c r="AD896" t="str">
        <f t="shared" si="297"/>
        <v>Valid</v>
      </c>
      <c r="AE896">
        <v>25524.3</v>
      </c>
      <c r="AF896">
        <v>16711.93</v>
      </c>
      <c r="AG896">
        <v>8812.3700000000008</v>
      </c>
      <c r="AH896" t="s">
        <v>33</v>
      </c>
      <c r="AI896" t="str">
        <f t="shared" si="298"/>
        <v>Include</v>
      </c>
      <c r="AJ896" t="str">
        <f t="shared" si="299"/>
        <v/>
      </c>
      <c r="AK896" t="s">
        <v>34</v>
      </c>
      <c r="AL896" t="str">
        <f t="shared" si="295"/>
        <v>Completed</v>
      </c>
      <c r="AM896" t="str">
        <f t="shared" si="300"/>
        <v>Include</v>
      </c>
      <c r="AN896">
        <f t="shared" si="301"/>
        <v>25524.300000000003</v>
      </c>
      <c r="AO896">
        <f t="shared" si="302"/>
        <v>8812.3700000000026</v>
      </c>
      <c r="AP896">
        <f>IF(AN896=0,0,AO896/AN896)</f>
        <v>0.34525413037771857</v>
      </c>
      <c r="AQ896" t="str">
        <f t="shared" si="303"/>
        <v>February</v>
      </c>
      <c r="AR896">
        <f t="shared" si="304"/>
        <v>2024</v>
      </c>
      <c r="AS896" t="str">
        <f t="shared" si="305"/>
        <v>Clean</v>
      </c>
      <c r="AT896" t="str">
        <f>IF(OR(AC896&lt;0,AC896&gt;0.5),"Invalid Discount","Valid")</f>
        <v>Valid</v>
      </c>
      <c r="AU896" t="str">
        <f>IF(G896&lt;E896,"Invalid Shipping Record","Valid")</f>
        <v>Valid</v>
      </c>
      <c r="AV896" t="str">
        <f>IF(OR(AL896="Cancelled",AH896="Failed"),"Exclude","Include")</f>
        <v>Include</v>
      </c>
      <c r="AW896" t="str">
        <f t="shared" si="306"/>
        <v>Match</v>
      </c>
      <c r="AX896" t="str">
        <f t="shared" si="307"/>
        <v>Match</v>
      </c>
    </row>
    <row r="897" spans="1:50">
      <c r="A897" t="s">
        <v>4069</v>
      </c>
      <c r="B897">
        <f t="shared" si="308"/>
        <v>1</v>
      </c>
      <c r="C897" t="str">
        <f t="shared" si="296"/>
        <v/>
      </c>
      <c r="D897" s="3" t="s">
        <v>4070</v>
      </c>
      <c r="E897" s="7">
        <v>45601</v>
      </c>
      <c r="F897" s="3" t="s">
        <v>104</v>
      </c>
      <c r="G897" s="7">
        <v>45606</v>
      </c>
      <c r="H897" s="7" t="str">
        <f t="shared" si="287"/>
        <v>Valid</v>
      </c>
      <c r="I897" s="9">
        <f t="shared" si="288"/>
        <v>5</v>
      </c>
      <c r="J897" s="9" t="str">
        <f t="shared" si="289"/>
        <v>Valid</v>
      </c>
      <c r="K897" t="s">
        <v>4071</v>
      </c>
      <c r="L897" t="s">
        <v>60</v>
      </c>
      <c r="M897" t="s">
        <v>60</v>
      </c>
      <c r="N897" t="s">
        <v>25</v>
      </c>
      <c r="O897" s="3" t="str">
        <f t="shared" si="290"/>
        <v>Consumer</v>
      </c>
      <c r="P897" t="s">
        <v>61</v>
      </c>
      <c r="Q897" s="3" t="str">
        <f t="shared" si="291"/>
        <v>South</v>
      </c>
      <c r="R897" t="s">
        <v>241</v>
      </c>
      <c r="S897" t="s">
        <v>242</v>
      </c>
      <c r="T897" t="s">
        <v>44</v>
      </c>
      <c r="U897" s="3" t="str">
        <f t="shared" si="292"/>
        <v>Furniture</v>
      </c>
      <c r="V897" t="s">
        <v>75</v>
      </c>
      <c r="W897" t="s">
        <v>4072</v>
      </c>
      <c r="X897" t="s">
        <v>47</v>
      </c>
      <c r="Y897" s="3" t="str">
        <f t="shared" si="293"/>
        <v>Same Day</v>
      </c>
      <c r="Z897">
        <v>4</v>
      </c>
      <c r="AA897">
        <v>711.18</v>
      </c>
      <c r="AB897">
        <v>0.15</v>
      </c>
      <c r="AC897">
        <f t="shared" si="294"/>
        <v>0.15</v>
      </c>
      <c r="AD897" t="str">
        <f t="shared" si="297"/>
        <v>Valid</v>
      </c>
      <c r="AE897">
        <v>2418.0100000000002</v>
      </c>
      <c r="AF897">
        <v>1441.89</v>
      </c>
      <c r="AG897">
        <v>976.12</v>
      </c>
      <c r="AH897" t="s">
        <v>136</v>
      </c>
      <c r="AI897" t="str">
        <f t="shared" si="298"/>
        <v>Include</v>
      </c>
      <c r="AJ897" t="str">
        <f t="shared" si="299"/>
        <v/>
      </c>
      <c r="AK897" t="s">
        <v>124</v>
      </c>
      <c r="AL897" t="str">
        <f t="shared" si="295"/>
        <v>Returned</v>
      </c>
      <c r="AM897" t="str">
        <f t="shared" si="300"/>
        <v>Include</v>
      </c>
      <c r="AN897">
        <f t="shared" si="301"/>
        <v>2418.0119999999997</v>
      </c>
      <c r="AO897">
        <f t="shared" si="302"/>
        <v>976.12199999999962</v>
      </c>
      <c r="AP897">
        <f>IF(AN897=0,0,AO897/AN897)</f>
        <v>0.40368782288921634</v>
      </c>
      <c r="AQ897" t="str">
        <f t="shared" si="303"/>
        <v>November</v>
      </c>
      <c r="AR897">
        <f t="shared" si="304"/>
        <v>2024</v>
      </c>
      <c r="AS897" t="str">
        <f t="shared" si="305"/>
        <v>Clean</v>
      </c>
      <c r="AT897" t="str">
        <f>IF(OR(AC897&lt;0,AC897&gt;0.5),"Invalid Discount","Valid")</f>
        <v>Valid</v>
      </c>
      <c r="AU897" t="str">
        <f>IF(G897&lt;E897,"Invalid Shipping Record","Valid")</f>
        <v>Valid</v>
      </c>
      <c r="AV897" t="str">
        <f>IF(OR(AL897="Cancelled",AH897="Failed"),"Exclude","Include")</f>
        <v>Include</v>
      </c>
      <c r="AW897" t="str">
        <f t="shared" si="306"/>
        <v>Match</v>
      </c>
      <c r="AX897" t="str">
        <f t="shared" si="307"/>
        <v>Match</v>
      </c>
    </row>
    <row r="898" spans="1:50">
      <c r="A898" t="s">
        <v>4073</v>
      </c>
      <c r="B898">
        <f t="shared" si="308"/>
        <v>1</v>
      </c>
      <c r="C898" t="str">
        <f t="shared" si="296"/>
        <v/>
      </c>
      <c r="D898" s="3" t="s">
        <v>4074</v>
      </c>
      <c r="E898" s="7">
        <v>45650</v>
      </c>
      <c r="F898" s="3" t="s">
        <v>2357</v>
      </c>
      <c r="G898" s="7">
        <v>45651</v>
      </c>
      <c r="H898" s="7" t="str">
        <f t="shared" ref="H898:H913" si="309">IF(G898&lt;E898,"Invalid Shipping Record","Valid")</f>
        <v>Valid</v>
      </c>
      <c r="I898" s="9">
        <f t="shared" ref="I898:I913" si="310">G898-E898</f>
        <v>1</v>
      </c>
      <c r="J898" s="9" t="str">
        <f t="shared" ref="J898:J913" si="311">IF(OR(E898="",G898=""),"Missing Date",IF(OR(NOT(ISNUMBER(E898)),NOT(ISNUMBER(G898))),"Invalid Date",IF(G898&lt;E898,"Invalid Shipping Record","Valid")))</f>
        <v>Valid</v>
      </c>
      <c r="K898" t="s">
        <v>4075</v>
      </c>
      <c r="L898" t="s">
        <v>71</v>
      </c>
      <c r="M898" t="s">
        <v>71</v>
      </c>
      <c r="N898" t="s">
        <v>40</v>
      </c>
      <c r="O898" s="3" t="str">
        <f t="shared" ref="O898:O961" si="312">PROPER(TRIM(N898))</f>
        <v>Small Business</v>
      </c>
      <c r="P898" t="s">
        <v>61</v>
      </c>
      <c r="Q898" s="3" t="str">
        <f t="shared" ref="Q898:Q913" si="313">IF(TRIM(P898)="","Unknown",PROPER(TRIM(P898)))</f>
        <v>South</v>
      </c>
      <c r="R898" t="s">
        <v>338</v>
      </c>
      <c r="S898" t="s">
        <v>339</v>
      </c>
      <c r="T898" t="s">
        <v>85</v>
      </c>
      <c r="U898" s="3" t="str">
        <f t="shared" ref="U898:U961" si="314">PROPER(TRIM(T898))</f>
        <v>Technology</v>
      </c>
      <c r="V898" t="s">
        <v>93</v>
      </c>
      <c r="W898" t="s">
        <v>4076</v>
      </c>
      <c r="X898" t="s">
        <v>32</v>
      </c>
      <c r="Y898" s="3" t="str">
        <f t="shared" ref="Y898:Y913" si="315">IF(TRIM(X898)="","Unknown",PROPER(TRIM(X898)))</f>
        <v>Second Class</v>
      </c>
      <c r="Z898">
        <v>1</v>
      </c>
      <c r="AA898">
        <v>3693.03</v>
      </c>
      <c r="AB898">
        <v>0.05</v>
      </c>
      <c r="AC898">
        <f t="shared" ref="AC898:AC913" si="316">IF(AND(AB898=" ",Z898=" ",AA898=" ",AF898=" "),0,AB898)</f>
        <v>0.05</v>
      </c>
      <c r="AD898" t="str">
        <f t="shared" si="297"/>
        <v>Valid</v>
      </c>
      <c r="AE898">
        <v>3508.38</v>
      </c>
      <c r="AF898">
        <v>2828.06</v>
      </c>
      <c r="AG898">
        <v>680.32</v>
      </c>
      <c r="AH898" t="s">
        <v>199</v>
      </c>
      <c r="AI898" t="str">
        <f t="shared" si="298"/>
        <v>Exclude</v>
      </c>
      <c r="AJ898" t="str">
        <f t="shared" si="299"/>
        <v/>
      </c>
      <c r="AK898" t="s">
        <v>124</v>
      </c>
      <c r="AL898" t="str">
        <f t="shared" ref="AL898:AL961" si="317">PROPER(TRIM(AK898))</f>
        <v>Returned</v>
      </c>
      <c r="AM898" t="str">
        <f t="shared" si="300"/>
        <v>Include</v>
      </c>
      <c r="AN898">
        <f t="shared" si="301"/>
        <v>3508.3784999999998</v>
      </c>
      <c r="AO898">
        <f t="shared" si="302"/>
        <v>680.31849999999986</v>
      </c>
      <c r="AP898">
        <f>IF(AN898=0,0,AO898/AN898)</f>
        <v>0.19391251542557336</v>
      </c>
      <c r="AQ898" t="str">
        <f t="shared" si="303"/>
        <v>December</v>
      </c>
      <c r="AR898">
        <f t="shared" si="304"/>
        <v>2024</v>
      </c>
      <c r="AS898" t="str">
        <f t="shared" si="305"/>
        <v>Clean</v>
      </c>
      <c r="AT898" t="str">
        <f>IF(OR(AC898&lt;0,AC898&gt;0.5),"Invalid Discount","Valid")</f>
        <v>Valid</v>
      </c>
      <c r="AU898" t="str">
        <f>IF(G898&lt;E898,"Invalid Shipping Record","Valid")</f>
        <v>Valid</v>
      </c>
      <c r="AV898" t="str">
        <f>IF(OR(AL898="Cancelled",AH898="Failed"),"Exclude","Include")</f>
        <v>Exclude</v>
      </c>
      <c r="AW898" t="str">
        <f t="shared" si="306"/>
        <v>Match</v>
      </c>
      <c r="AX898" t="str">
        <f t="shared" si="307"/>
        <v>Match</v>
      </c>
    </row>
    <row r="899" spans="1:50">
      <c r="A899" t="s">
        <v>4077</v>
      </c>
      <c r="B899">
        <f t="shared" si="308"/>
        <v>1</v>
      </c>
      <c r="C899" t="str">
        <f t="shared" ref="C899:C913" si="318">IF(B899&gt;1,"Review Required","")</f>
        <v/>
      </c>
      <c r="D899" s="3" t="s">
        <v>1180</v>
      </c>
      <c r="E899" s="7">
        <v>45776</v>
      </c>
      <c r="F899" s="3" t="s">
        <v>4078</v>
      </c>
      <c r="G899" s="7">
        <v>45780</v>
      </c>
      <c r="H899" s="7" t="str">
        <f t="shared" si="309"/>
        <v>Valid</v>
      </c>
      <c r="I899" s="9">
        <f t="shared" si="310"/>
        <v>4</v>
      </c>
      <c r="J899" s="9" t="str">
        <f t="shared" si="311"/>
        <v>Valid</v>
      </c>
      <c r="K899" t="s">
        <v>3199</v>
      </c>
      <c r="L899" t="s">
        <v>179</v>
      </c>
      <c r="M899" t="s">
        <v>179</v>
      </c>
      <c r="N899" t="s">
        <v>107</v>
      </c>
      <c r="O899" s="3" t="str">
        <f t="shared" si="312"/>
        <v>Corporate</v>
      </c>
      <c r="P899" t="s">
        <v>26</v>
      </c>
      <c r="Q899" s="3" t="str">
        <f t="shared" si="313"/>
        <v>North</v>
      </c>
      <c r="R899" t="s">
        <v>322</v>
      </c>
      <c r="S899" t="s">
        <v>323</v>
      </c>
      <c r="T899" t="s">
        <v>29</v>
      </c>
      <c r="U899" s="3" t="str">
        <f t="shared" si="314"/>
        <v>Office Supplies</v>
      </c>
      <c r="V899" t="s">
        <v>30</v>
      </c>
      <c r="W899" t="s">
        <v>4079</v>
      </c>
      <c r="X899" t="s">
        <v>55</v>
      </c>
      <c r="Y899" s="3" t="str">
        <f t="shared" si="315"/>
        <v>First Class</v>
      </c>
      <c r="Z899">
        <v>4</v>
      </c>
      <c r="AA899">
        <v>1786.65</v>
      </c>
      <c r="AB899">
        <v>0.05</v>
      </c>
      <c r="AC899">
        <f t="shared" si="316"/>
        <v>0.05</v>
      </c>
      <c r="AD899" t="str">
        <f t="shared" ref="AD899:AD913" si="319">IF(AC899&lt;0,"Invalid Discount","Valid")</f>
        <v>Valid</v>
      </c>
      <c r="AE899">
        <v>6789.27</v>
      </c>
      <c r="AF899">
        <v>5626.43</v>
      </c>
      <c r="AG899">
        <v>1162.8399999999999</v>
      </c>
      <c r="AH899" t="s">
        <v>33</v>
      </c>
      <c r="AI899" t="str">
        <f t="shared" ref="AI899:AI913" si="320">IF(OR(AH899="Failed",AL899="Cancelled"),"Exclude","Include")</f>
        <v>Include</v>
      </c>
      <c r="AJ899" t="str">
        <f t="shared" ref="AJ899:AJ913" si="321">IF(AH899="Refunded","Refunded Order","")</f>
        <v/>
      </c>
      <c r="AK899" t="s">
        <v>34</v>
      </c>
      <c r="AL899" t="str">
        <f t="shared" si="317"/>
        <v>Completed</v>
      </c>
      <c r="AM899" t="str">
        <f t="shared" ref="AM899:AM913" si="322">IF(AL899="Cancelled","Exclude","Include")</f>
        <v>Include</v>
      </c>
      <c r="AN899">
        <f t="shared" ref="AN899:AN913" si="323">Z899*AA899*(1-AC899)</f>
        <v>6789.27</v>
      </c>
      <c r="AO899">
        <f t="shared" ref="AO899:AO913" si="324">AN899-AF899</f>
        <v>1162.8400000000001</v>
      </c>
      <c r="AP899">
        <f>IF(AN899=0,0,AO899/AN899)</f>
        <v>0.17127614603631908</v>
      </c>
      <c r="AQ899" t="str">
        <f t="shared" ref="AQ899:AQ913" si="325">TEXT(E899,"mmmm")</f>
        <v>April</v>
      </c>
      <c r="AR899">
        <f t="shared" ref="AR899:AR913" si="326">YEAR(E899)</f>
        <v>2025</v>
      </c>
      <c r="AS899" t="str">
        <f t="shared" ref="AS899:AS915" si="327">IF(OR(AC899&lt;0,AC899&gt;1,G899&lt;E899),"Invalid",IF(OR(Q899="Unknown",Y899="Unknown"),"Warning","Clean"))</f>
        <v>Clean</v>
      </c>
      <c r="AT899" t="str">
        <f>IF(OR(AC899&lt;0,AC899&gt;0.5),"Invalid Discount","Valid")</f>
        <v>Valid</v>
      </c>
      <c r="AU899" t="str">
        <f>IF(G899&lt;E899,"Invalid Shipping Record","Valid")</f>
        <v>Valid</v>
      </c>
      <c r="AV899" t="str">
        <f>IF(OR(AL899="Cancelled",AH899="Failed"),"Exclude","Include")</f>
        <v>Include</v>
      </c>
      <c r="AW899" t="str">
        <f t="shared" ref="AW899:AW913" si="328">IF(ROUND(AE899,2)=ROUND(AN899,2),"Match","Mismatch")</f>
        <v>Match</v>
      </c>
      <c r="AX899" t="str">
        <f t="shared" ref="AX899:AX913" si="329">IF(ROUND(AG899,2)=ROUND(AO899,2),"Match","Mismatch")</f>
        <v>Match</v>
      </c>
    </row>
    <row r="900" spans="1:50">
      <c r="A900" t="s">
        <v>4080</v>
      </c>
      <c r="B900">
        <f t="shared" si="308"/>
        <v>1</v>
      </c>
      <c r="C900" t="str">
        <f t="shared" si="318"/>
        <v/>
      </c>
      <c r="D900" s="3" t="s">
        <v>3643</v>
      </c>
      <c r="E900" s="7">
        <v>45445</v>
      </c>
      <c r="F900" s="3" t="s">
        <v>49</v>
      </c>
      <c r="G900" s="7">
        <v>45451</v>
      </c>
      <c r="H900" s="7" t="str">
        <f t="shared" si="309"/>
        <v>Valid</v>
      </c>
      <c r="I900" s="9">
        <f t="shared" si="310"/>
        <v>6</v>
      </c>
      <c r="J900" s="9" t="str">
        <f t="shared" si="311"/>
        <v>Valid</v>
      </c>
      <c r="K900" t="s">
        <v>4081</v>
      </c>
      <c r="L900" t="s">
        <v>82</v>
      </c>
      <c r="M900" t="s">
        <v>82</v>
      </c>
      <c r="N900" t="s">
        <v>25</v>
      </c>
      <c r="O900" s="3" t="str">
        <f t="shared" si="312"/>
        <v>Consumer</v>
      </c>
      <c r="P900" t="s">
        <v>26</v>
      </c>
      <c r="Q900" s="3" t="str">
        <f t="shared" si="313"/>
        <v>North</v>
      </c>
      <c r="R900" t="s">
        <v>505</v>
      </c>
      <c r="S900" t="s">
        <v>506</v>
      </c>
      <c r="T900" t="s">
        <v>44</v>
      </c>
      <c r="U900" s="3" t="str">
        <f t="shared" si="314"/>
        <v>Furniture</v>
      </c>
      <c r="V900" t="s">
        <v>45</v>
      </c>
      <c r="W900" t="s">
        <v>4082</v>
      </c>
      <c r="X900" t="s">
        <v>55</v>
      </c>
      <c r="Y900" s="3" t="str">
        <f t="shared" si="315"/>
        <v>First Class</v>
      </c>
      <c r="Z900">
        <v>4</v>
      </c>
      <c r="AA900">
        <v>1536.7</v>
      </c>
      <c r="AB900">
        <v>0.2</v>
      </c>
      <c r="AC900">
        <f t="shared" si="316"/>
        <v>0.2</v>
      </c>
      <c r="AD900" t="str">
        <f t="shared" si="319"/>
        <v>Valid</v>
      </c>
      <c r="AE900">
        <v>4917.4399999999996</v>
      </c>
      <c r="AF900">
        <v>3846.77</v>
      </c>
      <c r="AG900">
        <v>1070.67</v>
      </c>
      <c r="AH900" t="s">
        <v>33</v>
      </c>
      <c r="AI900" t="str">
        <f t="shared" si="320"/>
        <v>Include</v>
      </c>
      <c r="AJ900" t="str">
        <f t="shared" si="321"/>
        <v/>
      </c>
      <c r="AK900" t="s">
        <v>34</v>
      </c>
      <c r="AL900" t="str">
        <f t="shared" si="317"/>
        <v>Completed</v>
      </c>
      <c r="AM900" t="str">
        <f t="shared" si="322"/>
        <v>Include</v>
      </c>
      <c r="AN900">
        <f t="shared" si="323"/>
        <v>4917.4400000000005</v>
      </c>
      <c r="AO900">
        <f t="shared" si="324"/>
        <v>1070.6700000000005</v>
      </c>
      <c r="AP900">
        <f>IF(AN900=0,0,AO900/AN900)</f>
        <v>0.21772914361944434</v>
      </c>
      <c r="AQ900" t="str">
        <f t="shared" si="325"/>
        <v>June</v>
      </c>
      <c r="AR900">
        <f t="shared" si="326"/>
        <v>2024</v>
      </c>
      <c r="AS900" t="str">
        <f t="shared" si="327"/>
        <v>Clean</v>
      </c>
      <c r="AT900" t="str">
        <f>IF(OR(AC900&lt;0,AC900&gt;0.5),"Invalid Discount","Valid")</f>
        <v>Valid</v>
      </c>
      <c r="AU900" t="str">
        <f>IF(G900&lt;E900,"Invalid Shipping Record","Valid")</f>
        <v>Valid</v>
      </c>
      <c r="AV900" t="str">
        <f>IF(OR(AL900="Cancelled",AH900="Failed"),"Exclude","Include")</f>
        <v>Include</v>
      </c>
      <c r="AW900" t="str">
        <f t="shared" si="328"/>
        <v>Match</v>
      </c>
      <c r="AX900" t="str">
        <f t="shared" si="329"/>
        <v>Match</v>
      </c>
    </row>
    <row r="901" spans="1:50">
      <c r="A901" t="s">
        <v>4083</v>
      </c>
      <c r="B901">
        <f t="shared" si="308"/>
        <v>1</v>
      </c>
      <c r="C901" t="str">
        <f t="shared" si="318"/>
        <v/>
      </c>
      <c r="D901" s="3" t="s">
        <v>1681</v>
      </c>
      <c r="E901" s="7">
        <v>45804</v>
      </c>
      <c r="F901" s="3" t="s">
        <v>4084</v>
      </c>
      <c r="G901" s="7">
        <v>45811</v>
      </c>
      <c r="H901" s="7" t="str">
        <f t="shared" si="309"/>
        <v>Valid</v>
      </c>
      <c r="I901" s="9">
        <f t="shared" si="310"/>
        <v>7</v>
      </c>
      <c r="J901" s="9" t="str">
        <f t="shared" si="311"/>
        <v>Valid</v>
      </c>
      <c r="K901" t="s">
        <v>4085</v>
      </c>
      <c r="L901" t="s">
        <v>24</v>
      </c>
      <c r="M901" t="s">
        <v>24</v>
      </c>
      <c r="N901" t="s">
        <v>25</v>
      </c>
      <c r="O901" s="3" t="str">
        <f t="shared" si="312"/>
        <v>Consumer</v>
      </c>
      <c r="P901" t="s">
        <v>26</v>
      </c>
      <c r="Q901" s="3" t="str">
        <f t="shared" si="313"/>
        <v>North</v>
      </c>
      <c r="R901" t="s">
        <v>153</v>
      </c>
      <c r="S901" t="s">
        <v>154</v>
      </c>
      <c r="T901" t="s">
        <v>44</v>
      </c>
      <c r="U901" s="3" t="str">
        <f t="shared" si="314"/>
        <v>Furniture</v>
      </c>
      <c r="V901" t="s">
        <v>75</v>
      </c>
      <c r="W901" t="s">
        <v>4086</v>
      </c>
      <c r="X901" t="s">
        <v>55</v>
      </c>
      <c r="Y901" s="3" t="str">
        <f t="shared" si="315"/>
        <v>First Class</v>
      </c>
      <c r="Z901">
        <v>5</v>
      </c>
      <c r="AA901">
        <v>881.08</v>
      </c>
      <c r="AB901">
        <v>0.25</v>
      </c>
      <c r="AC901">
        <f t="shared" si="316"/>
        <v>0.25</v>
      </c>
      <c r="AD901" t="str">
        <f t="shared" si="319"/>
        <v>Valid</v>
      </c>
      <c r="AE901">
        <v>3304.05</v>
      </c>
      <c r="AF901">
        <v>2279.41</v>
      </c>
      <c r="AG901">
        <v>1024.6400000000001</v>
      </c>
      <c r="AH901" t="s">
        <v>199</v>
      </c>
      <c r="AI901" t="str">
        <f t="shared" si="320"/>
        <v>Exclude</v>
      </c>
      <c r="AJ901" t="str">
        <f t="shared" si="321"/>
        <v/>
      </c>
      <c r="AK901" t="s">
        <v>77</v>
      </c>
      <c r="AL901" t="str">
        <f t="shared" si="317"/>
        <v>Cancelled</v>
      </c>
      <c r="AM901" t="str">
        <f t="shared" si="322"/>
        <v>Exclude</v>
      </c>
      <c r="AN901">
        <f t="shared" si="323"/>
        <v>3304.05</v>
      </c>
      <c r="AO901">
        <f t="shared" si="324"/>
        <v>1024.6400000000003</v>
      </c>
      <c r="AP901">
        <f>IF(AN901=0,0,AO901/AN901)</f>
        <v>0.31011637233092726</v>
      </c>
      <c r="AQ901" t="str">
        <f t="shared" si="325"/>
        <v>May</v>
      </c>
      <c r="AR901">
        <f t="shared" si="326"/>
        <v>2025</v>
      </c>
      <c r="AS901" t="str">
        <f t="shared" si="327"/>
        <v>Clean</v>
      </c>
      <c r="AT901" t="str">
        <f>IF(OR(AC901&lt;0,AC901&gt;0.5),"Invalid Discount","Valid")</f>
        <v>Valid</v>
      </c>
      <c r="AU901" t="str">
        <f>IF(G901&lt;E901,"Invalid Shipping Record","Valid")</f>
        <v>Valid</v>
      </c>
      <c r="AV901" t="str">
        <f>IF(OR(AL901="Cancelled",AH901="Failed"),"Exclude","Include")</f>
        <v>Exclude</v>
      </c>
      <c r="AW901" t="str">
        <f t="shared" si="328"/>
        <v>Match</v>
      </c>
      <c r="AX901" t="str">
        <f t="shared" si="329"/>
        <v>Match</v>
      </c>
    </row>
    <row r="902" spans="1:50">
      <c r="A902" t="s">
        <v>933</v>
      </c>
      <c r="B902">
        <f t="shared" si="308"/>
        <v>2</v>
      </c>
      <c r="C902" t="str">
        <f t="shared" si="318"/>
        <v>Review Required</v>
      </c>
      <c r="D902" s="3" t="s">
        <v>111</v>
      </c>
      <c r="E902" s="7">
        <v>45907</v>
      </c>
      <c r="F902" s="3" t="s">
        <v>934</v>
      </c>
      <c r="G902" s="7">
        <v>45915</v>
      </c>
      <c r="H902" s="7" t="str">
        <f t="shared" si="309"/>
        <v>Valid</v>
      </c>
      <c r="I902" s="9">
        <f t="shared" si="310"/>
        <v>8</v>
      </c>
      <c r="J902" s="9" t="str">
        <f t="shared" si="311"/>
        <v>Valid</v>
      </c>
      <c r="K902" t="s">
        <v>935</v>
      </c>
      <c r="L902" t="s">
        <v>179</v>
      </c>
      <c r="M902" t="s">
        <v>179</v>
      </c>
      <c r="N902" t="s">
        <v>107</v>
      </c>
      <c r="O902" s="3" t="str">
        <f t="shared" si="312"/>
        <v>Corporate</v>
      </c>
      <c r="P902" t="s">
        <v>41</v>
      </c>
      <c r="Q902" s="3" t="str">
        <f t="shared" si="313"/>
        <v>East</v>
      </c>
      <c r="R902" t="s">
        <v>185</v>
      </c>
      <c r="S902" t="s">
        <v>186</v>
      </c>
      <c r="T902" t="s">
        <v>85</v>
      </c>
      <c r="U902" s="3" t="str">
        <f t="shared" si="314"/>
        <v>Technology</v>
      </c>
      <c r="V902" t="s">
        <v>93</v>
      </c>
      <c r="W902" t="s">
        <v>936</v>
      </c>
      <c r="X902" t="s">
        <v>66</v>
      </c>
      <c r="Y902" s="3" t="str">
        <f t="shared" si="315"/>
        <v>Standard Class</v>
      </c>
      <c r="Z902">
        <v>3</v>
      </c>
      <c r="AA902">
        <v>1711.32</v>
      </c>
      <c r="AB902">
        <v>0</v>
      </c>
      <c r="AC902">
        <f t="shared" si="316"/>
        <v>0</v>
      </c>
      <c r="AD902" t="str">
        <f t="shared" si="319"/>
        <v>Valid</v>
      </c>
      <c r="AE902">
        <v>5133.96</v>
      </c>
      <c r="AF902">
        <v>3930</v>
      </c>
      <c r="AG902">
        <v>1203.96</v>
      </c>
      <c r="AH902" t="s">
        <v>33</v>
      </c>
      <c r="AI902" t="str">
        <f t="shared" si="320"/>
        <v>Include</v>
      </c>
      <c r="AJ902" t="str">
        <f t="shared" si="321"/>
        <v/>
      </c>
      <c r="AK902" t="s">
        <v>34</v>
      </c>
      <c r="AL902" t="str">
        <f t="shared" si="317"/>
        <v>Completed</v>
      </c>
      <c r="AM902" t="str">
        <f t="shared" si="322"/>
        <v>Include</v>
      </c>
      <c r="AN902">
        <f t="shared" si="323"/>
        <v>5133.96</v>
      </c>
      <c r="AO902">
        <f t="shared" si="324"/>
        <v>1203.96</v>
      </c>
      <c r="AP902">
        <f>IF(AN902=0,0,AO902/AN902)</f>
        <v>0.23450903396208775</v>
      </c>
      <c r="AQ902" t="str">
        <f t="shared" si="325"/>
        <v>September</v>
      </c>
      <c r="AR902">
        <f t="shared" si="326"/>
        <v>2025</v>
      </c>
      <c r="AS902" t="str">
        <f t="shared" si="327"/>
        <v>Clean</v>
      </c>
      <c r="AT902" t="str">
        <f>IF(OR(AC902&lt;0,AC902&gt;0.5),"Invalid Discount","Valid")</f>
        <v>Valid</v>
      </c>
      <c r="AU902" t="str">
        <f>IF(G902&lt;E902,"Invalid Shipping Record","Valid")</f>
        <v>Valid</v>
      </c>
      <c r="AV902" t="str">
        <f>IF(OR(AL902="Cancelled",AH902="Failed"),"Exclude","Include")</f>
        <v>Include</v>
      </c>
      <c r="AW902" t="str">
        <f t="shared" si="328"/>
        <v>Match</v>
      </c>
      <c r="AX902" t="str">
        <f t="shared" si="329"/>
        <v>Match</v>
      </c>
    </row>
    <row r="903" spans="1:50">
      <c r="A903" t="s">
        <v>933</v>
      </c>
      <c r="B903">
        <f t="shared" si="308"/>
        <v>2</v>
      </c>
      <c r="C903" t="str">
        <f t="shared" si="318"/>
        <v>Review Required</v>
      </c>
      <c r="D903" s="3" t="s">
        <v>111</v>
      </c>
      <c r="E903" s="7">
        <v>45907</v>
      </c>
      <c r="F903" s="3" t="s">
        <v>934</v>
      </c>
      <c r="G903" s="7">
        <v>45915</v>
      </c>
      <c r="H903" s="7" t="str">
        <f t="shared" si="309"/>
        <v>Valid</v>
      </c>
      <c r="I903" s="9">
        <f t="shared" si="310"/>
        <v>8</v>
      </c>
      <c r="J903" s="9" t="str">
        <f t="shared" si="311"/>
        <v>Valid</v>
      </c>
      <c r="K903" t="s">
        <v>935</v>
      </c>
      <c r="L903" t="s">
        <v>179</v>
      </c>
      <c r="M903" t="s">
        <v>179</v>
      </c>
      <c r="N903" t="s">
        <v>107</v>
      </c>
      <c r="O903" s="3" t="str">
        <f t="shared" si="312"/>
        <v>Corporate</v>
      </c>
      <c r="P903" t="s">
        <v>41</v>
      </c>
      <c r="Q903" s="3" t="str">
        <f t="shared" si="313"/>
        <v>East</v>
      </c>
      <c r="R903" t="s">
        <v>185</v>
      </c>
      <c r="S903" t="s">
        <v>186</v>
      </c>
      <c r="T903" t="s">
        <v>85</v>
      </c>
      <c r="U903" s="3" t="str">
        <f t="shared" si="314"/>
        <v>Technology</v>
      </c>
      <c r="V903" t="s">
        <v>93</v>
      </c>
      <c r="W903" t="s">
        <v>936</v>
      </c>
      <c r="X903" t="s">
        <v>66</v>
      </c>
      <c r="Y903" s="3" t="str">
        <f t="shared" si="315"/>
        <v>Standard Class</v>
      </c>
      <c r="Z903">
        <v>3</v>
      </c>
      <c r="AA903">
        <v>1711.32</v>
      </c>
      <c r="AB903">
        <v>0</v>
      </c>
      <c r="AC903">
        <f t="shared" si="316"/>
        <v>0</v>
      </c>
      <c r="AD903" t="str">
        <f t="shared" si="319"/>
        <v>Valid</v>
      </c>
      <c r="AE903">
        <v>5206.53</v>
      </c>
      <c r="AF903">
        <v>3930</v>
      </c>
      <c r="AG903">
        <v>1203.96</v>
      </c>
      <c r="AH903" t="s">
        <v>33</v>
      </c>
      <c r="AI903" t="str">
        <f t="shared" si="320"/>
        <v>Include</v>
      </c>
      <c r="AJ903" t="str">
        <f t="shared" si="321"/>
        <v/>
      </c>
      <c r="AK903" t="s">
        <v>124</v>
      </c>
      <c r="AL903" t="str">
        <f t="shared" si="317"/>
        <v>Returned</v>
      </c>
      <c r="AM903" t="str">
        <f t="shared" si="322"/>
        <v>Include</v>
      </c>
      <c r="AN903">
        <f t="shared" si="323"/>
        <v>5133.96</v>
      </c>
      <c r="AO903">
        <f t="shared" si="324"/>
        <v>1203.96</v>
      </c>
      <c r="AP903">
        <f>IF(AN903=0,0,AO903/AN903)</f>
        <v>0.23450903396208775</v>
      </c>
      <c r="AQ903" t="str">
        <f t="shared" si="325"/>
        <v>September</v>
      </c>
      <c r="AR903">
        <f t="shared" si="326"/>
        <v>2025</v>
      </c>
      <c r="AS903" t="str">
        <f t="shared" si="327"/>
        <v>Clean</v>
      </c>
      <c r="AT903" t="str">
        <f>IF(OR(AC903&lt;0,AC903&gt;0.5),"Invalid Discount","Valid")</f>
        <v>Valid</v>
      </c>
      <c r="AU903" t="str">
        <f>IF(G903&lt;E903,"Invalid Shipping Record","Valid")</f>
        <v>Valid</v>
      </c>
      <c r="AV903" t="str">
        <f>IF(OR(AL903="Cancelled",AH903="Failed"),"Exclude","Include")</f>
        <v>Include</v>
      </c>
      <c r="AW903" t="str">
        <f t="shared" si="328"/>
        <v>Mismatch</v>
      </c>
      <c r="AX903" t="str">
        <f t="shared" si="329"/>
        <v>Match</v>
      </c>
    </row>
    <row r="904" spans="1:50">
      <c r="A904" t="s">
        <v>1188</v>
      </c>
      <c r="B904">
        <f t="shared" si="308"/>
        <v>2</v>
      </c>
      <c r="C904" t="str">
        <f t="shared" si="318"/>
        <v>Review Required</v>
      </c>
      <c r="D904" s="3" t="s">
        <v>1189</v>
      </c>
      <c r="E904" s="7">
        <v>45932</v>
      </c>
      <c r="F904" s="3" t="s">
        <v>1190</v>
      </c>
      <c r="G904" s="7">
        <v>45938</v>
      </c>
      <c r="H904" s="7" t="str">
        <f t="shared" si="309"/>
        <v>Valid</v>
      </c>
      <c r="I904" s="9">
        <f t="shared" si="310"/>
        <v>6</v>
      </c>
      <c r="J904" s="9" t="str">
        <f t="shared" si="311"/>
        <v>Valid</v>
      </c>
      <c r="K904" t="s">
        <v>1191</v>
      </c>
      <c r="L904" t="s">
        <v>52</v>
      </c>
      <c r="M904" t="s">
        <v>52</v>
      </c>
      <c r="N904" t="s">
        <v>40</v>
      </c>
      <c r="O904" s="3" t="str">
        <f t="shared" si="312"/>
        <v>Small Business</v>
      </c>
      <c r="P904" t="s">
        <v>26</v>
      </c>
      <c r="Q904" s="3" t="str">
        <f t="shared" si="313"/>
        <v>North</v>
      </c>
      <c r="R904" t="s">
        <v>153</v>
      </c>
      <c r="S904" t="s">
        <v>154</v>
      </c>
      <c r="T904" t="s">
        <v>44</v>
      </c>
      <c r="U904" s="3" t="str">
        <f t="shared" si="314"/>
        <v>Furniture</v>
      </c>
      <c r="V904" t="s">
        <v>64</v>
      </c>
      <c r="W904" t="s">
        <v>1192</v>
      </c>
      <c r="X904" t="s">
        <v>66</v>
      </c>
      <c r="Y904" s="3" t="str">
        <f t="shared" si="315"/>
        <v>Standard Class</v>
      </c>
      <c r="Z904">
        <v>4</v>
      </c>
      <c r="AA904">
        <v>3944.64</v>
      </c>
      <c r="AB904">
        <v>0.25</v>
      </c>
      <c r="AC904">
        <f t="shared" si="316"/>
        <v>0.25</v>
      </c>
      <c r="AD904" t="str">
        <f t="shared" si="319"/>
        <v>Valid</v>
      </c>
      <c r="AE904">
        <v>11833.92</v>
      </c>
      <c r="AF904">
        <v>6682.92</v>
      </c>
      <c r="AG904">
        <v>5151</v>
      </c>
      <c r="AH904" t="s">
        <v>33</v>
      </c>
      <c r="AI904" t="str">
        <f t="shared" si="320"/>
        <v>Exclude</v>
      </c>
      <c r="AJ904" t="str">
        <f t="shared" si="321"/>
        <v/>
      </c>
      <c r="AK904" t="s">
        <v>77</v>
      </c>
      <c r="AL904" t="str">
        <f t="shared" si="317"/>
        <v>Cancelled</v>
      </c>
      <c r="AM904" t="str">
        <f t="shared" si="322"/>
        <v>Exclude</v>
      </c>
      <c r="AN904">
        <f t="shared" si="323"/>
        <v>11833.92</v>
      </c>
      <c r="AO904">
        <f t="shared" si="324"/>
        <v>5151</v>
      </c>
      <c r="AP904">
        <f>IF(AN904=0,0,AO904/AN904)</f>
        <v>0.43527419485681834</v>
      </c>
      <c r="AQ904" t="str">
        <f t="shared" si="325"/>
        <v>October</v>
      </c>
      <c r="AR904">
        <f t="shared" si="326"/>
        <v>2025</v>
      </c>
      <c r="AS904" t="str">
        <f t="shared" si="327"/>
        <v>Clean</v>
      </c>
      <c r="AT904" t="str">
        <f>IF(OR(AC904&lt;0,AC904&gt;0.5),"Invalid Discount","Valid")</f>
        <v>Valid</v>
      </c>
      <c r="AU904" t="str">
        <f>IF(G904&lt;E904,"Invalid Shipping Record","Valid")</f>
        <v>Valid</v>
      </c>
      <c r="AV904" t="str">
        <f>IF(OR(AL904="Cancelled",AH904="Failed"),"Exclude","Include")</f>
        <v>Exclude</v>
      </c>
      <c r="AW904" t="str">
        <f t="shared" si="328"/>
        <v>Match</v>
      </c>
      <c r="AX904" t="str">
        <f t="shared" si="329"/>
        <v>Match</v>
      </c>
    </row>
    <row r="905" spans="1:50">
      <c r="A905" t="s">
        <v>1188</v>
      </c>
      <c r="B905">
        <f t="shared" si="308"/>
        <v>2</v>
      </c>
      <c r="C905" t="str">
        <f t="shared" si="318"/>
        <v>Review Required</v>
      </c>
      <c r="D905" s="3" t="s">
        <v>1189</v>
      </c>
      <c r="E905" s="7">
        <v>45932</v>
      </c>
      <c r="F905" s="3" t="s">
        <v>1190</v>
      </c>
      <c r="G905" s="7">
        <v>45938</v>
      </c>
      <c r="H905" s="7" t="str">
        <f t="shared" si="309"/>
        <v>Valid</v>
      </c>
      <c r="I905" s="9">
        <f t="shared" si="310"/>
        <v>6</v>
      </c>
      <c r="J905" s="9" t="str">
        <f t="shared" si="311"/>
        <v>Valid</v>
      </c>
      <c r="K905" t="s">
        <v>1191</v>
      </c>
      <c r="L905" t="s">
        <v>52</v>
      </c>
      <c r="M905" t="s">
        <v>52</v>
      </c>
      <c r="N905" t="s">
        <v>40</v>
      </c>
      <c r="O905" s="3" t="str">
        <f t="shared" si="312"/>
        <v>Small Business</v>
      </c>
      <c r="P905" t="s">
        <v>26</v>
      </c>
      <c r="Q905" s="3" t="str">
        <f t="shared" si="313"/>
        <v>North</v>
      </c>
      <c r="R905" t="s">
        <v>153</v>
      </c>
      <c r="S905" t="s">
        <v>154</v>
      </c>
      <c r="T905" t="s">
        <v>44</v>
      </c>
      <c r="U905" s="3" t="str">
        <f t="shared" si="314"/>
        <v>Furniture</v>
      </c>
      <c r="V905" t="s">
        <v>64</v>
      </c>
      <c r="W905" t="s">
        <v>1192</v>
      </c>
      <c r="X905" t="s">
        <v>66</v>
      </c>
      <c r="Y905" s="3" t="str">
        <f t="shared" si="315"/>
        <v>Standard Class</v>
      </c>
      <c r="Z905">
        <v>4</v>
      </c>
      <c r="AA905">
        <v>3944.64</v>
      </c>
      <c r="AB905">
        <v>0.25</v>
      </c>
      <c r="AC905">
        <f t="shared" si="316"/>
        <v>0.25</v>
      </c>
      <c r="AD905" t="str">
        <f t="shared" si="319"/>
        <v>Valid</v>
      </c>
      <c r="AE905">
        <v>12116.89</v>
      </c>
      <c r="AF905">
        <v>6682.92</v>
      </c>
      <c r="AG905">
        <v>5151</v>
      </c>
      <c r="AH905" t="s">
        <v>33</v>
      </c>
      <c r="AI905" t="str">
        <f t="shared" si="320"/>
        <v>Include</v>
      </c>
      <c r="AJ905" t="str">
        <f t="shared" si="321"/>
        <v/>
      </c>
      <c r="AK905" t="s">
        <v>124</v>
      </c>
      <c r="AL905" t="str">
        <f t="shared" si="317"/>
        <v>Returned</v>
      </c>
      <c r="AM905" t="str">
        <f t="shared" si="322"/>
        <v>Include</v>
      </c>
      <c r="AN905">
        <f t="shared" si="323"/>
        <v>11833.92</v>
      </c>
      <c r="AO905">
        <f t="shared" si="324"/>
        <v>5151</v>
      </c>
      <c r="AP905">
        <f>IF(AN905=0,0,AO905/AN905)</f>
        <v>0.43527419485681834</v>
      </c>
      <c r="AQ905" t="str">
        <f t="shared" si="325"/>
        <v>October</v>
      </c>
      <c r="AR905">
        <f t="shared" si="326"/>
        <v>2025</v>
      </c>
      <c r="AS905" t="str">
        <f t="shared" si="327"/>
        <v>Clean</v>
      </c>
      <c r="AT905" t="str">
        <f>IF(OR(AC905&lt;0,AC905&gt;0.5),"Invalid Discount","Valid")</f>
        <v>Valid</v>
      </c>
      <c r="AU905" t="str">
        <f>IF(G905&lt;E905,"Invalid Shipping Record","Valid")</f>
        <v>Valid</v>
      </c>
      <c r="AV905" t="str">
        <f>IF(OR(AL905="Cancelled",AH905="Failed"),"Exclude","Include")</f>
        <v>Include</v>
      </c>
      <c r="AW905" t="str">
        <f t="shared" si="328"/>
        <v>Mismatch</v>
      </c>
      <c r="AX905" t="str">
        <f t="shared" si="329"/>
        <v>Match</v>
      </c>
    </row>
    <row r="906" spans="1:50">
      <c r="A906" t="s">
        <v>1601</v>
      </c>
      <c r="B906">
        <f t="shared" si="308"/>
        <v>2</v>
      </c>
      <c r="C906" t="str">
        <f t="shared" si="318"/>
        <v>Review Required</v>
      </c>
      <c r="D906" s="3" t="s">
        <v>1103</v>
      </c>
      <c r="E906" s="7">
        <v>45795</v>
      </c>
      <c r="F906" s="3" t="s">
        <v>117</v>
      </c>
      <c r="G906" s="7">
        <v>45797</v>
      </c>
      <c r="H906" s="7" t="str">
        <f t="shared" si="309"/>
        <v>Valid</v>
      </c>
      <c r="I906" s="9">
        <f t="shared" si="310"/>
        <v>2</v>
      </c>
      <c r="J906" s="9" t="str">
        <f t="shared" si="311"/>
        <v>Valid</v>
      </c>
      <c r="K906" t="s">
        <v>1602</v>
      </c>
      <c r="L906" t="s">
        <v>52</v>
      </c>
      <c r="M906" t="s">
        <v>52</v>
      </c>
      <c r="N906" t="s">
        <v>107</v>
      </c>
      <c r="O906" s="3" t="str">
        <f t="shared" si="312"/>
        <v>Corporate</v>
      </c>
      <c r="P906" t="s">
        <v>72</v>
      </c>
      <c r="Q906" s="3" t="str">
        <f t="shared" si="313"/>
        <v>West</v>
      </c>
      <c r="R906" t="s">
        <v>83</v>
      </c>
      <c r="S906" t="s">
        <v>84</v>
      </c>
      <c r="T906" t="s">
        <v>29</v>
      </c>
      <c r="U906" s="3" t="str">
        <f t="shared" si="314"/>
        <v>Office Supplies</v>
      </c>
      <c r="V906" t="s">
        <v>108</v>
      </c>
      <c r="W906" t="s">
        <v>1603</v>
      </c>
      <c r="X906" t="s">
        <v>66</v>
      </c>
      <c r="Y906" s="3" t="str">
        <f t="shared" si="315"/>
        <v>Standard Class</v>
      </c>
      <c r="Z906">
        <v>9</v>
      </c>
      <c r="AA906">
        <v>847.76</v>
      </c>
      <c r="AB906">
        <v>0.15</v>
      </c>
      <c r="AC906">
        <f t="shared" si="316"/>
        <v>0.15</v>
      </c>
      <c r="AD906" t="str">
        <f t="shared" si="319"/>
        <v>Valid</v>
      </c>
      <c r="AE906">
        <v>6485.36</v>
      </c>
      <c r="AF906">
        <v>5376.17</v>
      </c>
      <c r="AG906">
        <v>1109.19</v>
      </c>
      <c r="AH906" t="s">
        <v>199</v>
      </c>
      <c r="AI906" t="str">
        <f t="shared" si="320"/>
        <v>Exclude</v>
      </c>
      <c r="AJ906" t="str">
        <f t="shared" si="321"/>
        <v/>
      </c>
      <c r="AK906" t="s">
        <v>124</v>
      </c>
      <c r="AL906" t="str">
        <f t="shared" si="317"/>
        <v>Returned</v>
      </c>
      <c r="AM906" t="str">
        <f t="shared" si="322"/>
        <v>Include</v>
      </c>
      <c r="AN906">
        <f t="shared" si="323"/>
        <v>6485.3639999999996</v>
      </c>
      <c r="AO906">
        <f t="shared" si="324"/>
        <v>1109.1939999999995</v>
      </c>
      <c r="AP906">
        <f>IF(AN906=0,0,AO906/AN906)</f>
        <v>0.17103033846673826</v>
      </c>
      <c r="AQ906" t="str">
        <f t="shared" si="325"/>
        <v>May</v>
      </c>
      <c r="AR906">
        <f t="shared" si="326"/>
        <v>2025</v>
      </c>
      <c r="AS906" t="str">
        <f t="shared" si="327"/>
        <v>Clean</v>
      </c>
      <c r="AT906" t="str">
        <f>IF(OR(AC906&lt;0,AC906&gt;0.5),"Invalid Discount","Valid")</f>
        <v>Valid</v>
      </c>
      <c r="AU906" t="str">
        <f>IF(G906&lt;E906,"Invalid Shipping Record","Valid")</f>
        <v>Valid</v>
      </c>
      <c r="AV906" t="str">
        <f>IF(OR(AL906="Cancelled",AH906="Failed"),"Exclude","Include")</f>
        <v>Exclude</v>
      </c>
      <c r="AW906" t="str">
        <f t="shared" si="328"/>
        <v>Match</v>
      </c>
      <c r="AX906" t="str">
        <f t="shared" si="329"/>
        <v>Match</v>
      </c>
    </row>
    <row r="907" spans="1:50">
      <c r="A907" t="s">
        <v>1601</v>
      </c>
      <c r="B907">
        <f t="shared" si="308"/>
        <v>2</v>
      </c>
      <c r="C907" t="str">
        <f t="shared" si="318"/>
        <v>Review Required</v>
      </c>
      <c r="D907" s="3" t="s">
        <v>1103</v>
      </c>
      <c r="E907" s="7">
        <v>45795</v>
      </c>
      <c r="F907" s="3" t="s">
        <v>117</v>
      </c>
      <c r="G907" s="7">
        <v>45797</v>
      </c>
      <c r="H907" s="7" t="str">
        <f t="shared" si="309"/>
        <v>Valid</v>
      </c>
      <c r="I907" s="9">
        <f t="shared" si="310"/>
        <v>2</v>
      </c>
      <c r="J907" s="9" t="str">
        <f t="shared" si="311"/>
        <v>Valid</v>
      </c>
      <c r="K907" t="s">
        <v>1602</v>
      </c>
      <c r="L907" t="s">
        <v>52</v>
      </c>
      <c r="M907" t="s">
        <v>52</v>
      </c>
      <c r="N907" t="s">
        <v>107</v>
      </c>
      <c r="O907" s="3" t="str">
        <f t="shared" si="312"/>
        <v>Corporate</v>
      </c>
      <c r="P907" t="s">
        <v>72</v>
      </c>
      <c r="Q907" s="3" t="str">
        <f t="shared" si="313"/>
        <v>West</v>
      </c>
      <c r="R907" t="s">
        <v>83</v>
      </c>
      <c r="S907" t="s">
        <v>84</v>
      </c>
      <c r="T907" t="s">
        <v>29</v>
      </c>
      <c r="U907" s="3" t="str">
        <f t="shared" si="314"/>
        <v>Office Supplies</v>
      </c>
      <c r="V907" t="s">
        <v>108</v>
      </c>
      <c r="W907" t="s">
        <v>1603</v>
      </c>
      <c r="X907" t="s">
        <v>66</v>
      </c>
      <c r="Y907" s="3" t="str">
        <f t="shared" si="315"/>
        <v>Standard Class</v>
      </c>
      <c r="Z907">
        <v>9</v>
      </c>
      <c r="AA907">
        <v>847.76</v>
      </c>
      <c r="AB907">
        <v>0.15</v>
      </c>
      <c r="AC907">
        <f t="shared" si="316"/>
        <v>0.15</v>
      </c>
      <c r="AD907" t="str">
        <f t="shared" si="319"/>
        <v>Valid</v>
      </c>
      <c r="AE907">
        <v>6589.37</v>
      </c>
      <c r="AF907">
        <v>5376.17</v>
      </c>
      <c r="AG907">
        <v>1109.19</v>
      </c>
      <c r="AH907" t="s">
        <v>199</v>
      </c>
      <c r="AI907" t="str">
        <f t="shared" si="320"/>
        <v>Exclude</v>
      </c>
      <c r="AJ907" t="str">
        <f t="shared" si="321"/>
        <v/>
      </c>
      <c r="AK907" t="s">
        <v>34</v>
      </c>
      <c r="AL907" t="str">
        <f t="shared" si="317"/>
        <v>Completed</v>
      </c>
      <c r="AM907" t="str">
        <f t="shared" si="322"/>
        <v>Include</v>
      </c>
      <c r="AN907">
        <f t="shared" si="323"/>
        <v>6485.3639999999996</v>
      </c>
      <c r="AO907">
        <f t="shared" si="324"/>
        <v>1109.1939999999995</v>
      </c>
      <c r="AP907">
        <f>IF(AN907=0,0,AO907/AN907)</f>
        <v>0.17103033846673826</v>
      </c>
      <c r="AQ907" t="str">
        <f t="shared" si="325"/>
        <v>May</v>
      </c>
      <c r="AR907">
        <f t="shared" si="326"/>
        <v>2025</v>
      </c>
      <c r="AS907" t="str">
        <f t="shared" si="327"/>
        <v>Clean</v>
      </c>
      <c r="AT907" t="str">
        <f>IF(OR(AC907&lt;0,AC907&gt;0.5),"Invalid Discount","Valid")</f>
        <v>Valid</v>
      </c>
      <c r="AU907" t="str">
        <f>IF(G907&lt;E907,"Invalid Shipping Record","Valid")</f>
        <v>Valid</v>
      </c>
      <c r="AV907" t="str">
        <f>IF(OR(AL907="Cancelled",AH907="Failed"),"Exclude","Include")</f>
        <v>Exclude</v>
      </c>
      <c r="AW907" t="str">
        <f t="shared" si="328"/>
        <v>Mismatch</v>
      </c>
      <c r="AX907" t="str">
        <f t="shared" si="329"/>
        <v>Match</v>
      </c>
    </row>
    <row r="908" spans="1:50">
      <c r="A908" t="s">
        <v>1696</v>
      </c>
      <c r="B908">
        <f t="shared" si="308"/>
        <v>2</v>
      </c>
      <c r="C908" t="str">
        <f t="shared" si="318"/>
        <v>Review Required</v>
      </c>
      <c r="D908" s="3" t="s">
        <v>1697</v>
      </c>
      <c r="E908" s="7">
        <v>45824</v>
      </c>
      <c r="F908" s="3" t="s">
        <v>1698</v>
      </c>
      <c r="G908" s="7">
        <v>45826</v>
      </c>
      <c r="H908" s="7" t="str">
        <f t="shared" si="309"/>
        <v>Valid</v>
      </c>
      <c r="I908" s="9">
        <f t="shared" si="310"/>
        <v>2</v>
      </c>
      <c r="J908" s="9" t="str">
        <f t="shared" si="311"/>
        <v>Valid</v>
      </c>
      <c r="K908" t="s">
        <v>1699</v>
      </c>
      <c r="L908" t="s">
        <v>147</v>
      </c>
      <c r="M908" t="s">
        <v>147</v>
      </c>
      <c r="N908" t="s">
        <v>114</v>
      </c>
      <c r="O908" s="3" t="str">
        <f t="shared" si="312"/>
        <v>Home Office</v>
      </c>
      <c r="P908" t="s">
        <v>72</v>
      </c>
      <c r="Q908" s="3" t="str">
        <f t="shared" si="313"/>
        <v>West</v>
      </c>
      <c r="R908" t="s">
        <v>83</v>
      </c>
      <c r="S908" t="s">
        <v>84</v>
      </c>
      <c r="T908" t="s">
        <v>29</v>
      </c>
      <c r="U908" s="3" t="str">
        <f t="shared" si="314"/>
        <v>Office Supplies</v>
      </c>
      <c r="V908" t="s">
        <v>30</v>
      </c>
      <c r="W908" t="s">
        <v>1700</v>
      </c>
      <c r="X908" t="s">
        <v>55</v>
      </c>
      <c r="Y908" s="3" t="str">
        <f t="shared" si="315"/>
        <v>First Class</v>
      </c>
      <c r="Z908">
        <v>3</v>
      </c>
      <c r="AA908">
        <v>4289.37</v>
      </c>
      <c r="AB908">
        <v>0.1</v>
      </c>
      <c r="AC908">
        <f t="shared" si="316"/>
        <v>0.1</v>
      </c>
      <c r="AD908" t="str">
        <f t="shared" si="319"/>
        <v>Valid</v>
      </c>
      <c r="AE908">
        <v>11581.3</v>
      </c>
      <c r="AF908">
        <v>6829.43</v>
      </c>
      <c r="AG908">
        <v>4751.87</v>
      </c>
      <c r="AH908" t="s">
        <v>33</v>
      </c>
      <c r="AI908" t="str">
        <f t="shared" si="320"/>
        <v>Include</v>
      </c>
      <c r="AJ908" t="str">
        <f t="shared" si="321"/>
        <v/>
      </c>
      <c r="AK908" t="s">
        <v>34</v>
      </c>
      <c r="AL908" t="str">
        <f t="shared" si="317"/>
        <v>Completed</v>
      </c>
      <c r="AM908" t="str">
        <f t="shared" si="322"/>
        <v>Include</v>
      </c>
      <c r="AN908">
        <f t="shared" si="323"/>
        <v>11581.299000000001</v>
      </c>
      <c r="AO908">
        <f t="shared" si="324"/>
        <v>4751.8690000000006</v>
      </c>
      <c r="AP908">
        <f>IF(AN908=0,0,AO908/AN908)</f>
        <v>0.41030535521101735</v>
      </c>
      <c r="AQ908" t="str">
        <f t="shared" si="325"/>
        <v>June</v>
      </c>
      <c r="AR908">
        <f t="shared" si="326"/>
        <v>2025</v>
      </c>
      <c r="AS908" t="str">
        <f t="shared" si="327"/>
        <v>Clean</v>
      </c>
      <c r="AT908" t="str">
        <f>IF(OR(AC908&lt;0,AC908&gt;0.5),"Invalid Discount","Valid")</f>
        <v>Valid</v>
      </c>
      <c r="AU908" t="str">
        <f>IF(G908&lt;E908,"Invalid Shipping Record","Valid")</f>
        <v>Valid</v>
      </c>
      <c r="AV908" t="str">
        <f>IF(OR(AL908="Cancelled",AH908="Failed"),"Exclude","Include")</f>
        <v>Include</v>
      </c>
      <c r="AW908" t="str">
        <f t="shared" si="328"/>
        <v>Match</v>
      </c>
      <c r="AX908" t="str">
        <f t="shared" si="329"/>
        <v>Match</v>
      </c>
    </row>
    <row r="909" spans="1:50">
      <c r="A909" t="s">
        <v>1696</v>
      </c>
      <c r="B909">
        <f t="shared" si="308"/>
        <v>2</v>
      </c>
      <c r="C909" t="str">
        <f t="shared" si="318"/>
        <v>Review Required</v>
      </c>
      <c r="D909" s="3" t="s">
        <v>1697</v>
      </c>
      <c r="E909" s="7">
        <v>45824</v>
      </c>
      <c r="F909" s="3" t="s">
        <v>1698</v>
      </c>
      <c r="G909" s="7">
        <v>45826</v>
      </c>
      <c r="H909" s="7" t="str">
        <f t="shared" si="309"/>
        <v>Valid</v>
      </c>
      <c r="I909" s="9">
        <f t="shared" si="310"/>
        <v>2</v>
      </c>
      <c r="J909" s="9" t="str">
        <f t="shared" si="311"/>
        <v>Valid</v>
      </c>
      <c r="K909" t="s">
        <v>1699</v>
      </c>
      <c r="L909" t="s">
        <v>147</v>
      </c>
      <c r="M909" t="s">
        <v>147</v>
      </c>
      <c r="N909" t="s">
        <v>114</v>
      </c>
      <c r="O909" s="3" t="str">
        <f t="shared" si="312"/>
        <v>Home Office</v>
      </c>
      <c r="P909" t="s">
        <v>72</v>
      </c>
      <c r="Q909" s="3" t="str">
        <f t="shared" si="313"/>
        <v>West</v>
      </c>
      <c r="R909" t="s">
        <v>83</v>
      </c>
      <c r="S909" t="s">
        <v>84</v>
      </c>
      <c r="T909" t="s">
        <v>29</v>
      </c>
      <c r="U909" s="3" t="str">
        <f t="shared" si="314"/>
        <v>Office Supplies</v>
      </c>
      <c r="V909" t="s">
        <v>30</v>
      </c>
      <c r="W909" t="s">
        <v>1700</v>
      </c>
      <c r="X909" t="s">
        <v>55</v>
      </c>
      <c r="Y909" s="3" t="str">
        <f t="shared" si="315"/>
        <v>First Class</v>
      </c>
      <c r="Z909">
        <v>3</v>
      </c>
      <c r="AA909">
        <v>4289.37</v>
      </c>
      <c r="AB909">
        <v>0.1</v>
      </c>
      <c r="AC909">
        <f t="shared" si="316"/>
        <v>0.1</v>
      </c>
      <c r="AD909" t="str">
        <f t="shared" si="319"/>
        <v>Valid</v>
      </c>
      <c r="AE909">
        <v>11778.71</v>
      </c>
      <c r="AF909">
        <v>6829.43</v>
      </c>
      <c r="AG909">
        <v>4751.87</v>
      </c>
      <c r="AH909" t="s">
        <v>33</v>
      </c>
      <c r="AI909" t="str">
        <f t="shared" si="320"/>
        <v>Include</v>
      </c>
      <c r="AJ909" t="str">
        <f t="shared" si="321"/>
        <v/>
      </c>
      <c r="AK909" t="s">
        <v>124</v>
      </c>
      <c r="AL909" t="str">
        <f t="shared" si="317"/>
        <v>Returned</v>
      </c>
      <c r="AM909" t="str">
        <f t="shared" si="322"/>
        <v>Include</v>
      </c>
      <c r="AN909">
        <f t="shared" si="323"/>
        <v>11581.299000000001</v>
      </c>
      <c r="AO909">
        <f t="shared" si="324"/>
        <v>4751.8690000000006</v>
      </c>
      <c r="AP909">
        <f>IF(AN909=0,0,AO909/AN909)</f>
        <v>0.41030535521101735</v>
      </c>
      <c r="AQ909" t="str">
        <f t="shared" si="325"/>
        <v>June</v>
      </c>
      <c r="AR909">
        <f t="shared" si="326"/>
        <v>2025</v>
      </c>
      <c r="AS909" t="str">
        <f t="shared" si="327"/>
        <v>Clean</v>
      </c>
      <c r="AT909" t="str">
        <f>IF(OR(AC909&lt;0,AC909&gt;0.5),"Invalid Discount","Valid")</f>
        <v>Valid</v>
      </c>
      <c r="AU909" t="str">
        <f>IF(G909&lt;E909,"Invalid Shipping Record","Valid")</f>
        <v>Valid</v>
      </c>
      <c r="AV909" t="str">
        <f>IF(OR(AL909="Cancelled",AH909="Failed"),"Exclude","Include")</f>
        <v>Include</v>
      </c>
      <c r="AW909" t="str">
        <f t="shared" si="328"/>
        <v>Mismatch</v>
      </c>
      <c r="AX909" t="str">
        <f t="shared" si="329"/>
        <v>Match</v>
      </c>
    </row>
    <row r="910" spans="1:50">
      <c r="A910" t="s">
        <v>1860</v>
      </c>
      <c r="B910">
        <f t="shared" si="308"/>
        <v>2</v>
      </c>
      <c r="C910" t="str">
        <f t="shared" si="318"/>
        <v>Review Required</v>
      </c>
      <c r="D910" s="3" t="s">
        <v>1861</v>
      </c>
      <c r="E910" s="7">
        <v>45760</v>
      </c>
      <c r="F910" s="3" t="s">
        <v>1861</v>
      </c>
      <c r="G910" s="7">
        <v>45760</v>
      </c>
      <c r="H910" s="7" t="str">
        <f t="shared" si="309"/>
        <v>Valid</v>
      </c>
      <c r="I910" s="9">
        <f t="shared" si="310"/>
        <v>0</v>
      </c>
      <c r="J910" s="9" t="str">
        <f t="shared" si="311"/>
        <v>Valid</v>
      </c>
      <c r="K910" t="s">
        <v>1862</v>
      </c>
      <c r="L910" t="s">
        <v>167</v>
      </c>
      <c r="M910" t="s">
        <v>167</v>
      </c>
      <c r="N910" t="s">
        <v>40</v>
      </c>
      <c r="O910" s="3" t="str">
        <f t="shared" si="312"/>
        <v>Small Business</v>
      </c>
      <c r="P910" t="s">
        <v>26</v>
      </c>
      <c r="Q910" s="3" t="str">
        <f t="shared" si="313"/>
        <v>North</v>
      </c>
      <c r="R910" t="s">
        <v>173</v>
      </c>
      <c r="S910" t="s">
        <v>174</v>
      </c>
      <c r="T910" t="s">
        <v>29</v>
      </c>
      <c r="U910" s="3" t="str">
        <f t="shared" si="314"/>
        <v>Office Supplies</v>
      </c>
      <c r="V910" t="s">
        <v>155</v>
      </c>
      <c r="W910" t="s">
        <v>1863</v>
      </c>
      <c r="X910" t="s">
        <v>32</v>
      </c>
      <c r="Y910" s="3" t="str">
        <f t="shared" si="315"/>
        <v>Second Class</v>
      </c>
      <c r="Z910">
        <v>9</v>
      </c>
      <c r="AA910">
        <v>1118.68</v>
      </c>
      <c r="AB910">
        <v>0</v>
      </c>
      <c r="AC910">
        <f t="shared" si="316"/>
        <v>0</v>
      </c>
      <c r="AD910" t="str">
        <f t="shared" si="319"/>
        <v>Valid</v>
      </c>
      <c r="AE910">
        <v>10068.120000000001</v>
      </c>
      <c r="AF910">
        <v>8595.3700000000008</v>
      </c>
      <c r="AG910">
        <v>1472.75</v>
      </c>
      <c r="AH910" t="s">
        <v>33</v>
      </c>
      <c r="AI910" t="str">
        <f t="shared" si="320"/>
        <v>Include</v>
      </c>
      <c r="AJ910" t="str">
        <f t="shared" si="321"/>
        <v/>
      </c>
      <c r="AK910" t="s">
        <v>34</v>
      </c>
      <c r="AL910" t="str">
        <f t="shared" si="317"/>
        <v>Completed</v>
      </c>
      <c r="AM910" t="str">
        <f t="shared" si="322"/>
        <v>Include</v>
      </c>
      <c r="AN910">
        <f t="shared" si="323"/>
        <v>10068.120000000001</v>
      </c>
      <c r="AO910">
        <f t="shared" si="324"/>
        <v>1472.75</v>
      </c>
      <c r="AP910">
        <f>IF(AN910=0,0,AO910/AN910)</f>
        <v>0.14627855051389932</v>
      </c>
      <c r="AQ910" t="str">
        <f t="shared" si="325"/>
        <v>April</v>
      </c>
      <c r="AR910">
        <f t="shared" si="326"/>
        <v>2025</v>
      </c>
      <c r="AS910" t="str">
        <f t="shared" si="327"/>
        <v>Clean</v>
      </c>
      <c r="AT910" t="str">
        <f>IF(OR(AC910&lt;0,AC910&gt;0.5),"Invalid Discount","Valid")</f>
        <v>Valid</v>
      </c>
      <c r="AU910" t="str">
        <f>IF(G910&lt;E910,"Invalid Shipping Record","Valid")</f>
        <v>Valid</v>
      </c>
      <c r="AV910" t="str">
        <f>IF(OR(AL910="Cancelled",AH910="Failed"),"Exclude","Include")</f>
        <v>Include</v>
      </c>
      <c r="AW910" t="str">
        <f t="shared" si="328"/>
        <v>Match</v>
      </c>
      <c r="AX910" t="str">
        <f t="shared" si="329"/>
        <v>Match</v>
      </c>
    </row>
    <row r="911" spans="1:50">
      <c r="A911" t="s">
        <v>1860</v>
      </c>
      <c r="B911">
        <f t="shared" si="308"/>
        <v>2</v>
      </c>
      <c r="C911" t="str">
        <f t="shared" si="318"/>
        <v>Review Required</v>
      </c>
      <c r="D911" s="3" t="s">
        <v>1861</v>
      </c>
      <c r="E911" s="7">
        <v>45760</v>
      </c>
      <c r="F911" s="3" t="s">
        <v>1861</v>
      </c>
      <c r="G911" s="7">
        <v>45760</v>
      </c>
      <c r="H911" s="7" t="str">
        <f t="shared" si="309"/>
        <v>Valid</v>
      </c>
      <c r="I911" s="9">
        <f t="shared" si="310"/>
        <v>0</v>
      </c>
      <c r="J911" s="9" t="str">
        <f t="shared" si="311"/>
        <v>Valid</v>
      </c>
      <c r="K911" t="s">
        <v>1862</v>
      </c>
      <c r="L911" t="s">
        <v>167</v>
      </c>
      <c r="M911" t="s">
        <v>167</v>
      </c>
      <c r="N911" t="s">
        <v>40</v>
      </c>
      <c r="O911" s="3" t="str">
        <f t="shared" si="312"/>
        <v>Small Business</v>
      </c>
      <c r="P911" t="s">
        <v>26</v>
      </c>
      <c r="Q911" s="3" t="str">
        <f t="shared" si="313"/>
        <v>North</v>
      </c>
      <c r="R911" t="s">
        <v>173</v>
      </c>
      <c r="S911" t="s">
        <v>174</v>
      </c>
      <c r="T911" t="s">
        <v>29</v>
      </c>
      <c r="U911" s="3" t="str">
        <f t="shared" si="314"/>
        <v>Office Supplies</v>
      </c>
      <c r="V911" t="s">
        <v>155</v>
      </c>
      <c r="W911" t="s">
        <v>1863</v>
      </c>
      <c r="X911" t="s">
        <v>32</v>
      </c>
      <c r="Y911" s="3" t="str">
        <f t="shared" si="315"/>
        <v>Second Class</v>
      </c>
      <c r="Z911">
        <v>9</v>
      </c>
      <c r="AA911">
        <v>1118.68</v>
      </c>
      <c r="AB911">
        <v>0</v>
      </c>
      <c r="AC911">
        <f t="shared" si="316"/>
        <v>0</v>
      </c>
      <c r="AD911" t="str">
        <f t="shared" si="319"/>
        <v>Valid</v>
      </c>
      <c r="AE911">
        <v>10348.43</v>
      </c>
      <c r="AF911">
        <v>8595.3700000000008</v>
      </c>
      <c r="AG911">
        <v>1472.75</v>
      </c>
      <c r="AH911" t="s">
        <v>33</v>
      </c>
      <c r="AI911" t="str">
        <f t="shared" si="320"/>
        <v>Include</v>
      </c>
      <c r="AJ911" t="str">
        <f t="shared" si="321"/>
        <v/>
      </c>
      <c r="AK911" t="s">
        <v>124</v>
      </c>
      <c r="AL911" t="str">
        <f t="shared" si="317"/>
        <v>Returned</v>
      </c>
      <c r="AM911" t="str">
        <f t="shared" si="322"/>
        <v>Include</v>
      </c>
      <c r="AN911">
        <f t="shared" si="323"/>
        <v>10068.120000000001</v>
      </c>
      <c r="AO911">
        <f t="shared" si="324"/>
        <v>1472.75</v>
      </c>
      <c r="AP911">
        <f>IF(AN911=0,0,AO911/AN911)</f>
        <v>0.14627855051389932</v>
      </c>
      <c r="AQ911" t="str">
        <f t="shared" si="325"/>
        <v>April</v>
      </c>
      <c r="AR911">
        <f t="shared" si="326"/>
        <v>2025</v>
      </c>
      <c r="AS911" t="str">
        <f t="shared" si="327"/>
        <v>Clean</v>
      </c>
      <c r="AT911" t="str">
        <f>IF(OR(AC911&lt;0,AC911&gt;0.5),"Invalid Discount","Valid")</f>
        <v>Valid</v>
      </c>
      <c r="AU911" t="str">
        <f>IF(G911&lt;E911,"Invalid Shipping Record","Valid")</f>
        <v>Valid</v>
      </c>
      <c r="AV911" t="str">
        <f>IF(OR(AL911="Cancelled",AH911="Failed"),"Exclude","Include")</f>
        <v>Include</v>
      </c>
      <c r="AW911" t="str">
        <f t="shared" si="328"/>
        <v>Mismatch</v>
      </c>
      <c r="AX911" t="str">
        <f t="shared" si="329"/>
        <v>Match</v>
      </c>
    </row>
    <row r="912" spans="1:50">
      <c r="A912" t="s">
        <v>2738</v>
      </c>
      <c r="B912">
        <f t="shared" si="308"/>
        <v>2</v>
      </c>
      <c r="C912" t="str">
        <f t="shared" si="318"/>
        <v>Review Required</v>
      </c>
      <c r="D912" s="3" t="s">
        <v>2674</v>
      </c>
      <c r="E912" s="7">
        <v>45698</v>
      </c>
      <c r="F912" s="3" t="s">
        <v>2739</v>
      </c>
      <c r="G912" s="7">
        <v>45702</v>
      </c>
      <c r="H912" s="7" t="str">
        <f t="shared" si="309"/>
        <v>Valid</v>
      </c>
      <c r="I912" s="9">
        <f t="shared" si="310"/>
        <v>4</v>
      </c>
      <c r="J912" s="9" t="str">
        <f t="shared" si="311"/>
        <v>Valid</v>
      </c>
      <c r="K912" t="s">
        <v>2740</v>
      </c>
      <c r="L912" t="s">
        <v>141</v>
      </c>
      <c r="M912" t="s">
        <v>141</v>
      </c>
      <c r="N912" t="s">
        <v>40</v>
      </c>
      <c r="O912" s="3" t="str">
        <f t="shared" si="312"/>
        <v>Small Business</v>
      </c>
      <c r="P912" t="s">
        <v>26</v>
      </c>
      <c r="Q912" s="3" t="str">
        <f t="shared" si="313"/>
        <v>North</v>
      </c>
      <c r="R912" t="s">
        <v>173</v>
      </c>
      <c r="S912" t="s">
        <v>174</v>
      </c>
      <c r="T912" t="s">
        <v>85</v>
      </c>
      <c r="U912" s="3" t="str">
        <f t="shared" si="314"/>
        <v>Technology</v>
      </c>
      <c r="V912" t="s">
        <v>222</v>
      </c>
      <c r="W912" t="s">
        <v>2741</v>
      </c>
      <c r="Y912" s="3" t="str">
        <f t="shared" si="315"/>
        <v>Unknown</v>
      </c>
      <c r="Z912">
        <v>5</v>
      </c>
      <c r="AA912">
        <v>4276.29</v>
      </c>
      <c r="AB912">
        <v>0</v>
      </c>
      <c r="AC912">
        <f t="shared" si="316"/>
        <v>0</v>
      </c>
      <c r="AD912" t="str">
        <f t="shared" si="319"/>
        <v>Valid</v>
      </c>
      <c r="AE912">
        <v>21381.45</v>
      </c>
      <c r="AF912">
        <v>13240.21</v>
      </c>
      <c r="AG912">
        <v>8141.24</v>
      </c>
      <c r="AH912" t="s">
        <v>199</v>
      </c>
      <c r="AI912" t="str">
        <f t="shared" si="320"/>
        <v>Exclude</v>
      </c>
      <c r="AJ912" t="str">
        <f t="shared" si="321"/>
        <v/>
      </c>
      <c r="AK912" t="s">
        <v>124</v>
      </c>
      <c r="AL912" t="str">
        <f t="shared" si="317"/>
        <v>Returned</v>
      </c>
      <c r="AM912" t="str">
        <f t="shared" si="322"/>
        <v>Include</v>
      </c>
      <c r="AN912">
        <f t="shared" si="323"/>
        <v>21381.45</v>
      </c>
      <c r="AO912">
        <f t="shared" si="324"/>
        <v>8141.2400000000016</v>
      </c>
      <c r="AP912">
        <f>IF(AN912=0,0,AO912/AN912)</f>
        <v>0.38076182859441249</v>
      </c>
      <c r="AQ912" t="str">
        <f t="shared" si="325"/>
        <v>February</v>
      </c>
      <c r="AR912">
        <f t="shared" si="326"/>
        <v>2025</v>
      </c>
      <c r="AS912" t="str">
        <f t="shared" si="327"/>
        <v>Warning</v>
      </c>
      <c r="AT912" t="str">
        <f>IF(OR(AC912&lt;0,AC912&gt;0.5),"Invalid Discount","Valid")</f>
        <v>Valid</v>
      </c>
      <c r="AU912" t="str">
        <f>IF(G912&lt;E912,"Invalid Shipping Record","Valid")</f>
        <v>Valid</v>
      </c>
      <c r="AV912" t="str">
        <f>IF(OR(AL912="Cancelled",AH912="Failed"),"Exclude","Include")</f>
        <v>Exclude</v>
      </c>
      <c r="AW912" t="str">
        <f t="shared" si="328"/>
        <v>Match</v>
      </c>
      <c r="AX912" t="str">
        <f t="shared" si="329"/>
        <v>Match</v>
      </c>
    </row>
    <row r="913" spans="1:50">
      <c r="A913" t="s">
        <v>2738</v>
      </c>
      <c r="B913">
        <f t="shared" si="308"/>
        <v>2</v>
      </c>
      <c r="C913" t="str">
        <f t="shared" si="318"/>
        <v>Review Required</v>
      </c>
      <c r="D913" s="3" t="s">
        <v>2674</v>
      </c>
      <c r="E913" s="7">
        <v>45698</v>
      </c>
      <c r="F913" s="3" t="s">
        <v>2739</v>
      </c>
      <c r="G913" s="7">
        <v>45702</v>
      </c>
      <c r="H913" s="7" t="str">
        <f t="shared" si="309"/>
        <v>Valid</v>
      </c>
      <c r="I913" s="9">
        <f t="shared" si="310"/>
        <v>4</v>
      </c>
      <c r="J913" s="9" t="str">
        <f t="shared" si="311"/>
        <v>Valid</v>
      </c>
      <c r="K913" t="s">
        <v>2740</v>
      </c>
      <c r="L913" t="s">
        <v>141</v>
      </c>
      <c r="M913" t="s">
        <v>141</v>
      </c>
      <c r="N913" t="s">
        <v>40</v>
      </c>
      <c r="O913" s="3" t="str">
        <f t="shared" si="312"/>
        <v>Small Business</v>
      </c>
      <c r="P913" t="s">
        <v>26</v>
      </c>
      <c r="Q913" s="3" t="str">
        <f t="shared" si="313"/>
        <v>North</v>
      </c>
      <c r="R913" t="s">
        <v>173</v>
      </c>
      <c r="S913" t="s">
        <v>174</v>
      </c>
      <c r="T913" t="s">
        <v>85</v>
      </c>
      <c r="U913" s="3" t="str">
        <f t="shared" si="314"/>
        <v>Technology</v>
      </c>
      <c r="V913" t="s">
        <v>222</v>
      </c>
      <c r="W913" t="s">
        <v>2741</v>
      </c>
      <c r="Y913" s="3" t="str">
        <f t="shared" si="315"/>
        <v>Unknown</v>
      </c>
      <c r="Z913">
        <v>5</v>
      </c>
      <c r="AA913">
        <v>4276.29</v>
      </c>
      <c r="AB913">
        <v>0</v>
      </c>
      <c r="AC913">
        <f t="shared" si="316"/>
        <v>0</v>
      </c>
      <c r="AD913" t="str">
        <f t="shared" si="319"/>
        <v>Valid</v>
      </c>
      <c r="AE913">
        <v>21443.63</v>
      </c>
      <c r="AF913">
        <v>13240.21</v>
      </c>
      <c r="AG913">
        <v>8141.24</v>
      </c>
      <c r="AH913" t="s">
        <v>199</v>
      </c>
      <c r="AI913" t="str">
        <f t="shared" si="320"/>
        <v>Exclude</v>
      </c>
      <c r="AJ913" t="str">
        <f t="shared" si="321"/>
        <v/>
      </c>
      <c r="AK913" t="s">
        <v>34</v>
      </c>
      <c r="AL913" t="str">
        <f t="shared" si="317"/>
        <v>Completed</v>
      </c>
      <c r="AM913" t="str">
        <f t="shared" si="322"/>
        <v>Include</v>
      </c>
      <c r="AN913">
        <f t="shared" si="323"/>
        <v>21381.45</v>
      </c>
      <c r="AO913">
        <f t="shared" si="324"/>
        <v>8141.2400000000016</v>
      </c>
      <c r="AP913">
        <f>IF(AN913=0,0,AO913/AN913)</f>
        <v>0.38076182859441249</v>
      </c>
      <c r="AQ913" t="str">
        <f t="shared" si="325"/>
        <v>February</v>
      </c>
      <c r="AR913">
        <f t="shared" si="326"/>
        <v>2025</v>
      </c>
      <c r="AS913" t="str">
        <f t="shared" si="327"/>
        <v>Warning</v>
      </c>
      <c r="AT913" t="str">
        <f>IF(OR(AC913&lt;0,AC913&gt;0.5),"Invalid Discount","Valid")</f>
        <v>Valid</v>
      </c>
      <c r="AU913" t="str">
        <f>IF(G913&lt;E913,"Invalid Shipping Record","Valid")</f>
        <v>Valid</v>
      </c>
      <c r="AV913" t="str">
        <f>IF(OR(AL913="Cancelled",AH913="Failed"),"Exclude","Include")</f>
        <v>Exclude</v>
      </c>
      <c r="AW913" t="str">
        <f t="shared" si="328"/>
        <v>Mismatch</v>
      </c>
      <c r="AX913" t="str">
        <f t="shared" si="329"/>
        <v>Match</v>
      </c>
    </row>
    <row r="914" spans="1:50">
      <c r="E914"/>
      <c r="G914"/>
      <c r="H914"/>
      <c r="I914"/>
      <c r="J914"/>
    </row>
    <row r="915" spans="1:50">
      <c r="E915"/>
      <c r="G915"/>
      <c r="H915"/>
      <c r="I915"/>
      <c r="J915"/>
    </row>
    <row r="916" spans="1:50">
      <c r="E916"/>
      <c r="G916"/>
      <c r="H916"/>
      <c r="I916"/>
      <c r="J916"/>
    </row>
    <row r="917" spans="1:50">
      <c r="E917"/>
      <c r="G917"/>
      <c r="H917"/>
      <c r="I917"/>
      <c r="J917"/>
    </row>
    <row r="918" spans="1:50">
      <c r="E918"/>
      <c r="G918"/>
      <c r="H918"/>
      <c r="I918"/>
      <c r="J918"/>
    </row>
    <row r="919" spans="1:50">
      <c r="E919"/>
      <c r="G919"/>
      <c r="H919"/>
      <c r="I919"/>
      <c r="J919"/>
    </row>
    <row r="920" spans="1:50">
      <c r="E920"/>
      <c r="G920"/>
      <c r="H920"/>
      <c r="I920"/>
      <c r="J920"/>
    </row>
    <row r="921" spans="1:50">
      <c r="E921"/>
      <c r="G921"/>
      <c r="H921"/>
      <c r="I921"/>
      <c r="J921"/>
    </row>
    <row r="922" spans="1:50">
      <c r="E922"/>
      <c r="G922"/>
      <c r="H922"/>
      <c r="I922"/>
      <c r="J922"/>
    </row>
    <row r="923" spans="1:50">
      <c r="E923"/>
      <c r="G923"/>
      <c r="H923"/>
      <c r="I923"/>
      <c r="J923"/>
    </row>
    <row r="924" spans="1:50">
      <c r="E924"/>
      <c r="G924"/>
      <c r="H924"/>
      <c r="I924"/>
      <c r="J924"/>
    </row>
    <row r="925" spans="1:50">
      <c r="E925"/>
      <c r="G925"/>
      <c r="H925"/>
      <c r="I925"/>
      <c r="J925"/>
    </row>
    <row r="926" spans="1:50">
      <c r="E926"/>
      <c r="G926"/>
      <c r="H926"/>
      <c r="I926"/>
      <c r="J926"/>
    </row>
    <row r="927" spans="1:50">
      <c r="E927"/>
      <c r="G927"/>
      <c r="H927"/>
      <c r="I927"/>
      <c r="J927"/>
    </row>
    <row r="928" spans="1:50">
      <c r="E928"/>
      <c r="G928"/>
      <c r="H928"/>
      <c r="I928"/>
      <c r="J928"/>
    </row>
    <row r="929" customFormat="1"/>
    <row r="930" customFormat="1"/>
    <row r="931" customFormat="1"/>
    <row r="932" customFormat="1"/>
    <row r="933" customFormat="1"/>
  </sheetData>
  <autoFilter ref="A1:AX913" xr:uid="{00000000-0001-0000-0000-000000000000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18.600000000000001" customHeight="1">
      <c r="A1" s="1" t="s">
        <v>4087</v>
      </c>
      <c r="B1" s="1" t="s">
        <v>4088</v>
      </c>
    </row>
    <row r="2" spans="1:2" ht="41.4">
      <c r="A2" s="4" t="s">
        <v>4089</v>
      </c>
      <c r="B2" s="4" t="s">
        <v>4090</v>
      </c>
    </row>
    <row r="3" spans="1:2" ht="27.6">
      <c r="A3" s="4" t="s">
        <v>4091</v>
      </c>
      <c r="B3" s="4" t="s">
        <v>4092</v>
      </c>
    </row>
    <row r="4" spans="1:2" ht="27.6">
      <c r="A4" s="4" t="s">
        <v>4093</v>
      </c>
      <c r="B4" s="4" t="s">
        <v>4092</v>
      </c>
    </row>
    <row r="5" spans="1:2" ht="27.6">
      <c r="A5" s="4" t="s">
        <v>4094</v>
      </c>
      <c r="B5" s="4" t="s">
        <v>4095</v>
      </c>
    </row>
    <row r="6" spans="1:2" ht="41.4">
      <c r="A6" s="4" t="s">
        <v>4096</v>
      </c>
      <c r="B6" s="4" t="s">
        <v>4097</v>
      </c>
    </row>
    <row r="7" spans="1:2" ht="55.2">
      <c r="A7" s="4" t="s">
        <v>4098</v>
      </c>
      <c r="B7" s="4" t="s">
        <v>4099</v>
      </c>
    </row>
    <row r="8" spans="1:2" ht="27.6">
      <c r="A8" s="4" t="s">
        <v>4100</v>
      </c>
      <c r="B8" s="4" t="s">
        <v>4101</v>
      </c>
    </row>
    <row r="9" spans="1:2" ht="41.4">
      <c r="A9" s="4" t="s">
        <v>4102</v>
      </c>
      <c r="B9" s="4" t="s">
        <v>4103</v>
      </c>
    </row>
    <row r="10" spans="1:2" ht="69">
      <c r="A10" s="4" t="s">
        <v>4104</v>
      </c>
      <c r="B10" s="4" t="s">
        <v>4105</v>
      </c>
    </row>
    <row r="11" spans="1:2" ht="41.4">
      <c r="A11" s="4" t="s">
        <v>4106</v>
      </c>
      <c r="B11" s="4" t="s">
        <v>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payment_status_summary</vt:lpstr>
      <vt:lpstr>cleaned_orders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payal shah</cp:lastModifiedBy>
  <dcterms:modified xsi:type="dcterms:W3CDTF">2026-06-26T06:39:24Z</dcterms:modified>
</cp:coreProperties>
</file>